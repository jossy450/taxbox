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ISHLAT COUNSULTANTS\Desktop\New folder\Tax Audit 23-24\3chub\"/>
    </mc:Choice>
  </mc:AlternateContent>
  <xr:revisionPtr revIDLastSave="0" documentId="8_{06D6D773-02FF-5B4C-B2E9-284413848B25}" xr6:coauthVersionLast="47" xr6:coauthVersionMax="47" xr10:uidLastSave="{00000000-0000-0000-0000-000000000000}"/>
  <bookViews>
    <workbookView xWindow="-120" yWindow="-120" windowWidth="20730" windowHeight="11160" tabRatio="790" firstSheet="25" activeTab="26" xr2:uid="{00000000-000D-0000-FFFF-FFFF00000000}"/>
  </bookViews>
  <sheets>
    <sheet name="COVER PAGE" sheetId="52" state="hidden" r:id="rId1"/>
    <sheet name="Status" sheetId="51" state="hidden" r:id="rId2"/>
    <sheet name="CONTENT" sheetId="39" state="hidden" r:id="rId3"/>
    <sheet name="FIELD REPORT FORM" sheetId="22" state="hidden" r:id="rId4"/>
    <sheet name="Audit Check List" sheetId="25" state="hidden" r:id="rId5"/>
    <sheet name="Staff Cost Analysis" sheetId="32" state="hidden" r:id="rId6"/>
    <sheet name="Payroll Cost Analysis 2023" sheetId="54" state="hidden" r:id="rId7"/>
    <sheet name="Payroll Cost Analysis 2024" sheetId="7" state="hidden" r:id="rId8"/>
    <sheet name="Expatriate 2023" sheetId="55" state="hidden" r:id="rId9"/>
    <sheet name="Expatriate 2024" sheetId="35" state="hidden" r:id="rId10"/>
    <sheet name="WHT Schedule 2023" sheetId="56" state="hidden" r:id="rId11"/>
    <sheet name="WHT Schedule 2024" sheetId="37" state="hidden" r:id="rId12"/>
    <sheet name="WHT SMRY 2023" sheetId="57" state="hidden" r:id="rId13"/>
    <sheet name="WHT SMRY 2024" sheetId="47" state="hidden" r:id="rId14"/>
    <sheet name=" PAYE Remittances 2023" sheetId="61" state="hidden" r:id="rId15"/>
    <sheet name="PAYE Remittances 2024" sheetId="12" state="hidden" r:id="rId16"/>
    <sheet name=" Direct Assessment 2023&amp;2024" sheetId="53" state="hidden" r:id="rId17"/>
    <sheet name="WHT Remittance 2023" sheetId="58" state="hidden" r:id="rId18"/>
    <sheet name="WHT Remittance 2024" sheetId="20" state="hidden" r:id="rId19"/>
    <sheet name="Biz Premises 2023" sheetId="59" state="hidden" r:id="rId20"/>
    <sheet name="Biz Premises 2024" sheetId="1" state="hidden" r:id="rId21"/>
    <sheet name="Development Levy 2023" sheetId="60" state="hidden" r:id="rId22"/>
    <sheet name="Development Levy 2024" sheetId="40" state="hidden" r:id="rId23"/>
    <sheet name="computation (local) 2021" sheetId="48" state="hidden" r:id="rId24"/>
    <sheet name="computation (expat) 2021" sheetId="49" state="hidden" r:id="rId25"/>
    <sheet name="Tax Due (2)" sheetId="62" r:id="rId26"/>
    <sheet name="local 23" sheetId="63" r:id="rId27"/>
    <sheet name="local 24" sheetId="64" r:id="rId28"/>
    <sheet name="expat 2023" sheetId="65" r:id="rId29"/>
    <sheet name="expat 2024 " sheetId="66" r:id="rId30"/>
    <sheet name="SCHEDULE OF PAYMENT (2)" sheetId="68" r:id="rId31"/>
    <sheet name="2024" sheetId="69" r:id="rId32"/>
  </sheets>
  <externalReferences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A" localSheetId="16">#REF!</definedName>
    <definedName name="\A" localSheetId="14">#REF!</definedName>
    <definedName name="\A" localSheetId="19">#REF!</definedName>
    <definedName name="\A" localSheetId="24">#REF!</definedName>
    <definedName name="\A" localSheetId="21">#REF!</definedName>
    <definedName name="\A" localSheetId="8">#REF!</definedName>
    <definedName name="\A" localSheetId="6">#REF!</definedName>
    <definedName name="\A" localSheetId="1">#REF!</definedName>
    <definedName name="\A" localSheetId="25">#REF!</definedName>
    <definedName name="\A" localSheetId="17">#REF!</definedName>
    <definedName name="\A" localSheetId="10">#REF!</definedName>
    <definedName name="\A" localSheetId="12">#REF!</definedName>
    <definedName name="\A">#REF!</definedName>
    <definedName name="\G" localSheetId="16">#REF!</definedName>
    <definedName name="\G" localSheetId="14">#REF!</definedName>
    <definedName name="\G" localSheetId="19">#REF!</definedName>
    <definedName name="\G" localSheetId="24">#REF!</definedName>
    <definedName name="\G" localSheetId="21">#REF!</definedName>
    <definedName name="\G" localSheetId="8">#REF!</definedName>
    <definedName name="\G" localSheetId="6">#REF!</definedName>
    <definedName name="\G" localSheetId="25">#REF!</definedName>
    <definedName name="\G" localSheetId="17">#REF!</definedName>
    <definedName name="\G" localSheetId="10">#REF!</definedName>
    <definedName name="\G" localSheetId="12">#REF!</definedName>
    <definedName name="\G">#REF!</definedName>
    <definedName name="\X" localSheetId="16">#REF!</definedName>
    <definedName name="\X" localSheetId="14">#REF!</definedName>
    <definedName name="\X" localSheetId="19">#REF!</definedName>
    <definedName name="\X" localSheetId="24">#REF!</definedName>
    <definedName name="\X" localSheetId="21">#REF!</definedName>
    <definedName name="\X" localSheetId="8">#REF!</definedName>
    <definedName name="\X" localSheetId="6">#REF!</definedName>
    <definedName name="\X" localSheetId="25">#REF!</definedName>
    <definedName name="\X" localSheetId="17">#REF!</definedName>
    <definedName name="\X" localSheetId="10">#REF!</definedName>
    <definedName name="\X" localSheetId="12">#REF!</definedName>
    <definedName name="\X">#REF!</definedName>
    <definedName name="___DAT1" localSheetId="16">#REF!</definedName>
    <definedName name="___DAT1" localSheetId="14">#REF!</definedName>
    <definedName name="___DAT1" localSheetId="19">#REF!</definedName>
    <definedName name="___DAT1" localSheetId="24">#REF!</definedName>
    <definedName name="___DAT1" localSheetId="21">#REF!</definedName>
    <definedName name="___DAT1" localSheetId="8">#REF!</definedName>
    <definedName name="___DAT1" localSheetId="6">#REF!</definedName>
    <definedName name="___DAT1" localSheetId="25">#REF!</definedName>
    <definedName name="___DAT1" localSheetId="17">#REF!</definedName>
    <definedName name="___DAT1" localSheetId="10">#REF!</definedName>
    <definedName name="___DAT1" localSheetId="12">#REF!</definedName>
    <definedName name="___DAT1">#REF!</definedName>
    <definedName name="___DAT10" localSheetId="16">#REF!</definedName>
    <definedName name="___DAT10" localSheetId="14">#REF!</definedName>
    <definedName name="___DAT10" localSheetId="19">#REF!</definedName>
    <definedName name="___DAT10" localSheetId="24">#REF!</definedName>
    <definedName name="___DAT10" localSheetId="21">#REF!</definedName>
    <definedName name="___DAT10" localSheetId="8">#REF!</definedName>
    <definedName name="___DAT10" localSheetId="6">#REF!</definedName>
    <definedName name="___DAT10" localSheetId="25">#REF!</definedName>
    <definedName name="___DAT10" localSheetId="17">#REF!</definedName>
    <definedName name="___DAT10" localSheetId="10">#REF!</definedName>
    <definedName name="___DAT10" localSheetId="12">#REF!</definedName>
    <definedName name="___DAT10">#REF!</definedName>
    <definedName name="___DAT11" localSheetId="16">#REF!</definedName>
    <definedName name="___DAT11" localSheetId="14">#REF!</definedName>
    <definedName name="___DAT11" localSheetId="19">#REF!</definedName>
    <definedName name="___DAT11" localSheetId="24">#REF!</definedName>
    <definedName name="___DAT11" localSheetId="21">#REF!</definedName>
    <definedName name="___DAT11" localSheetId="8">#REF!</definedName>
    <definedName name="___DAT11" localSheetId="6">#REF!</definedName>
    <definedName name="___DAT11" localSheetId="25">#REF!</definedName>
    <definedName name="___DAT11" localSheetId="17">#REF!</definedName>
    <definedName name="___DAT11" localSheetId="10">#REF!</definedName>
    <definedName name="___DAT11" localSheetId="12">#REF!</definedName>
    <definedName name="___DAT11">#REF!</definedName>
    <definedName name="___DAT12" localSheetId="16">#REF!</definedName>
    <definedName name="___DAT12" localSheetId="14">#REF!</definedName>
    <definedName name="___DAT12" localSheetId="19">#REF!</definedName>
    <definedName name="___DAT12" localSheetId="24">#REF!</definedName>
    <definedName name="___DAT12" localSheetId="21">#REF!</definedName>
    <definedName name="___DAT12" localSheetId="8">#REF!</definedName>
    <definedName name="___DAT12" localSheetId="6">#REF!</definedName>
    <definedName name="___DAT12" localSheetId="25">#REF!</definedName>
    <definedName name="___DAT12" localSheetId="17">#REF!</definedName>
    <definedName name="___DAT12" localSheetId="10">#REF!</definedName>
    <definedName name="___DAT12" localSheetId="12">#REF!</definedName>
    <definedName name="___DAT12">#REF!</definedName>
    <definedName name="___DAT13" localSheetId="16">#REF!</definedName>
    <definedName name="___DAT13" localSheetId="14">#REF!</definedName>
    <definedName name="___DAT13" localSheetId="19">#REF!</definedName>
    <definedName name="___DAT13" localSheetId="24">#REF!</definedName>
    <definedName name="___DAT13" localSheetId="21">#REF!</definedName>
    <definedName name="___DAT13" localSheetId="8">#REF!</definedName>
    <definedName name="___DAT13" localSheetId="6">#REF!</definedName>
    <definedName name="___DAT13" localSheetId="25">#REF!</definedName>
    <definedName name="___DAT13" localSheetId="17">#REF!</definedName>
    <definedName name="___DAT13" localSheetId="10">#REF!</definedName>
    <definedName name="___DAT13" localSheetId="12">#REF!</definedName>
    <definedName name="___DAT13">#REF!</definedName>
    <definedName name="___DAT14" localSheetId="16">#REF!</definedName>
    <definedName name="___DAT14" localSheetId="14">#REF!</definedName>
    <definedName name="___DAT14" localSheetId="19">#REF!</definedName>
    <definedName name="___DAT14" localSheetId="24">#REF!</definedName>
    <definedName name="___DAT14" localSheetId="21">#REF!</definedName>
    <definedName name="___DAT14" localSheetId="8">#REF!</definedName>
    <definedName name="___DAT14" localSheetId="6">#REF!</definedName>
    <definedName name="___DAT14" localSheetId="25">#REF!</definedName>
    <definedName name="___DAT14" localSheetId="17">#REF!</definedName>
    <definedName name="___DAT14" localSheetId="10">#REF!</definedName>
    <definedName name="___DAT14" localSheetId="12">#REF!</definedName>
    <definedName name="___DAT14">#REF!</definedName>
    <definedName name="___DAT15" localSheetId="16">#REF!</definedName>
    <definedName name="___DAT15" localSheetId="14">#REF!</definedName>
    <definedName name="___DAT15" localSheetId="19">#REF!</definedName>
    <definedName name="___DAT15" localSheetId="24">#REF!</definedName>
    <definedName name="___DAT15" localSheetId="21">#REF!</definedName>
    <definedName name="___DAT15" localSheetId="8">#REF!</definedName>
    <definedName name="___DAT15" localSheetId="6">#REF!</definedName>
    <definedName name="___DAT15" localSheetId="25">#REF!</definedName>
    <definedName name="___DAT15" localSheetId="17">#REF!</definedName>
    <definedName name="___DAT15" localSheetId="10">#REF!</definedName>
    <definedName name="___DAT15" localSheetId="12">#REF!</definedName>
    <definedName name="___DAT15">#REF!</definedName>
    <definedName name="___DAT16" localSheetId="16">#REF!</definedName>
    <definedName name="___DAT16" localSheetId="14">#REF!</definedName>
    <definedName name="___DAT16" localSheetId="19">#REF!</definedName>
    <definedName name="___DAT16" localSheetId="24">#REF!</definedName>
    <definedName name="___DAT16" localSheetId="21">#REF!</definedName>
    <definedName name="___DAT16" localSheetId="8">#REF!</definedName>
    <definedName name="___DAT16" localSheetId="6">#REF!</definedName>
    <definedName name="___DAT16" localSheetId="25">#REF!</definedName>
    <definedName name="___DAT16" localSheetId="17">#REF!</definedName>
    <definedName name="___DAT16" localSheetId="10">#REF!</definedName>
    <definedName name="___DAT16" localSheetId="12">#REF!</definedName>
    <definedName name="___DAT16">#REF!</definedName>
    <definedName name="___DAT17" localSheetId="16">#REF!</definedName>
    <definedName name="___DAT17" localSheetId="14">#REF!</definedName>
    <definedName name="___DAT17" localSheetId="19">#REF!</definedName>
    <definedName name="___DAT17" localSheetId="24">#REF!</definedName>
    <definedName name="___DAT17" localSheetId="21">#REF!</definedName>
    <definedName name="___DAT17" localSheetId="8">#REF!</definedName>
    <definedName name="___DAT17" localSheetId="6">#REF!</definedName>
    <definedName name="___DAT17" localSheetId="25">#REF!</definedName>
    <definedName name="___DAT17" localSheetId="17">#REF!</definedName>
    <definedName name="___DAT17" localSheetId="10">#REF!</definedName>
    <definedName name="___DAT17" localSheetId="12">#REF!</definedName>
    <definedName name="___DAT17">#REF!</definedName>
    <definedName name="___DAT18" localSheetId="16">#REF!</definedName>
    <definedName name="___DAT18" localSheetId="14">#REF!</definedName>
    <definedName name="___DAT18" localSheetId="19">#REF!</definedName>
    <definedName name="___DAT18" localSheetId="24">#REF!</definedName>
    <definedName name="___DAT18" localSheetId="21">#REF!</definedName>
    <definedName name="___DAT18" localSheetId="8">#REF!</definedName>
    <definedName name="___DAT18" localSheetId="6">#REF!</definedName>
    <definedName name="___DAT18" localSheetId="25">#REF!</definedName>
    <definedName name="___DAT18" localSheetId="17">#REF!</definedName>
    <definedName name="___DAT18" localSheetId="10">#REF!</definedName>
    <definedName name="___DAT18" localSheetId="12">#REF!</definedName>
    <definedName name="___DAT18">#REF!</definedName>
    <definedName name="___DAT19" localSheetId="16">#REF!</definedName>
    <definedName name="___DAT19" localSheetId="14">#REF!</definedName>
    <definedName name="___DAT19" localSheetId="19">#REF!</definedName>
    <definedName name="___DAT19" localSheetId="24">#REF!</definedName>
    <definedName name="___DAT19" localSheetId="21">#REF!</definedName>
    <definedName name="___DAT19" localSheetId="8">#REF!</definedName>
    <definedName name="___DAT19" localSheetId="6">#REF!</definedName>
    <definedName name="___DAT19" localSheetId="25">#REF!</definedName>
    <definedName name="___DAT19" localSheetId="17">#REF!</definedName>
    <definedName name="___DAT19" localSheetId="10">#REF!</definedName>
    <definedName name="___DAT19" localSheetId="12">#REF!</definedName>
    <definedName name="___DAT19">#REF!</definedName>
    <definedName name="___DAT2" localSheetId="16">#REF!</definedName>
    <definedName name="___DAT2" localSheetId="14">#REF!</definedName>
    <definedName name="___DAT2" localSheetId="19">#REF!</definedName>
    <definedName name="___DAT2" localSheetId="24">#REF!</definedName>
    <definedName name="___DAT2" localSheetId="21">#REF!</definedName>
    <definedName name="___DAT2" localSheetId="8">#REF!</definedName>
    <definedName name="___DAT2" localSheetId="6">#REF!</definedName>
    <definedName name="___DAT2" localSheetId="25">#REF!</definedName>
    <definedName name="___DAT2" localSheetId="17">#REF!</definedName>
    <definedName name="___DAT2" localSheetId="10">#REF!</definedName>
    <definedName name="___DAT2" localSheetId="12">#REF!</definedName>
    <definedName name="___DAT2">#REF!</definedName>
    <definedName name="___DAT20" localSheetId="16">#REF!</definedName>
    <definedName name="___DAT20" localSheetId="14">#REF!</definedName>
    <definedName name="___DAT20" localSheetId="19">#REF!</definedName>
    <definedName name="___DAT20" localSheetId="24">#REF!</definedName>
    <definedName name="___DAT20" localSheetId="21">#REF!</definedName>
    <definedName name="___DAT20" localSheetId="8">#REF!</definedName>
    <definedName name="___DAT20" localSheetId="6">#REF!</definedName>
    <definedName name="___DAT20" localSheetId="25">#REF!</definedName>
    <definedName name="___DAT20" localSheetId="17">#REF!</definedName>
    <definedName name="___DAT20" localSheetId="10">#REF!</definedName>
    <definedName name="___DAT20" localSheetId="12">#REF!</definedName>
    <definedName name="___DAT20">#REF!</definedName>
    <definedName name="___DAT21" localSheetId="16">#REF!</definedName>
    <definedName name="___DAT21" localSheetId="14">#REF!</definedName>
    <definedName name="___DAT21" localSheetId="19">#REF!</definedName>
    <definedName name="___DAT21" localSheetId="24">#REF!</definedName>
    <definedName name="___DAT21" localSheetId="21">#REF!</definedName>
    <definedName name="___DAT21" localSheetId="8">#REF!</definedName>
    <definedName name="___DAT21" localSheetId="6">#REF!</definedName>
    <definedName name="___DAT21" localSheetId="25">#REF!</definedName>
    <definedName name="___DAT21" localSheetId="17">#REF!</definedName>
    <definedName name="___DAT21" localSheetId="10">#REF!</definedName>
    <definedName name="___DAT21" localSheetId="12">#REF!</definedName>
    <definedName name="___DAT21">#REF!</definedName>
    <definedName name="___DAT22" localSheetId="16">#REF!</definedName>
    <definedName name="___DAT22" localSheetId="14">#REF!</definedName>
    <definedName name="___DAT22" localSheetId="19">#REF!</definedName>
    <definedName name="___DAT22" localSheetId="24">#REF!</definedName>
    <definedName name="___DAT22" localSheetId="21">#REF!</definedName>
    <definedName name="___DAT22" localSheetId="8">#REF!</definedName>
    <definedName name="___DAT22" localSheetId="6">#REF!</definedName>
    <definedName name="___DAT22" localSheetId="25">#REF!</definedName>
    <definedName name="___DAT22" localSheetId="17">#REF!</definedName>
    <definedName name="___DAT22" localSheetId="10">#REF!</definedName>
    <definedName name="___DAT22" localSheetId="12">#REF!</definedName>
    <definedName name="___DAT22">#REF!</definedName>
    <definedName name="___DAT23" localSheetId="16">#REF!</definedName>
    <definedName name="___DAT23" localSheetId="14">#REF!</definedName>
    <definedName name="___DAT23" localSheetId="19">#REF!</definedName>
    <definedName name="___DAT23" localSheetId="24">#REF!</definedName>
    <definedName name="___DAT23" localSheetId="21">#REF!</definedName>
    <definedName name="___DAT23" localSheetId="8">#REF!</definedName>
    <definedName name="___DAT23" localSheetId="6">#REF!</definedName>
    <definedName name="___DAT23" localSheetId="25">#REF!</definedName>
    <definedName name="___DAT23" localSheetId="17">#REF!</definedName>
    <definedName name="___DAT23" localSheetId="10">#REF!</definedName>
    <definedName name="___DAT23" localSheetId="12">#REF!</definedName>
    <definedName name="___DAT23">#REF!</definedName>
    <definedName name="___DAT24" localSheetId="16">#REF!</definedName>
    <definedName name="___DAT24" localSheetId="14">#REF!</definedName>
    <definedName name="___DAT24" localSheetId="19">#REF!</definedName>
    <definedName name="___DAT24" localSheetId="24">#REF!</definedName>
    <definedName name="___DAT24" localSheetId="21">#REF!</definedName>
    <definedName name="___DAT24" localSheetId="8">#REF!</definedName>
    <definedName name="___DAT24" localSheetId="6">#REF!</definedName>
    <definedName name="___DAT24" localSheetId="25">#REF!</definedName>
    <definedName name="___DAT24" localSheetId="17">#REF!</definedName>
    <definedName name="___DAT24" localSheetId="10">#REF!</definedName>
    <definedName name="___DAT24" localSheetId="12">#REF!</definedName>
    <definedName name="___DAT24">#REF!</definedName>
    <definedName name="___DAT3" localSheetId="16">#REF!</definedName>
    <definedName name="___DAT3" localSheetId="14">#REF!</definedName>
    <definedName name="___DAT3" localSheetId="19">#REF!</definedName>
    <definedName name="___DAT3" localSheetId="24">#REF!</definedName>
    <definedName name="___DAT3" localSheetId="21">#REF!</definedName>
    <definedName name="___DAT3" localSheetId="8">#REF!</definedName>
    <definedName name="___DAT3" localSheetId="6">#REF!</definedName>
    <definedName name="___DAT3" localSheetId="25">#REF!</definedName>
    <definedName name="___DAT3" localSheetId="17">#REF!</definedName>
    <definedName name="___DAT3" localSheetId="10">#REF!</definedName>
    <definedName name="___DAT3" localSheetId="12">#REF!</definedName>
    <definedName name="___DAT3">#REF!</definedName>
    <definedName name="___DAT4" localSheetId="16">#REF!</definedName>
    <definedName name="___DAT4" localSheetId="14">#REF!</definedName>
    <definedName name="___DAT4" localSheetId="19">#REF!</definedName>
    <definedName name="___DAT4" localSheetId="24">#REF!</definedName>
    <definedName name="___DAT4" localSheetId="21">#REF!</definedName>
    <definedName name="___DAT4" localSheetId="8">#REF!</definedName>
    <definedName name="___DAT4" localSheetId="6">#REF!</definedName>
    <definedName name="___DAT4" localSheetId="25">#REF!</definedName>
    <definedName name="___DAT4" localSheetId="17">#REF!</definedName>
    <definedName name="___DAT4" localSheetId="10">#REF!</definedName>
    <definedName name="___DAT4" localSheetId="12">#REF!</definedName>
    <definedName name="___DAT4">#REF!</definedName>
    <definedName name="___DAT5" localSheetId="16">#REF!</definedName>
    <definedName name="___DAT5" localSheetId="14">#REF!</definedName>
    <definedName name="___DAT5" localSheetId="19">#REF!</definedName>
    <definedName name="___DAT5" localSheetId="24">#REF!</definedName>
    <definedName name="___DAT5" localSheetId="21">#REF!</definedName>
    <definedName name="___DAT5" localSheetId="8">#REF!</definedName>
    <definedName name="___DAT5" localSheetId="6">#REF!</definedName>
    <definedName name="___DAT5" localSheetId="25">#REF!</definedName>
    <definedName name="___DAT5" localSheetId="17">#REF!</definedName>
    <definedName name="___DAT5" localSheetId="10">#REF!</definedName>
    <definedName name="___DAT5" localSheetId="12">#REF!</definedName>
    <definedName name="___DAT5">#REF!</definedName>
    <definedName name="___DAT6" localSheetId="16">#REF!</definedName>
    <definedName name="___DAT6" localSheetId="14">#REF!</definedName>
    <definedName name="___DAT6" localSheetId="19">#REF!</definedName>
    <definedName name="___DAT6" localSheetId="24">#REF!</definedName>
    <definedName name="___DAT6" localSheetId="21">#REF!</definedName>
    <definedName name="___DAT6" localSheetId="8">#REF!</definedName>
    <definedName name="___DAT6" localSheetId="6">#REF!</definedName>
    <definedName name="___DAT6" localSheetId="25">#REF!</definedName>
    <definedName name="___DAT6" localSheetId="17">#REF!</definedName>
    <definedName name="___DAT6" localSheetId="10">#REF!</definedName>
    <definedName name="___DAT6" localSheetId="12">#REF!</definedName>
    <definedName name="___DAT6">#REF!</definedName>
    <definedName name="___DAT7" localSheetId="16">#REF!</definedName>
    <definedName name="___DAT7" localSheetId="14">#REF!</definedName>
    <definedName name="___DAT7" localSheetId="19">#REF!</definedName>
    <definedName name="___DAT7" localSheetId="24">#REF!</definedName>
    <definedName name="___DAT7" localSheetId="21">#REF!</definedName>
    <definedName name="___DAT7" localSheetId="8">#REF!</definedName>
    <definedName name="___DAT7" localSheetId="6">#REF!</definedName>
    <definedName name="___DAT7" localSheetId="25">#REF!</definedName>
    <definedName name="___DAT7" localSheetId="17">#REF!</definedName>
    <definedName name="___DAT7" localSheetId="10">#REF!</definedName>
    <definedName name="___DAT7" localSheetId="12">#REF!</definedName>
    <definedName name="___DAT7">#REF!</definedName>
    <definedName name="___DAT8" localSheetId="16">#REF!</definedName>
    <definedName name="___DAT8" localSheetId="14">#REF!</definedName>
    <definedName name="___DAT8" localSheetId="19">#REF!</definedName>
    <definedName name="___DAT8" localSheetId="24">#REF!</definedName>
    <definedName name="___DAT8" localSheetId="21">#REF!</definedName>
    <definedName name="___DAT8" localSheetId="8">#REF!</definedName>
    <definedName name="___DAT8" localSheetId="6">#REF!</definedName>
    <definedName name="___DAT8" localSheetId="25">#REF!</definedName>
    <definedName name="___DAT8" localSheetId="17">#REF!</definedName>
    <definedName name="___DAT8" localSheetId="10">#REF!</definedName>
    <definedName name="___DAT8" localSheetId="12">#REF!</definedName>
    <definedName name="___DAT8">#REF!</definedName>
    <definedName name="___DAT9" localSheetId="16">#REF!</definedName>
    <definedName name="___DAT9" localSheetId="14">#REF!</definedName>
    <definedName name="___DAT9" localSheetId="19">#REF!</definedName>
    <definedName name="___DAT9" localSheetId="24">#REF!</definedName>
    <definedName name="___DAT9" localSheetId="21">#REF!</definedName>
    <definedName name="___DAT9" localSheetId="8">#REF!</definedName>
    <definedName name="___DAT9" localSheetId="6">#REF!</definedName>
    <definedName name="___DAT9" localSheetId="25">#REF!</definedName>
    <definedName name="___DAT9" localSheetId="17">#REF!</definedName>
    <definedName name="___DAT9" localSheetId="10">#REF!</definedName>
    <definedName name="___DAT9" localSheetId="12">#REF!</definedName>
    <definedName name="___DAT9">#REF!</definedName>
    <definedName name="__123Graph_A" localSheetId="16" hidden="1">[1]OLDFILE!#REF!</definedName>
    <definedName name="__123Graph_A" localSheetId="14" hidden="1">[1]OLDFILE!#REF!</definedName>
    <definedName name="__123Graph_A" localSheetId="19" hidden="1">[1]OLDFILE!#REF!</definedName>
    <definedName name="__123Graph_A" localSheetId="24" hidden="1">[1]OLDFILE!#REF!</definedName>
    <definedName name="__123Graph_A" localSheetId="21" hidden="1">[1]OLDFILE!#REF!</definedName>
    <definedName name="__123Graph_A" localSheetId="8" hidden="1">[1]OLDFILE!#REF!</definedName>
    <definedName name="__123Graph_A" localSheetId="6" hidden="1">[1]OLDFILE!#REF!</definedName>
    <definedName name="__123Graph_A" localSheetId="17" hidden="1">[1]OLDFILE!#REF!</definedName>
    <definedName name="__123Graph_A" localSheetId="10" hidden="1">[1]OLDFILE!#REF!</definedName>
    <definedName name="__123Graph_A" localSheetId="12" hidden="1">[1]OLDFILE!#REF!</definedName>
    <definedName name="__123Graph_A" hidden="1">[1]OLDFILE!#REF!</definedName>
    <definedName name="__123Graph_AASSQLTY" localSheetId="16" hidden="1">[1]OLDFILE!#REF!</definedName>
    <definedName name="__123Graph_AASSQLTY" localSheetId="14" hidden="1">[1]OLDFILE!#REF!</definedName>
    <definedName name="__123Graph_AASSQLTY" localSheetId="19" hidden="1">[1]OLDFILE!#REF!</definedName>
    <definedName name="__123Graph_AASSQLTY" localSheetId="24" hidden="1">[1]OLDFILE!#REF!</definedName>
    <definedName name="__123Graph_AASSQLTY" localSheetId="21" hidden="1">[1]OLDFILE!#REF!</definedName>
    <definedName name="__123Graph_AASSQLTY" localSheetId="8" hidden="1">[1]OLDFILE!#REF!</definedName>
    <definedName name="__123Graph_AASSQLTY" localSheetId="6" hidden="1">[1]OLDFILE!#REF!</definedName>
    <definedName name="__123Graph_AASSQLTY" localSheetId="17" hidden="1">[1]OLDFILE!#REF!</definedName>
    <definedName name="__123Graph_AASSQLTY" localSheetId="10" hidden="1">[1]OLDFILE!#REF!</definedName>
    <definedName name="__123Graph_AASSQLTY" localSheetId="12" hidden="1">[1]OLDFILE!#REF!</definedName>
    <definedName name="__123Graph_AASSQLTY" hidden="1">[1]OLDFILE!#REF!</definedName>
    <definedName name="__123Graph_ADEPOSIT" localSheetId="16" hidden="1">[1]OLDFILE!#REF!</definedName>
    <definedName name="__123Graph_ADEPOSIT" localSheetId="14" hidden="1">[1]OLDFILE!#REF!</definedName>
    <definedName name="__123Graph_ADEPOSIT" localSheetId="19" hidden="1">[1]OLDFILE!#REF!</definedName>
    <definedName name="__123Graph_ADEPOSIT" localSheetId="24" hidden="1">[1]OLDFILE!#REF!</definedName>
    <definedName name="__123Graph_ADEPOSIT" localSheetId="21" hidden="1">[1]OLDFILE!#REF!</definedName>
    <definedName name="__123Graph_ADEPOSIT" localSheetId="8" hidden="1">[1]OLDFILE!#REF!</definedName>
    <definedName name="__123Graph_ADEPOSIT" localSheetId="6" hidden="1">[1]OLDFILE!#REF!</definedName>
    <definedName name="__123Graph_ADEPOSIT" localSheetId="17" hidden="1">[1]OLDFILE!#REF!</definedName>
    <definedName name="__123Graph_ADEPOSIT" localSheetId="10" hidden="1">[1]OLDFILE!#REF!</definedName>
    <definedName name="__123Graph_ADEPOSIT" localSheetId="12" hidden="1">[1]OLDFILE!#REF!</definedName>
    <definedName name="__123Graph_ADEPOSIT" hidden="1">[1]OLDFILE!#REF!</definedName>
    <definedName name="__123Graph_AEANMIX92" localSheetId="16" hidden="1">[1]OLDFILE!#REF!</definedName>
    <definedName name="__123Graph_AEANMIX92" localSheetId="14" hidden="1">[1]OLDFILE!#REF!</definedName>
    <definedName name="__123Graph_AEANMIX92" localSheetId="19" hidden="1">[1]OLDFILE!#REF!</definedName>
    <definedName name="__123Graph_AEANMIX92" localSheetId="24" hidden="1">[1]OLDFILE!#REF!</definedName>
    <definedName name="__123Graph_AEANMIX92" localSheetId="21" hidden="1">[1]OLDFILE!#REF!</definedName>
    <definedName name="__123Graph_AEANMIX92" localSheetId="8" hidden="1">[1]OLDFILE!#REF!</definedName>
    <definedName name="__123Graph_AEANMIX92" localSheetId="6" hidden="1">[1]OLDFILE!#REF!</definedName>
    <definedName name="__123Graph_AEANMIX92" localSheetId="17" hidden="1">[1]OLDFILE!#REF!</definedName>
    <definedName name="__123Graph_AEANMIX92" localSheetId="10" hidden="1">[1]OLDFILE!#REF!</definedName>
    <definedName name="__123Graph_AEANMIX92" localSheetId="12" hidden="1">[1]OLDFILE!#REF!</definedName>
    <definedName name="__123Graph_AEANMIX92" hidden="1">[1]OLDFILE!#REF!</definedName>
    <definedName name="__123Graph_AINTEREST" localSheetId="16" hidden="1">[1]OLDFILE!#REF!</definedName>
    <definedName name="__123Graph_AINTEREST" localSheetId="14" hidden="1">[1]OLDFILE!#REF!</definedName>
    <definedName name="__123Graph_AINTEREST" localSheetId="19" hidden="1">[1]OLDFILE!#REF!</definedName>
    <definedName name="__123Graph_AINTEREST" localSheetId="24" hidden="1">[1]OLDFILE!#REF!</definedName>
    <definedName name="__123Graph_AINTEREST" localSheetId="21" hidden="1">[1]OLDFILE!#REF!</definedName>
    <definedName name="__123Graph_AINTEREST" localSheetId="8" hidden="1">[1]OLDFILE!#REF!</definedName>
    <definedName name="__123Graph_AINTEREST" localSheetId="6" hidden="1">[1]OLDFILE!#REF!</definedName>
    <definedName name="__123Graph_AINTEREST" localSheetId="17" hidden="1">[1]OLDFILE!#REF!</definedName>
    <definedName name="__123Graph_AINTEREST" localSheetId="10" hidden="1">[1]OLDFILE!#REF!</definedName>
    <definedName name="__123Graph_AINTEREST" localSheetId="12" hidden="1">[1]OLDFILE!#REF!</definedName>
    <definedName name="__123Graph_AINTEREST" hidden="1">[1]OLDFILE!#REF!</definedName>
    <definedName name="__123Graph_ASTAFF" localSheetId="16" hidden="1">[1]OLDFILE!#REF!</definedName>
    <definedName name="__123Graph_ASTAFF" localSheetId="14" hidden="1">[1]OLDFILE!#REF!</definedName>
    <definedName name="__123Graph_ASTAFF" localSheetId="19" hidden="1">[1]OLDFILE!#REF!</definedName>
    <definedName name="__123Graph_ASTAFF" localSheetId="24" hidden="1">[1]OLDFILE!#REF!</definedName>
    <definedName name="__123Graph_ASTAFF" localSheetId="21" hidden="1">[1]OLDFILE!#REF!</definedName>
    <definedName name="__123Graph_ASTAFF" localSheetId="8" hidden="1">[1]OLDFILE!#REF!</definedName>
    <definedName name="__123Graph_ASTAFF" localSheetId="6" hidden="1">[1]OLDFILE!#REF!</definedName>
    <definedName name="__123Graph_ASTAFF" localSheetId="17" hidden="1">[1]OLDFILE!#REF!</definedName>
    <definedName name="__123Graph_ASTAFF" localSheetId="10" hidden="1">[1]OLDFILE!#REF!</definedName>
    <definedName name="__123Graph_ASTAFF" localSheetId="12" hidden="1">[1]OLDFILE!#REF!</definedName>
    <definedName name="__123Graph_ASTAFF" hidden="1">[1]OLDFILE!#REF!</definedName>
    <definedName name="__123Graph_B" localSheetId="16" hidden="1">[1]OLDFILE!#REF!</definedName>
    <definedName name="__123Graph_B" localSheetId="14" hidden="1">[1]OLDFILE!#REF!</definedName>
    <definedName name="__123Graph_B" localSheetId="19" hidden="1">[1]OLDFILE!#REF!</definedName>
    <definedName name="__123Graph_B" localSheetId="24" hidden="1">[1]OLDFILE!#REF!</definedName>
    <definedName name="__123Graph_B" localSheetId="21" hidden="1">[1]OLDFILE!#REF!</definedName>
    <definedName name="__123Graph_B" localSheetId="8" hidden="1">[1]OLDFILE!#REF!</definedName>
    <definedName name="__123Graph_B" localSheetId="6" hidden="1">[1]OLDFILE!#REF!</definedName>
    <definedName name="__123Graph_B" localSheetId="17" hidden="1">[1]OLDFILE!#REF!</definedName>
    <definedName name="__123Graph_B" localSheetId="10" hidden="1">[1]OLDFILE!#REF!</definedName>
    <definedName name="__123Graph_B" localSheetId="12" hidden="1">[1]OLDFILE!#REF!</definedName>
    <definedName name="__123Graph_B" hidden="1">[1]OLDFILE!#REF!</definedName>
    <definedName name="__123Graph_BASSQLTY" localSheetId="16" hidden="1">[1]OLDFILE!#REF!</definedName>
    <definedName name="__123Graph_BASSQLTY" localSheetId="14" hidden="1">[1]OLDFILE!#REF!</definedName>
    <definedName name="__123Graph_BASSQLTY" localSheetId="19" hidden="1">[1]OLDFILE!#REF!</definedName>
    <definedName name="__123Graph_BASSQLTY" localSheetId="24" hidden="1">[1]OLDFILE!#REF!</definedName>
    <definedName name="__123Graph_BASSQLTY" localSheetId="21" hidden="1">[1]OLDFILE!#REF!</definedName>
    <definedName name="__123Graph_BASSQLTY" localSheetId="8" hidden="1">[1]OLDFILE!#REF!</definedName>
    <definedName name="__123Graph_BASSQLTY" localSheetId="6" hidden="1">[1]OLDFILE!#REF!</definedName>
    <definedName name="__123Graph_BASSQLTY" localSheetId="17" hidden="1">[1]OLDFILE!#REF!</definedName>
    <definedName name="__123Graph_BASSQLTY" localSheetId="10" hidden="1">[1]OLDFILE!#REF!</definedName>
    <definedName name="__123Graph_BASSQLTY" localSheetId="12" hidden="1">[1]OLDFILE!#REF!</definedName>
    <definedName name="__123Graph_BASSQLTY" hidden="1">[1]OLDFILE!#REF!</definedName>
    <definedName name="__123Graph_BDEPOSIT" localSheetId="16" hidden="1">[1]OLDFILE!#REF!</definedName>
    <definedName name="__123Graph_BDEPOSIT" localSheetId="14" hidden="1">[1]OLDFILE!#REF!</definedName>
    <definedName name="__123Graph_BDEPOSIT" localSheetId="19" hidden="1">[1]OLDFILE!#REF!</definedName>
    <definedName name="__123Graph_BDEPOSIT" localSheetId="24" hidden="1">[1]OLDFILE!#REF!</definedName>
    <definedName name="__123Graph_BDEPOSIT" localSheetId="21" hidden="1">[1]OLDFILE!#REF!</definedName>
    <definedName name="__123Graph_BDEPOSIT" localSheetId="8" hidden="1">[1]OLDFILE!#REF!</definedName>
    <definedName name="__123Graph_BDEPOSIT" localSheetId="6" hidden="1">[1]OLDFILE!#REF!</definedName>
    <definedName name="__123Graph_BDEPOSIT" localSheetId="17" hidden="1">[1]OLDFILE!#REF!</definedName>
    <definedName name="__123Graph_BDEPOSIT" localSheetId="10" hidden="1">[1]OLDFILE!#REF!</definedName>
    <definedName name="__123Graph_BDEPOSIT" localSheetId="12" hidden="1">[1]OLDFILE!#REF!</definedName>
    <definedName name="__123Graph_BDEPOSIT" hidden="1">[1]OLDFILE!#REF!</definedName>
    <definedName name="__123Graph_BEANMIX92" localSheetId="16" hidden="1">[1]OLDFILE!#REF!</definedName>
    <definedName name="__123Graph_BEANMIX92" localSheetId="14" hidden="1">[1]OLDFILE!#REF!</definedName>
    <definedName name="__123Graph_BEANMIX92" localSheetId="19" hidden="1">[1]OLDFILE!#REF!</definedName>
    <definedName name="__123Graph_BEANMIX92" localSheetId="24" hidden="1">[1]OLDFILE!#REF!</definedName>
    <definedName name="__123Graph_BEANMIX92" localSheetId="21" hidden="1">[1]OLDFILE!#REF!</definedName>
    <definedName name="__123Graph_BEANMIX92" localSheetId="8" hidden="1">[1]OLDFILE!#REF!</definedName>
    <definedName name="__123Graph_BEANMIX92" localSheetId="6" hidden="1">[1]OLDFILE!#REF!</definedName>
    <definedName name="__123Graph_BEANMIX92" localSheetId="17" hidden="1">[1]OLDFILE!#REF!</definedName>
    <definedName name="__123Graph_BEANMIX92" localSheetId="10" hidden="1">[1]OLDFILE!#REF!</definedName>
    <definedName name="__123Graph_BEANMIX92" localSheetId="12" hidden="1">[1]OLDFILE!#REF!</definedName>
    <definedName name="__123Graph_BEANMIX92" hidden="1">[1]OLDFILE!#REF!</definedName>
    <definedName name="__123Graph_BINTEREST" localSheetId="16" hidden="1">[1]OLDFILE!#REF!</definedName>
    <definedName name="__123Graph_BINTEREST" localSheetId="14" hidden="1">[1]OLDFILE!#REF!</definedName>
    <definedName name="__123Graph_BINTEREST" localSheetId="19" hidden="1">[1]OLDFILE!#REF!</definedName>
    <definedName name="__123Graph_BINTEREST" localSheetId="24" hidden="1">[1]OLDFILE!#REF!</definedName>
    <definedName name="__123Graph_BINTEREST" localSheetId="21" hidden="1">[1]OLDFILE!#REF!</definedName>
    <definedName name="__123Graph_BINTEREST" localSheetId="8" hidden="1">[1]OLDFILE!#REF!</definedName>
    <definedName name="__123Graph_BINTEREST" localSheetId="6" hidden="1">[1]OLDFILE!#REF!</definedName>
    <definedName name="__123Graph_BINTEREST" localSheetId="17" hidden="1">[1]OLDFILE!#REF!</definedName>
    <definedName name="__123Graph_BINTEREST" localSheetId="10" hidden="1">[1]OLDFILE!#REF!</definedName>
    <definedName name="__123Graph_BINTEREST" localSheetId="12" hidden="1">[1]OLDFILE!#REF!</definedName>
    <definedName name="__123Graph_BINTEREST" hidden="1">[1]OLDFILE!#REF!</definedName>
    <definedName name="__123Graph_BSTAFF" localSheetId="16" hidden="1">[1]OLDFILE!#REF!</definedName>
    <definedName name="__123Graph_BSTAFF" localSheetId="14" hidden="1">[1]OLDFILE!#REF!</definedName>
    <definedName name="__123Graph_BSTAFF" localSheetId="19" hidden="1">[1]OLDFILE!#REF!</definedName>
    <definedName name="__123Graph_BSTAFF" localSheetId="24" hidden="1">[1]OLDFILE!#REF!</definedName>
    <definedName name="__123Graph_BSTAFF" localSheetId="21" hidden="1">[1]OLDFILE!#REF!</definedName>
    <definedName name="__123Graph_BSTAFF" localSheetId="8" hidden="1">[1]OLDFILE!#REF!</definedName>
    <definedName name="__123Graph_BSTAFF" localSheetId="6" hidden="1">[1]OLDFILE!#REF!</definedName>
    <definedName name="__123Graph_BSTAFF" localSheetId="17" hidden="1">[1]OLDFILE!#REF!</definedName>
    <definedName name="__123Graph_BSTAFF" localSheetId="10" hidden="1">[1]OLDFILE!#REF!</definedName>
    <definedName name="__123Graph_BSTAFF" localSheetId="12" hidden="1">[1]OLDFILE!#REF!</definedName>
    <definedName name="__123Graph_BSTAFF" hidden="1">[1]OLDFILE!#REF!</definedName>
    <definedName name="__123Graph_CDEPOSIT" localSheetId="16" hidden="1">[1]OLDFILE!#REF!</definedName>
    <definedName name="__123Graph_CDEPOSIT" localSheetId="14" hidden="1">[1]OLDFILE!#REF!</definedName>
    <definedName name="__123Graph_CDEPOSIT" localSheetId="19" hidden="1">[1]OLDFILE!#REF!</definedName>
    <definedName name="__123Graph_CDEPOSIT" localSheetId="24" hidden="1">[1]OLDFILE!#REF!</definedName>
    <definedName name="__123Graph_CDEPOSIT" localSheetId="21" hidden="1">[1]OLDFILE!#REF!</definedName>
    <definedName name="__123Graph_CDEPOSIT" localSheetId="8" hidden="1">[1]OLDFILE!#REF!</definedName>
    <definedName name="__123Graph_CDEPOSIT" localSheetId="6" hidden="1">[1]OLDFILE!#REF!</definedName>
    <definedName name="__123Graph_CDEPOSIT" localSheetId="17" hidden="1">[1]OLDFILE!#REF!</definedName>
    <definedName name="__123Graph_CDEPOSIT" localSheetId="10" hidden="1">[1]OLDFILE!#REF!</definedName>
    <definedName name="__123Graph_CDEPOSIT" localSheetId="12" hidden="1">[1]OLDFILE!#REF!</definedName>
    <definedName name="__123Graph_CDEPOSIT" hidden="1">[1]OLDFILE!#REF!</definedName>
    <definedName name="__123Graph_DDEPOSIT" localSheetId="16" hidden="1">[1]OLDFILE!#REF!</definedName>
    <definedName name="__123Graph_DDEPOSIT" localSheetId="14" hidden="1">[1]OLDFILE!#REF!</definedName>
    <definedName name="__123Graph_DDEPOSIT" localSheetId="19" hidden="1">[1]OLDFILE!#REF!</definedName>
    <definedName name="__123Graph_DDEPOSIT" localSheetId="24" hidden="1">[1]OLDFILE!#REF!</definedName>
    <definedName name="__123Graph_DDEPOSIT" localSheetId="21" hidden="1">[1]OLDFILE!#REF!</definedName>
    <definedName name="__123Graph_DDEPOSIT" localSheetId="8" hidden="1">[1]OLDFILE!#REF!</definedName>
    <definedName name="__123Graph_DDEPOSIT" localSheetId="6" hidden="1">[1]OLDFILE!#REF!</definedName>
    <definedName name="__123Graph_DDEPOSIT" localSheetId="17" hidden="1">[1]OLDFILE!#REF!</definedName>
    <definedName name="__123Graph_DDEPOSIT" localSheetId="10" hidden="1">[1]OLDFILE!#REF!</definedName>
    <definedName name="__123Graph_DDEPOSIT" localSheetId="12" hidden="1">[1]OLDFILE!#REF!</definedName>
    <definedName name="__123Graph_DDEPOSIT" hidden="1">[1]OLDFILE!#REF!</definedName>
    <definedName name="__123Graph_LBL_ADEPOSIT" localSheetId="16" hidden="1">[1]OLDFILE!#REF!</definedName>
    <definedName name="__123Graph_LBL_ADEPOSIT" localSheetId="14" hidden="1">[1]OLDFILE!#REF!</definedName>
    <definedName name="__123Graph_LBL_ADEPOSIT" localSheetId="19" hidden="1">[1]OLDFILE!#REF!</definedName>
    <definedName name="__123Graph_LBL_ADEPOSIT" localSheetId="24" hidden="1">[1]OLDFILE!#REF!</definedName>
    <definedName name="__123Graph_LBL_ADEPOSIT" localSheetId="21" hidden="1">[1]OLDFILE!#REF!</definedName>
    <definedName name="__123Graph_LBL_ADEPOSIT" localSheetId="8" hidden="1">[1]OLDFILE!#REF!</definedName>
    <definedName name="__123Graph_LBL_ADEPOSIT" localSheetId="6" hidden="1">[1]OLDFILE!#REF!</definedName>
    <definedName name="__123Graph_LBL_ADEPOSIT" localSheetId="17" hidden="1">[1]OLDFILE!#REF!</definedName>
    <definedName name="__123Graph_LBL_ADEPOSIT" localSheetId="10" hidden="1">[1]OLDFILE!#REF!</definedName>
    <definedName name="__123Graph_LBL_ADEPOSIT" localSheetId="12" hidden="1">[1]OLDFILE!#REF!</definedName>
    <definedName name="__123Graph_LBL_ADEPOSIT" hidden="1">[1]OLDFILE!#REF!</definedName>
    <definedName name="__123Graph_X" localSheetId="16" hidden="1">[1]OLDFILE!#REF!</definedName>
    <definedName name="__123Graph_X" localSheetId="14" hidden="1">[1]OLDFILE!#REF!</definedName>
    <definedName name="__123Graph_X" localSheetId="19" hidden="1">[1]OLDFILE!#REF!</definedName>
    <definedName name="__123Graph_X" localSheetId="24" hidden="1">[1]OLDFILE!#REF!</definedName>
    <definedName name="__123Graph_X" localSheetId="21" hidden="1">[1]OLDFILE!#REF!</definedName>
    <definedName name="__123Graph_X" localSheetId="8" hidden="1">[1]OLDFILE!#REF!</definedName>
    <definedName name="__123Graph_X" localSheetId="6" hidden="1">[1]OLDFILE!#REF!</definedName>
    <definedName name="__123Graph_X" localSheetId="17" hidden="1">[1]OLDFILE!#REF!</definedName>
    <definedName name="__123Graph_X" localSheetId="10" hidden="1">[1]OLDFILE!#REF!</definedName>
    <definedName name="__123Graph_X" localSheetId="12" hidden="1">[1]OLDFILE!#REF!</definedName>
    <definedName name="__123Graph_X" hidden="1">[1]OLDFILE!#REF!</definedName>
    <definedName name="__123Graph_XASSQLTY" localSheetId="16" hidden="1">[1]OLDFILE!#REF!</definedName>
    <definedName name="__123Graph_XASSQLTY" localSheetId="14" hidden="1">[1]OLDFILE!#REF!</definedName>
    <definedName name="__123Graph_XASSQLTY" localSheetId="19" hidden="1">[1]OLDFILE!#REF!</definedName>
    <definedName name="__123Graph_XASSQLTY" localSheetId="24" hidden="1">[1]OLDFILE!#REF!</definedName>
    <definedName name="__123Graph_XASSQLTY" localSheetId="21" hidden="1">[1]OLDFILE!#REF!</definedName>
    <definedName name="__123Graph_XASSQLTY" localSheetId="8" hidden="1">[1]OLDFILE!#REF!</definedName>
    <definedName name="__123Graph_XASSQLTY" localSheetId="6" hidden="1">[1]OLDFILE!#REF!</definedName>
    <definedName name="__123Graph_XASSQLTY" localSheetId="17" hidden="1">[1]OLDFILE!#REF!</definedName>
    <definedName name="__123Graph_XASSQLTY" localSheetId="10" hidden="1">[1]OLDFILE!#REF!</definedName>
    <definedName name="__123Graph_XASSQLTY" localSheetId="12" hidden="1">[1]OLDFILE!#REF!</definedName>
    <definedName name="__123Graph_XASSQLTY" hidden="1">[1]OLDFILE!#REF!</definedName>
    <definedName name="__123Graph_XDEPOSIT" localSheetId="16" hidden="1">[1]OLDFILE!#REF!</definedName>
    <definedName name="__123Graph_XDEPOSIT" localSheetId="14" hidden="1">[1]OLDFILE!#REF!</definedName>
    <definedName name="__123Graph_XDEPOSIT" localSheetId="19" hidden="1">[1]OLDFILE!#REF!</definedName>
    <definedName name="__123Graph_XDEPOSIT" localSheetId="24" hidden="1">[1]OLDFILE!#REF!</definedName>
    <definedName name="__123Graph_XDEPOSIT" localSheetId="21" hidden="1">[1]OLDFILE!#REF!</definedName>
    <definedName name="__123Graph_XDEPOSIT" localSheetId="8" hidden="1">[1]OLDFILE!#REF!</definedName>
    <definedName name="__123Graph_XDEPOSIT" localSheetId="6" hidden="1">[1]OLDFILE!#REF!</definedName>
    <definedName name="__123Graph_XDEPOSIT" localSheetId="17" hidden="1">[1]OLDFILE!#REF!</definedName>
    <definedName name="__123Graph_XDEPOSIT" localSheetId="10" hidden="1">[1]OLDFILE!#REF!</definedName>
    <definedName name="__123Graph_XDEPOSIT" localSheetId="12" hidden="1">[1]OLDFILE!#REF!</definedName>
    <definedName name="__123Graph_XDEPOSIT" hidden="1">[1]OLDFILE!#REF!</definedName>
    <definedName name="__123Graph_XEANMIX92" localSheetId="16" hidden="1">[1]OLDFILE!#REF!</definedName>
    <definedName name="__123Graph_XEANMIX92" localSheetId="14" hidden="1">[1]OLDFILE!#REF!</definedName>
    <definedName name="__123Graph_XEANMIX92" localSheetId="19" hidden="1">[1]OLDFILE!#REF!</definedName>
    <definedName name="__123Graph_XEANMIX92" localSheetId="24" hidden="1">[1]OLDFILE!#REF!</definedName>
    <definedName name="__123Graph_XEANMIX92" localSheetId="21" hidden="1">[1]OLDFILE!#REF!</definedName>
    <definedName name="__123Graph_XEANMIX92" localSheetId="8" hidden="1">[1]OLDFILE!#REF!</definedName>
    <definedName name="__123Graph_XEANMIX92" localSheetId="6" hidden="1">[1]OLDFILE!#REF!</definedName>
    <definedName name="__123Graph_XEANMIX92" localSheetId="17" hidden="1">[1]OLDFILE!#REF!</definedName>
    <definedName name="__123Graph_XEANMIX92" localSheetId="10" hidden="1">[1]OLDFILE!#REF!</definedName>
    <definedName name="__123Graph_XEANMIX92" localSheetId="12" hidden="1">[1]OLDFILE!#REF!</definedName>
    <definedName name="__123Graph_XEANMIX92" hidden="1">[1]OLDFILE!#REF!</definedName>
    <definedName name="__123Graph_XINTEREST" localSheetId="16" hidden="1">[1]OLDFILE!#REF!</definedName>
    <definedName name="__123Graph_XINTEREST" localSheetId="14" hidden="1">[1]OLDFILE!#REF!</definedName>
    <definedName name="__123Graph_XINTEREST" localSheetId="19" hidden="1">[1]OLDFILE!#REF!</definedName>
    <definedName name="__123Graph_XINTEREST" localSheetId="24" hidden="1">[1]OLDFILE!#REF!</definedName>
    <definedName name="__123Graph_XINTEREST" localSheetId="21" hidden="1">[1]OLDFILE!#REF!</definedName>
    <definedName name="__123Graph_XINTEREST" localSheetId="8" hidden="1">[1]OLDFILE!#REF!</definedName>
    <definedName name="__123Graph_XINTEREST" localSheetId="6" hidden="1">[1]OLDFILE!#REF!</definedName>
    <definedName name="__123Graph_XINTEREST" localSheetId="17" hidden="1">[1]OLDFILE!#REF!</definedName>
    <definedName name="__123Graph_XINTEREST" localSheetId="10" hidden="1">[1]OLDFILE!#REF!</definedName>
    <definedName name="__123Graph_XINTEREST" localSheetId="12" hidden="1">[1]OLDFILE!#REF!</definedName>
    <definedName name="__123Graph_XINTEREST" hidden="1">[1]OLDFILE!#REF!</definedName>
    <definedName name="__123Graph_XSTAFF" localSheetId="16" hidden="1">[1]OLDFILE!#REF!</definedName>
    <definedName name="__123Graph_XSTAFF" localSheetId="14" hidden="1">[1]OLDFILE!#REF!</definedName>
    <definedName name="__123Graph_XSTAFF" localSheetId="19" hidden="1">[1]OLDFILE!#REF!</definedName>
    <definedName name="__123Graph_XSTAFF" localSheetId="24" hidden="1">[1]OLDFILE!#REF!</definedName>
    <definedName name="__123Graph_XSTAFF" localSheetId="21" hidden="1">[1]OLDFILE!#REF!</definedName>
    <definedName name="__123Graph_XSTAFF" localSheetId="8" hidden="1">[1]OLDFILE!#REF!</definedName>
    <definedName name="__123Graph_XSTAFF" localSheetId="6" hidden="1">[1]OLDFILE!#REF!</definedName>
    <definedName name="__123Graph_XSTAFF" localSheetId="17" hidden="1">[1]OLDFILE!#REF!</definedName>
    <definedName name="__123Graph_XSTAFF" localSheetId="10" hidden="1">[1]OLDFILE!#REF!</definedName>
    <definedName name="__123Graph_XSTAFF" localSheetId="12" hidden="1">[1]OLDFILE!#REF!</definedName>
    <definedName name="__123Graph_XSTAFF" hidden="1">[1]OLDFILE!#REF!</definedName>
    <definedName name="__DAT1" localSheetId="16">#REF!</definedName>
    <definedName name="__DAT1" localSheetId="14">#REF!</definedName>
    <definedName name="__DAT1" localSheetId="19">#REF!</definedName>
    <definedName name="__DAT1" localSheetId="24">#REF!</definedName>
    <definedName name="__DAT1" localSheetId="0">#REF!</definedName>
    <definedName name="__DAT1" localSheetId="21">#REF!</definedName>
    <definedName name="__DAT1" localSheetId="8">#REF!</definedName>
    <definedName name="__DAT1" localSheetId="6">#REF!</definedName>
    <definedName name="__DAT1" localSheetId="1">#REF!</definedName>
    <definedName name="__DAT1" localSheetId="25">#REF!</definedName>
    <definedName name="__DAT1" localSheetId="17">#REF!</definedName>
    <definedName name="__DAT1" localSheetId="10">#REF!</definedName>
    <definedName name="__DAT1" localSheetId="12">#REF!</definedName>
    <definedName name="__DAT1">#REF!</definedName>
    <definedName name="__DAT10" localSheetId="16">#REF!</definedName>
    <definedName name="__DAT10" localSheetId="14">#REF!</definedName>
    <definedName name="__DAT10" localSheetId="19">#REF!</definedName>
    <definedName name="__DAT10" localSheetId="24">#REF!</definedName>
    <definedName name="__DAT10" localSheetId="21">#REF!</definedName>
    <definedName name="__DAT10" localSheetId="8">#REF!</definedName>
    <definedName name="__DAT10" localSheetId="6">#REF!</definedName>
    <definedName name="__DAT10" localSheetId="25">#REF!</definedName>
    <definedName name="__DAT10" localSheetId="17">#REF!</definedName>
    <definedName name="__DAT10" localSheetId="10">#REF!</definedName>
    <definedName name="__DAT10" localSheetId="12">#REF!</definedName>
    <definedName name="__DAT10">#REF!</definedName>
    <definedName name="__DAT11" localSheetId="16">#REF!</definedName>
    <definedName name="__DAT11" localSheetId="14">#REF!</definedName>
    <definedName name="__DAT11" localSheetId="19">#REF!</definedName>
    <definedName name="__DAT11" localSheetId="24">#REF!</definedName>
    <definedName name="__DAT11" localSheetId="21">#REF!</definedName>
    <definedName name="__DAT11" localSheetId="8">#REF!</definedName>
    <definedName name="__DAT11" localSheetId="6">#REF!</definedName>
    <definedName name="__DAT11" localSheetId="25">#REF!</definedName>
    <definedName name="__DAT11" localSheetId="17">#REF!</definedName>
    <definedName name="__DAT11" localSheetId="10">#REF!</definedName>
    <definedName name="__DAT11" localSheetId="12">#REF!</definedName>
    <definedName name="__DAT11">#REF!</definedName>
    <definedName name="__DAT12" localSheetId="16">#REF!</definedName>
    <definedName name="__DAT12" localSheetId="14">#REF!</definedName>
    <definedName name="__DAT12" localSheetId="19">#REF!</definedName>
    <definedName name="__DAT12" localSheetId="24">#REF!</definedName>
    <definedName name="__DAT12" localSheetId="21">#REF!</definedName>
    <definedName name="__DAT12" localSheetId="8">#REF!</definedName>
    <definedName name="__DAT12" localSheetId="6">#REF!</definedName>
    <definedName name="__DAT12" localSheetId="25">#REF!</definedName>
    <definedName name="__DAT12" localSheetId="17">#REF!</definedName>
    <definedName name="__DAT12" localSheetId="10">#REF!</definedName>
    <definedName name="__DAT12" localSheetId="12">#REF!</definedName>
    <definedName name="__DAT12">#REF!</definedName>
    <definedName name="__DAT13" localSheetId="16">#REF!</definedName>
    <definedName name="__DAT13" localSheetId="14">#REF!</definedName>
    <definedName name="__DAT13" localSheetId="19">#REF!</definedName>
    <definedName name="__DAT13" localSheetId="24">#REF!</definedName>
    <definedName name="__DAT13" localSheetId="21">#REF!</definedName>
    <definedName name="__DAT13" localSheetId="8">#REF!</definedName>
    <definedName name="__DAT13" localSheetId="6">#REF!</definedName>
    <definedName name="__DAT13" localSheetId="25">#REF!</definedName>
    <definedName name="__DAT13" localSheetId="17">#REF!</definedName>
    <definedName name="__DAT13" localSheetId="10">#REF!</definedName>
    <definedName name="__DAT13" localSheetId="12">#REF!</definedName>
    <definedName name="__DAT13">#REF!</definedName>
    <definedName name="__DAT14" localSheetId="16">#REF!</definedName>
    <definedName name="__DAT14" localSheetId="14">#REF!</definedName>
    <definedName name="__DAT14" localSheetId="19">#REF!</definedName>
    <definedName name="__DAT14" localSheetId="24">#REF!</definedName>
    <definedName name="__DAT14" localSheetId="21">#REF!</definedName>
    <definedName name="__DAT14" localSheetId="8">#REF!</definedName>
    <definedName name="__DAT14" localSheetId="6">#REF!</definedName>
    <definedName name="__DAT14" localSheetId="25">#REF!</definedName>
    <definedName name="__DAT14" localSheetId="17">#REF!</definedName>
    <definedName name="__DAT14" localSheetId="10">#REF!</definedName>
    <definedName name="__DAT14" localSheetId="12">#REF!</definedName>
    <definedName name="__DAT14">#REF!</definedName>
    <definedName name="__DAT15" localSheetId="16">#REF!</definedName>
    <definedName name="__DAT15" localSheetId="14">#REF!</definedName>
    <definedName name="__DAT15" localSheetId="19">#REF!</definedName>
    <definedName name="__DAT15" localSheetId="24">#REF!</definedName>
    <definedName name="__DAT15" localSheetId="21">#REF!</definedName>
    <definedName name="__DAT15" localSheetId="8">#REF!</definedName>
    <definedName name="__DAT15" localSheetId="6">#REF!</definedName>
    <definedName name="__DAT15" localSheetId="25">#REF!</definedName>
    <definedName name="__DAT15" localSheetId="17">#REF!</definedName>
    <definedName name="__DAT15" localSheetId="10">#REF!</definedName>
    <definedName name="__DAT15" localSheetId="12">#REF!</definedName>
    <definedName name="__DAT15">#REF!</definedName>
    <definedName name="__DAT16" localSheetId="16">#REF!</definedName>
    <definedName name="__DAT16" localSheetId="14">#REF!</definedName>
    <definedName name="__DAT16" localSheetId="19">#REF!</definedName>
    <definedName name="__DAT16" localSheetId="24">#REF!</definedName>
    <definedName name="__DAT16" localSheetId="21">#REF!</definedName>
    <definedName name="__DAT16" localSheetId="8">#REF!</definedName>
    <definedName name="__DAT16" localSheetId="6">#REF!</definedName>
    <definedName name="__DAT16" localSheetId="25">#REF!</definedName>
    <definedName name="__DAT16" localSheetId="17">#REF!</definedName>
    <definedName name="__DAT16" localSheetId="10">#REF!</definedName>
    <definedName name="__DAT16" localSheetId="12">#REF!</definedName>
    <definedName name="__DAT16">#REF!</definedName>
    <definedName name="__DAT17" localSheetId="16">#REF!</definedName>
    <definedName name="__DAT17" localSheetId="14">#REF!</definedName>
    <definedName name="__DAT17" localSheetId="19">#REF!</definedName>
    <definedName name="__DAT17" localSheetId="24">#REF!</definedName>
    <definedName name="__DAT17" localSheetId="21">#REF!</definedName>
    <definedName name="__DAT17" localSheetId="8">#REF!</definedName>
    <definedName name="__DAT17" localSheetId="6">#REF!</definedName>
    <definedName name="__DAT17" localSheetId="25">#REF!</definedName>
    <definedName name="__DAT17" localSheetId="17">#REF!</definedName>
    <definedName name="__DAT17" localSheetId="10">#REF!</definedName>
    <definedName name="__DAT17" localSheetId="12">#REF!</definedName>
    <definedName name="__DAT17">#REF!</definedName>
    <definedName name="__DAT18" localSheetId="16">#REF!</definedName>
    <definedName name="__DAT18" localSheetId="14">#REF!</definedName>
    <definedName name="__DAT18" localSheetId="19">#REF!</definedName>
    <definedName name="__DAT18" localSheetId="24">#REF!</definedName>
    <definedName name="__DAT18" localSheetId="21">#REF!</definedName>
    <definedName name="__DAT18" localSheetId="8">#REF!</definedName>
    <definedName name="__DAT18" localSheetId="6">#REF!</definedName>
    <definedName name="__DAT18" localSheetId="25">#REF!</definedName>
    <definedName name="__DAT18" localSheetId="17">#REF!</definedName>
    <definedName name="__DAT18" localSheetId="10">#REF!</definedName>
    <definedName name="__DAT18" localSheetId="12">#REF!</definedName>
    <definedName name="__DAT18">#REF!</definedName>
    <definedName name="__DAT19" localSheetId="16">#REF!</definedName>
    <definedName name="__DAT19" localSheetId="14">#REF!</definedName>
    <definedName name="__DAT19" localSheetId="19">#REF!</definedName>
    <definedName name="__DAT19" localSheetId="24">#REF!</definedName>
    <definedName name="__DAT19" localSheetId="21">#REF!</definedName>
    <definedName name="__DAT19" localSheetId="8">#REF!</definedName>
    <definedName name="__DAT19" localSheetId="6">#REF!</definedName>
    <definedName name="__DAT19" localSheetId="25">#REF!</definedName>
    <definedName name="__DAT19" localSheetId="17">#REF!</definedName>
    <definedName name="__DAT19" localSheetId="10">#REF!</definedName>
    <definedName name="__DAT19" localSheetId="12">#REF!</definedName>
    <definedName name="__DAT19">#REF!</definedName>
    <definedName name="__DAT2" localSheetId="16">#REF!</definedName>
    <definedName name="__DAT2" localSheetId="14">#REF!</definedName>
    <definedName name="__DAT2" localSheetId="19">#REF!</definedName>
    <definedName name="__DAT2" localSheetId="24">#REF!</definedName>
    <definedName name="__DAT2" localSheetId="21">#REF!</definedName>
    <definedName name="__DAT2" localSheetId="8">#REF!</definedName>
    <definedName name="__DAT2" localSheetId="6">#REF!</definedName>
    <definedName name="__DAT2" localSheetId="25">#REF!</definedName>
    <definedName name="__DAT2" localSheetId="17">#REF!</definedName>
    <definedName name="__DAT2" localSheetId="10">#REF!</definedName>
    <definedName name="__DAT2" localSheetId="12">#REF!</definedName>
    <definedName name="__DAT2">#REF!</definedName>
    <definedName name="__DAT20" localSheetId="16">#REF!</definedName>
    <definedName name="__DAT20" localSheetId="14">#REF!</definedName>
    <definedName name="__DAT20" localSheetId="19">#REF!</definedName>
    <definedName name="__DAT20" localSheetId="24">#REF!</definedName>
    <definedName name="__DAT20" localSheetId="21">#REF!</definedName>
    <definedName name="__DAT20" localSheetId="8">#REF!</definedName>
    <definedName name="__DAT20" localSheetId="6">#REF!</definedName>
    <definedName name="__DAT20" localSheetId="25">#REF!</definedName>
    <definedName name="__DAT20" localSheetId="17">#REF!</definedName>
    <definedName name="__DAT20" localSheetId="10">#REF!</definedName>
    <definedName name="__DAT20" localSheetId="12">#REF!</definedName>
    <definedName name="__DAT20">#REF!</definedName>
    <definedName name="__DAT21" localSheetId="16">#REF!</definedName>
    <definedName name="__DAT21" localSheetId="14">#REF!</definedName>
    <definedName name="__DAT21" localSheetId="19">#REF!</definedName>
    <definedName name="__DAT21" localSheetId="24">#REF!</definedName>
    <definedName name="__DAT21" localSheetId="21">#REF!</definedName>
    <definedName name="__DAT21" localSheetId="8">#REF!</definedName>
    <definedName name="__DAT21" localSheetId="6">#REF!</definedName>
    <definedName name="__DAT21" localSheetId="25">#REF!</definedName>
    <definedName name="__DAT21" localSheetId="17">#REF!</definedName>
    <definedName name="__DAT21" localSheetId="10">#REF!</definedName>
    <definedName name="__DAT21" localSheetId="12">#REF!</definedName>
    <definedName name="__DAT21">#REF!</definedName>
    <definedName name="__DAT22" localSheetId="16">#REF!</definedName>
    <definedName name="__DAT22" localSheetId="14">#REF!</definedName>
    <definedName name="__DAT22" localSheetId="19">#REF!</definedName>
    <definedName name="__DAT22" localSheetId="24">#REF!</definedName>
    <definedName name="__DAT22" localSheetId="21">#REF!</definedName>
    <definedName name="__DAT22" localSheetId="8">#REF!</definedName>
    <definedName name="__DAT22" localSheetId="6">#REF!</definedName>
    <definedName name="__DAT22" localSheetId="25">#REF!</definedName>
    <definedName name="__DAT22" localSheetId="17">#REF!</definedName>
    <definedName name="__DAT22" localSheetId="10">#REF!</definedName>
    <definedName name="__DAT22" localSheetId="12">#REF!</definedName>
    <definedName name="__DAT22">#REF!</definedName>
    <definedName name="__DAT23" localSheetId="16">#REF!</definedName>
    <definedName name="__DAT23" localSheetId="14">#REF!</definedName>
    <definedName name="__DAT23" localSheetId="19">#REF!</definedName>
    <definedName name="__DAT23" localSheetId="24">#REF!</definedName>
    <definedName name="__DAT23" localSheetId="21">#REF!</definedName>
    <definedName name="__DAT23" localSheetId="8">#REF!</definedName>
    <definedName name="__DAT23" localSheetId="6">#REF!</definedName>
    <definedName name="__DAT23" localSheetId="25">#REF!</definedName>
    <definedName name="__DAT23" localSheetId="17">#REF!</definedName>
    <definedName name="__DAT23" localSheetId="10">#REF!</definedName>
    <definedName name="__DAT23" localSheetId="12">#REF!</definedName>
    <definedName name="__DAT23">#REF!</definedName>
    <definedName name="__DAT24" localSheetId="16">#REF!</definedName>
    <definedName name="__DAT24" localSheetId="14">#REF!</definedName>
    <definedName name="__DAT24" localSheetId="19">#REF!</definedName>
    <definedName name="__DAT24" localSheetId="24">#REF!</definedName>
    <definedName name="__DAT24" localSheetId="21">#REF!</definedName>
    <definedName name="__DAT24" localSheetId="8">#REF!</definedName>
    <definedName name="__DAT24" localSheetId="6">#REF!</definedName>
    <definedName name="__DAT24" localSheetId="25">#REF!</definedName>
    <definedName name="__DAT24" localSheetId="17">#REF!</definedName>
    <definedName name="__DAT24" localSheetId="10">#REF!</definedName>
    <definedName name="__DAT24" localSheetId="12">#REF!</definedName>
    <definedName name="__DAT24">#REF!</definedName>
    <definedName name="__DAT3" localSheetId="16">#REF!</definedName>
    <definedName name="__DAT3" localSheetId="14">#REF!</definedName>
    <definedName name="__DAT3" localSheetId="19">#REF!</definedName>
    <definedName name="__DAT3" localSheetId="24">#REF!</definedName>
    <definedName name="__DAT3" localSheetId="21">#REF!</definedName>
    <definedName name="__DAT3" localSheetId="8">#REF!</definedName>
    <definedName name="__DAT3" localSheetId="6">#REF!</definedName>
    <definedName name="__DAT3" localSheetId="25">#REF!</definedName>
    <definedName name="__DAT3" localSheetId="17">#REF!</definedName>
    <definedName name="__DAT3" localSheetId="10">#REF!</definedName>
    <definedName name="__DAT3" localSheetId="12">#REF!</definedName>
    <definedName name="__DAT3">#REF!</definedName>
    <definedName name="__DAT4" localSheetId="16">#REF!</definedName>
    <definedName name="__DAT4" localSheetId="14">#REF!</definedName>
    <definedName name="__DAT4" localSheetId="19">#REF!</definedName>
    <definedName name="__DAT4" localSheetId="24">#REF!</definedName>
    <definedName name="__DAT4" localSheetId="21">#REF!</definedName>
    <definedName name="__DAT4" localSheetId="8">#REF!</definedName>
    <definedName name="__DAT4" localSheetId="6">#REF!</definedName>
    <definedName name="__DAT4" localSheetId="25">#REF!</definedName>
    <definedName name="__DAT4" localSheetId="17">#REF!</definedName>
    <definedName name="__DAT4" localSheetId="10">#REF!</definedName>
    <definedName name="__DAT4" localSheetId="12">#REF!</definedName>
    <definedName name="__DAT4">#REF!</definedName>
    <definedName name="__DAT5" localSheetId="16">#REF!</definedName>
    <definedName name="__DAT5" localSheetId="14">#REF!</definedName>
    <definedName name="__DAT5" localSheetId="19">#REF!</definedName>
    <definedName name="__DAT5" localSheetId="24">#REF!</definedName>
    <definedName name="__DAT5" localSheetId="21">#REF!</definedName>
    <definedName name="__DAT5" localSheetId="8">#REF!</definedName>
    <definedName name="__DAT5" localSheetId="6">#REF!</definedName>
    <definedName name="__DAT5" localSheetId="25">#REF!</definedName>
    <definedName name="__DAT5" localSheetId="17">#REF!</definedName>
    <definedName name="__DAT5" localSheetId="10">#REF!</definedName>
    <definedName name="__DAT5" localSheetId="12">#REF!</definedName>
    <definedName name="__DAT5">#REF!</definedName>
    <definedName name="__DAT6" localSheetId="16">#REF!</definedName>
    <definedName name="__DAT6" localSheetId="14">#REF!</definedName>
    <definedName name="__DAT6" localSheetId="19">#REF!</definedName>
    <definedName name="__DAT6" localSheetId="24">#REF!</definedName>
    <definedName name="__DAT6" localSheetId="21">#REF!</definedName>
    <definedName name="__DAT6" localSheetId="8">#REF!</definedName>
    <definedName name="__DAT6" localSheetId="6">#REF!</definedName>
    <definedName name="__DAT6" localSheetId="25">#REF!</definedName>
    <definedName name="__DAT6" localSheetId="17">#REF!</definedName>
    <definedName name="__DAT6" localSheetId="10">#REF!</definedName>
    <definedName name="__DAT6" localSheetId="12">#REF!</definedName>
    <definedName name="__DAT6">#REF!</definedName>
    <definedName name="__DAT7" localSheetId="16">#REF!</definedName>
    <definedName name="__DAT7" localSheetId="14">#REF!</definedName>
    <definedName name="__DAT7" localSheetId="19">#REF!</definedName>
    <definedName name="__DAT7" localSheetId="24">#REF!</definedName>
    <definedName name="__DAT7" localSheetId="21">#REF!</definedName>
    <definedName name="__DAT7" localSheetId="8">#REF!</definedName>
    <definedName name="__DAT7" localSheetId="6">#REF!</definedName>
    <definedName name="__DAT7" localSheetId="25">#REF!</definedName>
    <definedName name="__DAT7" localSheetId="17">#REF!</definedName>
    <definedName name="__DAT7" localSheetId="10">#REF!</definedName>
    <definedName name="__DAT7" localSheetId="12">#REF!</definedName>
    <definedName name="__DAT7">#REF!</definedName>
    <definedName name="__DAT8" localSheetId="16">#REF!</definedName>
    <definedName name="__DAT8" localSheetId="14">#REF!</definedName>
    <definedName name="__DAT8" localSheetId="19">#REF!</definedName>
    <definedName name="__DAT8" localSheetId="24">#REF!</definedName>
    <definedName name="__DAT8" localSheetId="21">#REF!</definedName>
    <definedName name="__DAT8" localSheetId="8">#REF!</definedName>
    <definedName name="__DAT8" localSheetId="6">#REF!</definedName>
    <definedName name="__DAT8" localSheetId="25">#REF!</definedName>
    <definedName name="__DAT8" localSheetId="17">#REF!</definedName>
    <definedName name="__DAT8" localSheetId="10">#REF!</definedName>
    <definedName name="__DAT8" localSheetId="12">#REF!</definedName>
    <definedName name="__DAT8">#REF!</definedName>
    <definedName name="__DAT9" localSheetId="16">#REF!</definedName>
    <definedName name="__DAT9" localSheetId="14">#REF!</definedName>
    <definedName name="__DAT9" localSheetId="19">#REF!</definedName>
    <definedName name="__DAT9" localSheetId="24">#REF!</definedName>
    <definedName name="__DAT9" localSheetId="21">#REF!</definedName>
    <definedName name="__DAT9" localSheetId="8">#REF!</definedName>
    <definedName name="__DAT9" localSheetId="6">#REF!</definedName>
    <definedName name="__DAT9" localSheetId="25">#REF!</definedName>
    <definedName name="__DAT9" localSheetId="17">#REF!</definedName>
    <definedName name="__DAT9" localSheetId="10">#REF!</definedName>
    <definedName name="__DAT9" localSheetId="12">#REF!</definedName>
    <definedName name="__DAT9">#REF!</definedName>
    <definedName name="_12__123Graph_BROA_E" localSheetId="16" hidden="1">[1]OLDFILE!#REF!</definedName>
    <definedName name="_12__123Graph_BROA_E" localSheetId="14" hidden="1">[1]OLDFILE!#REF!</definedName>
    <definedName name="_12__123Graph_BROA_E" localSheetId="19" hidden="1">[1]OLDFILE!#REF!</definedName>
    <definedName name="_12__123Graph_BROA_E" localSheetId="24" hidden="1">[1]OLDFILE!#REF!</definedName>
    <definedName name="_12__123Graph_BROA_E" localSheetId="21" hidden="1">[1]OLDFILE!#REF!</definedName>
    <definedName name="_12__123Graph_BROA_E" localSheetId="8" hidden="1">[1]OLDFILE!#REF!</definedName>
    <definedName name="_12__123Graph_BROA_E" localSheetId="6" hidden="1">[1]OLDFILE!#REF!</definedName>
    <definedName name="_12__123Graph_BROA_E" localSheetId="17" hidden="1">[1]OLDFILE!#REF!</definedName>
    <definedName name="_12__123Graph_BROA_E" localSheetId="10" hidden="1">[1]OLDFILE!#REF!</definedName>
    <definedName name="_12__123Graph_BROA_E" localSheetId="12" hidden="1">[1]OLDFILE!#REF!</definedName>
    <definedName name="_12__123Graph_BROA_E" hidden="1">[1]OLDFILE!#REF!</definedName>
    <definedName name="_18__123Graph_XROA_E" localSheetId="16" hidden="1">[1]OLDFILE!#REF!</definedName>
    <definedName name="_18__123Graph_XROA_E" localSheetId="14" hidden="1">[1]OLDFILE!#REF!</definedName>
    <definedName name="_18__123Graph_XROA_E" localSheetId="19" hidden="1">[1]OLDFILE!#REF!</definedName>
    <definedName name="_18__123Graph_XROA_E" localSheetId="24" hidden="1">[1]OLDFILE!#REF!</definedName>
    <definedName name="_18__123Graph_XROA_E" localSheetId="21" hidden="1">[1]OLDFILE!#REF!</definedName>
    <definedName name="_18__123Graph_XROA_E" localSheetId="8" hidden="1">[1]OLDFILE!#REF!</definedName>
    <definedName name="_18__123Graph_XROA_E" localSheetId="6" hidden="1">[1]OLDFILE!#REF!</definedName>
    <definedName name="_18__123Graph_XROA_E" localSheetId="17" hidden="1">[1]OLDFILE!#REF!</definedName>
    <definedName name="_18__123Graph_XROA_E" localSheetId="10" hidden="1">[1]OLDFILE!#REF!</definedName>
    <definedName name="_18__123Graph_XROA_E" localSheetId="12" hidden="1">[1]OLDFILE!#REF!</definedName>
    <definedName name="_18__123Graph_XROA_E" hidden="1">[1]OLDFILE!#REF!</definedName>
    <definedName name="_6__123Graph_AROA_E" localSheetId="16" hidden="1">[1]OLDFILE!#REF!</definedName>
    <definedName name="_6__123Graph_AROA_E" localSheetId="14" hidden="1">[1]OLDFILE!#REF!</definedName>
    <definedName name="_6__123Graph_AROA_E" localSheetId="19" hidden="1">[1]OLDFILE!#REF!</definedName>
    <definedName name="_6__123Graph_AROA_E" localSheetId="24" hidden="1">[1]OLDFILE!#REF!</definedName>
    <definedName name="_6__123Graph_AROA_E" localSheetId="21" hidden="1">[1]OLDFILE!#REF!</definedName>
    <definedName name="_6__123Graph_AROA_E" localSheetId="8" hidden="1">[1]OLDFILE!#REF!</definedName>
    <definedName name="_6__123Graph_AROA_E" localSheetId="6" hidden="1">[1]OLDFILE!#REF!</definedName>
    <definedName name="_6__123Graph_AROA_E" localSheetId="17" hidden="1">[1]OLDFILE!#REF!</definedName>
    <definedName name="_6__123Graph_AROA_E" localSheetId="10" hidden="1">[1]OLDFILE!#REF!</definedName>
    <definedName name="_6__123Graph_AROA_E" localSheetId="12" hidden="1">[1]OLDFILE!#REF!</definedName>
    <definedName name="_6__123Graph_AROA_E" hidden="1">[1]OLDFILE!#REF!</definedName>
    <definedName name="_DAT1" localSheetId="16">#REF!</definedName>
    <definedName name="_DAT1" localSheetId="14">#REF!</definedName>
    <definedName name="_DAT1" localSheetId="19">#REF!</definedName>
    <definedName name="_DAT1" localSheetId="24">#REF!</definedName>
    <definedName name="_DAT1" localSheetId="0">#REF!</definedName>
    <definedName name="_DAT1" localSheetId="21">#REF!</definedName>
    <definedName name="_DAT1" localSheetId="8">#REF!</definedName>
    <definedName name="_DAT1" localSheetId="6">#REF!</definedName>
    <definedName name="_DAT1" localSheetId="1">#REF!</definedName>
    <definedName name="_DAT1" localSheetId="25">#REF!</definedName>
    <definedName name="_DAT1" localSheetId="17">#REF!</definedName>
    <definedName name="_DAT1" localSheetId="10">#REF!</definedName>
    <definedName name="_DAT1" localSheetId="12">#REF!</definedName>
    <definedName name="_DAT1">#REF!</definedName>
    <definedName name="_DAT10" localSheetId="16">#REF!</definedName>
    <definedName name="_DAT10" localSheetId="14">#REF!</definedName>
    <definedName name="_DAT10" localSheetId="19">#REF!</definedName>
    <definedName name="_DAT10" localSheetId="24">#REF!</definedName>
    <definedName name="_DAT10" localSheetId="21">#REF!</definedName>
    <definedName name="_DAT10" localSheetId="8">#REF!</definedName>
    <definedName name="_DAT10" localSheetId="6">#REF!</definedName>
    <definedName name="_DAT10" localSheetId="25">#REF!</definedName>
    <definedName name="_DAT10" localSheetId="17">#REF!</definedName>
    <definedName name="_DAT10" localSheetId="10">#REF!</definedName>
    <definedName name="_DAT10" localSheetId="12">#REF!</definedName>
    <definedName name="_DAT10">#REF!</definedName>
    <definedName name="_DAT11" localSheetId="16">#REF!</definedName>
    <definedName name="_DAT11" localSheetId="14">#REF!</definedName>
    <definedName name="_DAT11" localSheetId="19">#REF!</definedName>
    <definedName name="_DAT11" localSheetId="24">#REF!</definedName>
    <definedName name="_DAT11" localSheetId="21">#REF!</definedName>
    <definedName name="_DAT11" localSheetId="8">#REF!</definedName>
    <definedName name="_DAT11" localSheetId="6">#REF!</definedName>
    <definedName name="_DAT11" localSheetId="25">#REF!</definedName>
    <definedName name="_DAT11" localSheetId="17">#REF!</definedName>
    <definedName name="_DAT11" localSheetId="10">#REF!</definedName>
    <definedName name="_DAT11" localSheetId="12">#REF!</definedName>
    <definedName name="_DAT11">#REF!</definedName>
    <definedName name="_DAT12" localSheetId="16">#REF!</definedName>
    <definedName name="_DAT12" localSheetId="14">#REF!</definedName>
    <definedName name="_DAT12" localSheetId="19">#REF!</definedName>
    <definedName name="_DAT12" localSheetId="24">#REF!</definedName>
    <definedName name="_DAT12" localSheetId="21">#REF!</definedName>
    <definedName name="_DAT12" localSheetId="8">#REF!</definedName>
    <definedName name="_DAT12" localSheetId="6">#REF!</definedName>
    <definedName name="_DAT12" localSheetId="25">#REF!</definedName>
    <definedName name="_DAT12" localSheetId="17">#REF!</definedName>
    <definedName name="_DAT12" localSheetId="10">#REF!</definedName>
    <definedName name="_DAT12" localSheetId="12">#REF!</definedName>
    <definedName name="_DAT12">#REF!</definedName>
    <definedName name="_DAT13" localSheetId="16">#REF!</definedName>
    <definedName name="_DAT13" localSheetId="14">#REF!</definedName>
    <definedName name="_DAT13" localSheetId="19">#REF!</definedName>
    <definedName name="_DAT13" localSheetId="24">#REF!</definedName>
    <definedName name="_DAT13" localSheetId="21">#REF!</definedName>
    <definedName name="_DAT13" localSheetId="8">#REF!</definedName>
    <definedName name="_DAT13" localSheetId="6">#REF!</definedName>
    <definedName name="_DAT13" localSheetId="25">#REF!</definedName>
    <definedName name="_DAT13" localSheetId="17">#REF!</definedName>
    <definedName name="_DAT13" localSheetId="10">#REF!</definedName>
    <definedName name="_DAT13" localSheetId="12">#REF!</definedName>
    <definedName name="_DAT13">#REF!</definedName>
    <definedName name="_DAT14" localSheetId="16">#REF!</definedName>
    <definedName name="_DAT14" localSheetId="14">#REF!</definedName>
    <definedName name="_DAT14" localSheetId="19">#REF!</definedName>
    <definedName name="_DAT14" localSheetId="24">#REF!</definedName>
    <definedName name="_DAT14" localSheetId="21">#REF!</definedName>
    <definedName name="_DAT14" localSheetId="8">#REF!</definedName>
    <definedName name="_DAT14" localSheetId="6">#REF!</definedName>
    <definedName name="_DAT14" localSheetId="25">#REF!</definedName>
    <definedName name="_DAT14" localSheetId="17">#REF!</definedName>
    <definedName name="_DAT14" localSheetId="10">#REF!</definedName>
    <definedName name="_DAT14" localSheetId="12">#REF!</definedName>
    <definedName name="_DAT14">#REF!</definedName>
    <definedName name="_DAT15" localSheetId="16">#REF!</definedName>
    <definedName name="_DAT15" localSheetId="14">#REF!</definedName>
    <definedName name="_DAT15" localSheetId="19">#REF!</definedName>
    <definedName name="_DAT15" localSheetId="24">#REF!</definedName>
    <definedName name="_DAT15" localSheetId="21">#REF!</definedName>
    <definedName name="_DAT15" localSheetId="8">#REF!</definedName>
    <definedName name="_DAT15" localSheetId="6">#REF!</definedName>
    <definedName name="_DAT15" localSheetId="25">#REF!</definedName>
    <definedName name="_DAT15" localSheetId="17">#REF!</definedName>
    <definedName name="_DAT15" localSheetId="10">#REF!</definedName>
    <definedName name="_DAT15" localSheetId="12">#REF!</definedName>
    <definedName name="_DAT15">#REF!</definedName>
    <definedName name="_DAT16" localSheetId="16">#REF!</definedName>
    <definedName name="_DAT16" localSheetId="14">#REF!</definedName>
    <definedName name="_DAT16" localSheetId="19">#REF!</definedName>
    <definedName name="_DAT16" localSheetId="24">#REF!</definedName>
    <definedName name="_DAT16" localSheetId="21">#REF!</definedName>
    <definedName name="_DAT16" localSheetId="8">#REF!</definedName>
    <definedName name="_DAT16" localSheetId="6">#REF!</definedName>
    <definedName name="_DAT16" localSheetId="25">#REF!</definedName>
    <definedName name="_DAT16" localSheetId="17">#REF!</definedName>
    <definedName name="_DAT16" localSheetId="10">#REF!</definedName>
    <definedName name="_DAT16" localSheetId="12">#REF!</definedName>
    <definedName name="_DAT16">#REF!</definedName>
    <definedName name="_DAT17" localSheetId="16">#REF!</definedName>
    <definedName name="_DAT17" localSheetId="14">#REF!</definedName>
    <definedName name="_DAT17" localSheetId="19">#REF!</definedName>
    <definedName name="_DAT17" localSheetId="24">#REF!</definedName>
    <definedName name="_DAT17" localSheetId="21">#REF!</definedName>
    <definedName name="_DAT17" localSheetId="8">#REF!</definedName>
    <definedName name="_DAT17" localSheetId="6">#REF!</definedName>
    <definedName name="_DAT17" localSheetId="25">#REF!</definedName>
    <definedName name="_DAT17" localSheetId="17">#REF!</definedName>
    <definedName name="_DAT17" localSheetId="10">#REF!</definedName>
    <definedName name="_DAT17" localSheetId="12">#REF!</definedName>
    <definedName name="_DAT17">#REF!</definedName>
    <definedName name="_DAT18" localSheetId="16">#REF!</definedName>
    <definedName name="_DAT18" localSheetId="14">#REF!</definedName>
    <definedName name="_DAT18" localSheetId="19">#REF!</definedName>
    <definedName name="_DAT18" localSheetId="24">#REF!</definedName>
    <definedName name="_DAT18" localSheetId="21">#REF!</definedName>
    <definedName name="_DAT18" localSheetId="8">#REF!</definedName>
    <definedName name="_DAT18" localSheetId="6">#REF!</definedName>
    <definedName name="_DAT18" localSheetId="25">#REF!</definedName>
    <definedName name="_DAT18" localSheetId="17">#REF!</definedName>
    <definedName name="_DAT18" localSheetId="10">#REF!</definedName>
    <definedName name="_DAT18" localSheetId="12">#REF!</definedName>
    <definedName name="_DAT18">#REF!</definedName>
    <definedName name="_DAT19" localSheetId="16">#REF!</definedName>
    <definedName name="_DAT19" localSheetId="14">#REF!</definedName>
    <definedName name="_DAT19" localSheetId="19">#REF!</definedName>
    <definedName name="_DAT19" localSheetId="24">#REF!</definedName>
    <definedName name="_DAT19" localSheetId="21">#REF!</definedName>
    <definedName name="_DAT19" localSheetId="8">#REF!</definedName>
    <definedName name="_DAT19" localSheetId="6">#REF!</definedName>
    <definedName name="_DAT19" localSheetId="25">#REF!</definedName>
    <definedName name="_DAT19" localSheetId="17">#REF!</definedName>
    <definedName name="_DAT19" localSheetId="10">#REF!</definedName>
    <definedName name="_DAT19" localSheetId="12">#REF!</definedName>
    <definedName name="_DAT19">#REF!</definedName>
    <definedName name="_DAT2" localSheetId="16">#REF!</definedName>
    <definedName name="_DAT2" localSheetId="14">#REF!</definedName>
    <definedName name="_DAT2" localSheetId="19">#REF!</definedName>
    <definedName name="_DAT2" localSheetId="24">#REF!</definedName>
    <definedName name="_DAT2" localSheetId="21">#REF!</definedName>
    <definedName name="_DAT2" localSheetId="8">#REF!</definedName>
    <definedName name="_DAT2" localSheetId="6">#REF!</definedName>
    <definedName name="_DAT2" localSheetId="25">#REF!</definedName>
    <definedName name="_DAT2" localSheetId="17">#REF!</definedName>
    <definedName name="_DAT2" localSheetId="10">#REF!</definedName>
    <definedName name="_DAT2" localSheetId="12">#REF!</definedName>
    <definedName name="_DAT2">#REF!</definedName>
    <definedName name="_DAT20" localSheetId="16">#REF!</definedName>
    <definedName name="_DAT20" localSheetId="14">#REF!</definedName>
    <definedName name="_DAT20" localSheetId="19">#REF!</definedName>
    <definedName name="_DAT20" localSheetId="24">#REF!</definedName>
    <definedName name="_DAT20" localSheetId="21">#REF!</definedName>
    <definedName name="_DAT20" localSheetId="8">#REF!</definedName>
    <definedName name="_DAT20" localSheetId="6">#REF!</definedName>
    <definedName name="_DAT20" localSheetId="25">#REF!</definedName>
    <definedName name="_DAT20" localSheetId="17">#REF!</definedName>
    <definedName name="_DAT20" localSheetId="10">#REF!</definedName>
    <definedName name="_DAT20" localSheetId="12">#REF!</definedName>
    <definedName name="_DAT20">#REF!</definedName>
    <definedName name="_DAT21" localSheetId="16">#REF!</definedName>
    <definedName name="_DAT21" localSheetId="14">#REF!</definedName>
    <definedName name="_DAT21" localSheetId="19">#REF!</definedName>
    <definedName name="_DAT21" localSheetId="24">#REF!</definedName>
    <definedName name="_DAT21" localSheetId="21">#REF!</definedName>
    <definedName name="_DAT21" localSheetId="8">#REF!</definedName>
    <definedName name="_DAT21" localSheetId="6">#REF!</definedName>
    <definedName name="_DAT21" localSheetId="25">#REF!</definedName>
    <definedName name="_DAT21" localSheetId="17">#REF!</definedName>
    <definedName name="_DAT21" localSheetId="10">#REF!</definedName>
    <definedName name="_DAT21" localSheetId="12">#REF!</definedName>
    <definedName name="_DAT21">#REF!</definedName>
    <definedName name="_DAT22" localSheetId="16">#REF!</definedName>
    <definedName name="_DAT22" localSheetId="14">#REF!</definedName>
    <definedName name="_DAT22" localSheetId="19">#REF!</definedName>
    <definedName name="_DAT22" localSheetId="24">#REF!</definedName>
    <definedName name="_DAT22" localSheetId="21">#REF!</definedName>
    <definedName name="_DAT22" localSheetId="8">#REF!</definedName>
    <definedName name="_DAT22" localSheetId="6">#REF!</definedName>
    <definedName name="_DAT22" localSheetId="25">#REF!</definedName>
    <definedName name="_DAT22" localSheetId="17">#REF!</definedName>
    <definedName name="_DAT22" localSheetId="10">#REF!</definedName>
    <definedName name="_DAT22" localSheetId="12">#REF!</definedName>
    <definedName name="_DAT22">#REF!</definedName>
    <definedName name="_DAT23" localSheetId="16">#REF!</definedName>
    <definedName name="_DAT23" localSheetId="14">#REF!</definedName>
    <definedName name="_DAT23" localSheetId="19">#REF!</definedName>
    <definedName name="_DAT23" localSheetId="24">#REF!</definedName>
    <definedName name="_DAT23" localSheetId="21">#REF!</definedName>
    <definedName name="_DAT23" localSheetId="8">#REF!</definedName>
    <definedName name="_DAT23" localSheetId="6">#REF!</definedName>
    <definedName name="_DAT23" localSheetId="25">#REF!</definedName>
    <definedName name="_DAT23" localSheetId="17">#REF!</definedName>
    <definedName name="_DAT23" localSheetId="10">#REF!</definedName>
    <definedName name="_DAT23" localSheetId="12">#REF!</definedName>
    <definedName name="_DAT23">#REF!</definedName>
    <definedName name="_DAT24" localSheetId="16">#REF!</definedName>
    <definedName name="_DAT24" localSheetId="14">#REF!</definedName>
    <definedName name="_DAT24" localSheetId="19">#REF!</definedName>
    <definedName name="_DAT24" localSheetId="24">#REF!</definedName>
    <definedName name="_DAT24" localSheetId="21">#REF!</definedName>
    <definedName name="_DAT24" localSheetId="8">#REF!</definedName>
    <definedName name="_DAT24" localSheetId="6">#REF!</definedName>
    <definedName name="_DAT24" localSheetId="25">#REF!</definedName>
    <definedName name="_DAT24" localSheetId="17">#REF!</definedName>
    <definedName name="_DAT24" localSheetId="10">#REF!</definedName>
    <definedName name="_DAT24" localSheetId="12">#REF!</definedName>
    <definedName name="_DAT24">#REF!</definedName>
    <definedName name="_DAT3" localSheetId="16">#REF!</definedName>
    <definedName name="_DAT3" localSheetId="14">#REF!</definedName>
    <definedName name="_DAT3" localSheetId="19">#REF!</definedName>
    <definedName name="_DAT3" localSheetId="24">#REF!</definedName>
    <definedName name="_DAT3" localSheetId="21">#REF!</definedName>
    <definedName name="_DAT3" localSheetId="8">#REF!</definedName>
    <definedName name="_DAT3" localSheetId="6">#REF!</definedName>
    <definedName name="_DAT3" localSheetId="25">#REF!</definedName>
    <definedName name="_DAT3" localSheetId="17">#REF!</definedName>
    <definedName name="_DAT3" localSheetId="10">#REF!</definedName>
    <definedName name="_DAT3" localSheetId="12">#REF!</definedName>
    <definedName name="_DAT3">#REF!</definedName>
    <definedName name="_DAT4" localSheetId="16">#REF!</definedName>
    <definedName name="_DAT4" localSheetId="14">#REF!</definedName>
    <definedName name="_DAT4" localSheetId="19">#REF!</definedName>
    <definedName name="_DAT4" localSheetId="24">#REF!</definedName>
    <definedName name="_DAT4" localSheetId="21">#REF!</definedName>
    <definedName name="_DAT4" localSheetId="8">#REF!</definedName>
    <definedName name="_DAT4" localSheetId="6">#REF!</definedName>
    <definedName name="_DAT4" localSheetId="25">#REF!</definedName>
    <definedName name="_DAT4" localSheetId="17">#REF!</definedName>
    <definedName name="_DAT4" localSheetId="10">#REF!</definedName>
    <definedName name="_DAT4" localSheetId="12">#REF!</definedName>
    <definedName name="_DAT4">#REF!</definedName>
    <definedName name="_DAT5" localSheetId="16">#REF!</definedName>
    <definedName name="_DAT5" localSheetId="14">#REF!</definedName>
    <definedName name="_DAT5" localSheetId="19">#REF!</definedName>
    <definedName name="_DAT5" localSheetId="24">#REF!</definedName>
    <definedName name="_DAT5" localSheetId="21">#REF!</definedName>
    <definedName name="_DAT5" localSheetId="8">#REF!</definedName>
    <definedName name="_DAT5" localSheetId="6">#REF!</definedName>
    <definedName name="_DAT5" localSheetId="25">#REF!</definedName>
    <definedName name="_DAT5" localSheetId="17">#REF!</definedName>
    <definedName name="_DAT5" localSheetId="10">#REF!</definedName>
    <definedName name="_DAT5" localSheetId="12">#REF!</definedName>
    <definedName name="_DAT5">#REF!</definedName>
    <definedName name="_DAT6" localSheetId="16">#REF!</definedName>
    <definedName name="_DAT6" localSheetId="14">#REF!</definedName>
    <definedName name="_DAT6" localSheetId="19">#REF!</definedName>
    <definedName name="_DAT6" localSheetId="24">#REF!</definedName>
    <definedName name="_DAT6" localSheetId="21">#REF!</definedName>
    <definedName name="_DAT6" localSheetId="8">#REF!</definedName>
    <definedName name="_DAT6" localSheetId="6">#REF!</definedName>
    <definedName name="_DAT6" localSheetId="25">#REF!</definedName>
    <definedName name="_DAT6" localSheetId="17">#REF!</definedName>
    <definedName name="_DAT6" localSheetId="10">#REF!</definedName>
    <definedName name="_DAT6" localSheetId="12">#REF!</definedName>
    <definedName name="_DAT6">#REF!</definedName>
    <definedName name="_DAT7" localSheetId="16">#REF!</definedName>
    <definedName name="_DAT7" localSheetId="14">#REF!</definedName>
    <definedName name="_DAT7" localSheetId="19">#REF!</definedName>
    <definedName name="_DAT7" localSheetId="24">#REF!</definedName>
    <definedName name="_DAT7" localSheetId="21">#REF!</definedName>
    <definedName name="_DAT7" localSheetId="8">#REF!</definedName>
    <definedName name="_DAT7" localSheetId="6">#REF!</definedName>
    <definedName name="_DAT7" localSheetId="25">#REF!</definedName>
    <definedName name="_DAT7" localSheetId="17">#REF!</definedName>
    <definedName name="_DAT7" localSheetId="10">#REF!</definedName>
    <definedName name="_DAT7" localSheetId="12">#REF!</definedName>
    <definedName name="_DAT7">#REF!</definedName>
    <definedName name="_DAT8" localSheetId="16">#REF!</definedName>
    <definedName name="_DAT8" localSheetId="14">#REF!</definedName>
    <definedName name="_DAT8" localSheetId="19">#REF!</definedName>
    <definedName name="_DAT8" localSheetId="24">#REF!</definedName>
    <definedName name="_DAT8" localSheetId="21">#REF!</definedName>
    <definedName name="_DAT8" localSheetId="8">#REF!</definedName>
    <definedName name="_DAT8" localSheetId="6">#REF!</definedName>
    <definedName name="_DAT8" localSheetId="25">#REF!</definedName>
    <definedName name="_DAT8" localSheetId="17">#REF!</definedName>
    <definedName name="_DAT8" localSheetId="10">#REF!</definedName>
    <definedName name="_DAT8" localSheetId="12">#REF!</definedName>
    <definedName name="_DAT8">#REF!</definedName>
    <definedName name="_DAT9" localSheetId="16">#REF!</definedName>
    <definedName name="_DAT9" localSheetId="14">#REF!</definedName>
    <definedName name="_DAT9" localSheetId="19">#REF!</definedName>
    <definedName name="_DAT9" localSheetId="24">#REF!</definedName>
    <definedName name="_DAT9" localSheetId="21">#REF!</definedName>
    <definedName name="_DAT9" localSheetId="8">#REF!</definedName>
    <definedName name="_DAT9" localSheetId="6">#REF!</definedName>
    <definedName name="_DAT9" localSheetId="25">#REF!</definedName>
    <definedName name="_DAT9" localSheetId="17">#REF!</definedName>
    <definedName name="_DAT9" localSheetId="10">#REF!</definedName>
    <definedName name="_DAT9" localSheetId="12">#REF!</definedName>
    <definedName name="_DAT9">#REF!</definedName>
    <definedName name="_Key1" localSheetId="16" hidden="1">#REF!</definedName>
    <definedName name="_Key1" localSheetId="14" hidden="1">#REF!</definedName>
    <definedName name="_Key1" localSheetId="19" hidden="1">#REF!</definedName>
    <definedName name="_Key1" localSheetId="24" hidden="1">#REF!</definedName>
    <definedName name="_Key1" localSheetId="21" hidden="1">#REF!</definedName>
    <definedName name="_Key1" localSheetId="8" hidden="1">#REF!</definedName>
    <definedName name="_Key1" localSheetId="6" hidden="1">#REF!</definedName>
    <definedName name="_Key1" localSheetId="25" hidden="1">#REF!</definedName>
    <definedName name="_Key1" localSheetId="17" hidden="1">#REF!</definedName>
    <definedName name="_Key1" localSheetId="10" hidden="1">#REF!</definedName>
    <definedName name="_Key1" localSheetId="12" hidden="1">#REF!</definedName>
    <definedName name="_Key1" hidden="1">#REF!</definedName>
    <definedName name="_Key2" localSheetId="16" hidden="1">#REF!</definedName>
    <definedName name="_Key2" localSheetId="14" hidden="1">#REF!</definedName>
    <definedName name="_Key2" localSheetId="19" hidden="1">#REF!</definedName>
    <definedName name="_Key2" localSheetId="24" hidden="1">#REF!</definedName>
    <definedName name="_Key2" localSheetId="21" hidden="1">#REF!</definedName>
    <definedName name="_Key2" localSheetId="8" hidden="1">#REF!</definedName>
    <definedName name="_Key2" localSheetId="6" hidden="1">#REF!</definedName>
    <definedName name="_Key2" localSheetId="25" hidden="1">#REF!</definedName>
    <definedName name="_Key2" localSheetId="17" hidden="1">#REF!</definedName>
    <definedName name="_Key2" localSheetId="10" hidden="1">#REF!</definedName>
    <definedName name="_Key2" localSheetId="12" hidden="1">#REF!</definedName>
    <definedName name="_Key2" hidden="1">#REF!</definedName>
    <definedName name="_Order1" hidden="1">255</definedName>
    <definedName name="_Order2" hidden="1">0</definedName>
    <definedName name="_PDA1">[2]PDS1!$B$1:$O$30</definedName>
    <definedName name="_PDA2">[2]PDS2!$B$2:$N$100</definedName>
    <definedName name="_PDA3">[3]PDS3!$B$2:$N$100</definedName>
    <definedName name="_Sort" localSheetId="16" hidden="1">#REF!</definedName>
    <definedName name="_Sort" localSheetId="14" hidden="1">#REF!</definedName>
    <definedName name="_Sort" localSheetId="19" hidden="1">#REF!</definedName>
    <definedName name="_Sort" localSheetId="24" hidden="1">#REF!</definedName>
    <definedName name="_Sort" localSheetId="0" hidden="1">#REF!</definedName>
    <definedName name="_Sort" localSheetId="21" hidden="1">#REF!</definedName>
    <definedName name="_Sort" localSheetId="8" hidden="1">#REF!</definedName>
    <definedName name="_Sort" localSheetId="6" hidden="1">#REF!</definedName>
    <definedName name="_Sort" localSheetId="1" hidden="1">#REF!</definedName>
    <definedName name="_Sort" localSheetId="25" hidden="1">#REF!</definedName>
    <definedName name="_Sort" localSheetId="17" hidden="1">#REF!</definedName>
    <definedName name="_Sort" localSheetId="10" hidden="1">#REF!</definedName>
    <definedName name="_Sort" localSheetId="12" hidden="1">#REF!</definedName>
    <definedName name="_Sort" hidden="1">#REF!</definedName>
    <definedName name="AccountName">[4]Sheet2!$C$7:$C$39</definedName>
    <definedName name="Actual" localSheetId="0">[5]Input!$A$5</definedName>
    <definedName name="Actual" localSheetId="1">[6]Input!$A$5</definedName>
    <definedName name="Actual" localSheetId="25">[7]Input!$A$5</definedName>
    <definedName name="Actual">[8]Input!$A$5</definedName>
    <definedName name="Adebomi_Onisile" localSheetId="16">[9]DATABANK!#REF!</definedName>
    <definedName name="Adebomi_Onisile" localSheetId="14">[9]DATABANK!#REF!</definedName>
    <definedName name="Adebomi_Onisile" localSheetId="19">[9]DATABANK!#REF!</definedName>
    <definedName name="Adebomi_Onisile" localSheetId="24">[9]DATABANK!#REF!</definedName>
    <definedName name="Adebomi_Onisile" localSheetId="21">[9]DATABANK!#REF!</definedName>
    <definedName name="Adebomi_Onisile" localSheetId="8">[9]DATABANK!#REF!</definedName>
    <definedName name="Adebomi_Onisile" localSheetId="6">[9]DATABANK!#REF!</definedName>
    <definedName name="Adebomi_Onisile" localSheetId="17">[9]DATABANK!#REF!</definedName>
    <definedName name="Adebomi_Onisile" localSheetId="10">[9]DATABANK!#REF!</definedName>
    <definedName name="Adebomi_Onisile" localSheetId="12">[9]DATABANK!#REF!</definedName>
    <definedName name="Adebomi_Onisile">[9]DATABANK!#REF!</definedName>
    <definedName name="advance" localSheetId="16">[10]LOANS!#REF!</definedName>
    <definedName name="advance" localSheetId="14">[10]LOANS!#REF!</definedName>
    <definedName name="advance" localSheetId="19">[10]LOANS!#REF!</definedName>
    <definedName name="advance" localSheetId="24">[10]LOANS!#REF!</definedName>
    <definedName name="advance" localSheetId="0">[11]LOANS!#REF!</definedName>
    <definedName name="advance" localSheetId="21">[10]LOANS!#REF!</definedName>
    <definedName name="advance" localSheetId="8">[10]LOANS!#REF!</definedName>
    <definedName name="advance" localSheetId="6">[10]LOANS!#REF!</definedName>
    <definedName name="advance" localSheetId="1">[12]LOANS!#REF!</definedName>
    <definedName name="advance" localSheetId="25">[13]LOANS!#REF!</definedName>
    <definedName name="advance" localSheetId="17">[10]LOANS!#REF!</definedName>
    <definedName name="advance" localSheetId="10">[10]LOANS!#REF!</definedName>
    <definedName name="advance" localSheetId="12">[10]LOANS!#REF!</definedName>
    <definedName name="advance">[10]LOANS!#REF!</definedName>
    <definedName name="advancetotal" localSheetId="16">[10]LOANS!#REF!</definedName>
    <definedName name="advancetotal" localSheetId="14">[10]LOANS!#REF!</definedName>
    <definedName name="advancetotal" localSheetId="19">[10]LOANS!#REF!</definedName>
    <definedName name="advancetotal" localSheetId="24">[10]LOANS!#REF!</definedName>
    <definedName name="advancetotal" localSheetId="0">[11]LOANS!#REF!</definedName>
    <definedName name="advancetotal" localSheetId="21">[10]LOANS!#REF!</definedName>
    <definedName name="advancetotal" localSheetId="8">[10]LOANS!#REF!</definedName>
    <definedName name="advancetotal" localSheetId="6">[10]LOANS!#REF!</definedName>
    <definedName name="advancetotal" localSheetId="1">[12]LOANS!#REF!</definedName>
    <definedName name="advancetotal" localSheetId="25">[13]LOANS!#REF!</definedName>
    <definedName name="advancetotal" localSheetId="17">[10]LOANS!#REF!</definedName>
    <definedName name="advancetotal" localSheetId="10">[10]LOANS!#REF!</definedName>
    <definedName name="advancetotal" localSheetId="12">[10]LOANS!#REF!</definedName>
    <definedName name="advancetotal">[10]LOANS!#REF!</definedName>
    <definedName name="aggregate" localSheetId="16">#REF!</definedName>
    <definedName name="aggregate" localSheetId="14">#REF!</definedName>
    <definedName name="aggregate" localSheetId="19">#REF!</definedName>
    <definedName name="aggregate" localSheetId="24">#REF!</definedName>
    <definedName name="aggregate" localSheetId="0">#REF!</definedName>
    <definedName name="aggregate" localSheetId="21">#REF!</definedName>
    <definedName name="aggregate" localSheetId="8">#REF!</definedName>
    <definedName name="aggregate" localSheetId="6">#REF!</definedName>
    <definedName name="aggregate" localSheetId="1">#REF!</definedName>
    <definedName name="aggregate" localSheetId="25">#REF!</definedName>
    <definedName name="aggregate" localSheetId="17">#REF!</definedName>
    <definedName name="aggregate" localSheetId="10">#REF!</definedName>
    <definedName name="aggregate" localSheetId="12">#REF!</definedName>
    <definedName name="aggregate">#REF!</definedName>
    <definedName name="AGRIC">'[14]BALSHEET TEMPLATE:LCY BALSHEET WKS'!$A$576:$Q$672</definedName>
    <definedName name="ai" localSheetId="16">'[15]GL PnL'!#REF!</definedName>
    <definedName name="ai" localSheetId="14">'[15]GL PnL'!#REF!</definedName>
    <definedName name="ai" localSheetId="19">'[15]GL PnL'!#REF!</definedName>
    <definedName name="ai" localSheetId="24">'[15]GL PnL'!#REF!</definedName>
    <definedName name="ai" localSheetId="0">'[16]GL PnL'!#REF!</definedName>
    <definedName name="ai" localSheetId="21">'[15]GL PnL'!#REF!</definedName>
    <definedName name="ai" localSheetId="8">'[15]GL PnL'!#REF!</definedName>
    <definedName name="ai" localSheetId="6">'[15]GL PnL'!#REF!</definedName>
    <definedName name="ai" localSheetId="25">'[17]GL PnL'!#REF!</definedName>
    <definedName name="ai" localSheetId="17">'[15]GL PnL'!#REF!</definedName>
    <definedName name="ai" localSheetId="10">'[15]GL PnL'!#REF!</definedName>
    <definedName name="ai" localSheetId="12">'[15]GL PnL'!#REF!</definedName>
    <definedName name="ai">'[15]GL PnL'!#REF!</definedName>
    <definedName name="all">[1]NEWFILE!$A$67:$H$809</definedName>
    <definedName name="Allowances" localSheetId="16">[10]LOANS!#REF!</definedName>
    <definedName name="Allowances" localSheetId="14">[10]LOANS!#REF!</definedName>
    <definedName name="Allowances" localSheetId="19">[10]LOANS!#REF!</definedName>
    <definedName name="Allowances" localSheetId="24">[10]LOANS!#REF!</definedName>
    <definedName name="Allowances" localSheetId="0">[11]LOANS!#REF!</definedName>
    <definedName name="Allowances" localSheetId="21">[10]LOANS!#REF!</definedName>
    <definedName name="Allowances" localSheetId="8">[10]LOANS!#REF!</definedName>
    <definedName name="Allowances" localSheetId="6">[10]LOANS!#REF!</definedName>
    <definedName name="Allowances" localSheetId="1">[12]LOANS!#REF!</definedName>
    <definedName name="Allowances" localSheetId="25">[13]LOANS!#REF!</definedName>
    <definedName name="Allowances" localSheetId="17">[10]LOANS!#REF!</definedName>
    <definedName name="Allowances" localSheetId="10">[10]LOANS!#REF!</definedName>
    <definedName name="Allowances" localSheetId="12">[10]LOANS!#REF!</definedName>
    <definedName name="Allowances">[10]LOANS!#REF!</definedName>
    <definedName name="allowancesp" localSheetId="16">[10]LOANS!#REF!</definedName>
    <definedName name="allowancesp" localSheetId="14">[10]LOANS!#REF!</definedName>
    <definedName name="allowancesp" localSheetId="19">[10]LOANS!#REF!</definedName>
    <definedName name="allowancesp" localSheetId="24">[10]LOANS!#REF!</definedName>
    <definedName name="allowancesp" localSheetId="0">[11]LOANS!#REF!</definedName>
    <definedName name="allowancesp" localSheetId="21">[10]LOANS!#REF!</definedName>
    <definedName name="allowancesp" localSheetId="8">[10]LOANS!#REF!</definedName>
    <definedName name="allowancesp" localSheetId="6">[10]LOANS!#REF!</definedName>
    <definedName name="allowancesp" localSheetId="1">[12]LOANS!#REF!</definedName>
    <definedName name="allowancesp" localSheetId="25">[13]LOANS!#REF!</definedName>
    <definedName name="allowancesp" localSheetId="17">[10]LOANS!#REF!</definedName>
    <definedName name="allowancesp" localSheetId="10">[10]LOANS!#REF!</definedName>
    <definedName name="allowancesp" localSheetId="12">[10]LOANS!#REF!</definedName>
    <definedName name="allowancesp">[10]LOANS!#REF!</definedName>
    <definedName name="Allowancess" localSheetId="16">[10]LOANS!#REF!</definedName>
    <definedName name="Allowancess" localSheetId="14">[10]LOANS!#REF!</definedName>
    <definedName name="Allowancess" localSheetId="19">[10]LOANS!#REF!</definedName>
    <definedName name="Allowancess" localSheetId="24">[10]LOANS!#REF!</definedName>
    <definedName name="Allowancess" localSheetId="0">[11]LOANS!#REF!</definedName>
    <definedName name="Allowancess" localSheetId="21">[10]LOANS!#REF!</definedName>
    <definedName name="Allowancess" localSheetId="8">[10]LOANS!#REF!</definedName>
    <definedName name="Allowancess" localSheetId="6">[10]LOANS!#REF!</definedName>
    <definedName name="Allowancess" localSheetId="1">[12]LOANS!#REF!</definedName>
    <definedName name="Allowancess" localSheetId="25">[13]LOANS!#REF!</definedName>
    <definedName name="Allowancess" localSheetId="17">[10]LOANS!#REF!</definedName>
    <definedName name="Allowancess" localSheetId="10">[10]LOANS!#REF!</definedName>
    <definedName name="Allowancess" localSheetId="12">[10]LOANS!#REF!</definedName>
    <definedName name="Allowancess">[10]LOANS!#REF!</definedName>
    <definedName name="Anihuvi_Ayeni" localSheetId="16">[9]DATABANK!#REF!</definedName>
    <definedName name="Anihuvi_Ayeni" localSheetId="14">[9]DATABANK!#REF!</definedName>
    <definedName name="Anihuvi_Ayeni" localSheetId="19">[9]DATABANK!#REF!</definedName>
    <definedName name="Anihuvi_Ayeni" localSheetId="24">[9]DATABANK!#REF!</definedName>
    <definedName name="Anihuvi_Ayeni" localSheetId="0">[9]DATABANK!#REF!</definedName>
    <definedName name="Anihuvi_Ayeni" localSheetId="21">[9]DATABANK!#REF!</definedName>
    <definedName name="Anihuvi_Ayeni" localSheetId="8">[9]DATABANK!#REF!</definedName>
    <definedName name="Anihuvi_Ayeni" localSheetId="6">[9]DATABANK!#REF!</definedName>
    <definedName name="Anihuvi_Ayeni" localSheetId="1">[9]DATABANK!#REF!</definedName>
    <definedName name="Anihuvi_Ayeni" localSheetId="17">[9]DATABANK!#REF!</definedName>
    <definedName name="Anihuvi_Ayeni" localSheetId="10">[9]DATABANK!#REF!</definedName>
    <definedName name="Anihuvi_Ayeni" localSheetId="12">[9]DATABANK!#REF!</definedName>
    <definedName name="Anihuvi_Ayeni">[9]DATABANK!#REF!</definedName>
    <definedName name="AnnualNotes" localSheetId="16">[10]LOANS!#REF!</definedName>
    <definedName name="AnnualNotes" localSheetId="14">[10]LOANS!#REF!</definedName>
    <definedName name="AnnualNotes" localSheetId="19">[10]LOANS!#REF!</definedName>
    <definedName name="AnnualNotes" localSheetId="24">[10]LOANS!#REF!</definedName>
    <definedName name="AnnualNotes" localSheetId="0">[11]LOANS!#REF!</definedName>
    <definedName name="AnnualNotes" localSheetId="21">[10]LOANS!#REF!</definedName>
    <definedName name="AnnualNotes" localSheetId="8">[10]LOANS!#REF!</definedName>
    <definedName name="AnnualNotes" localSheetId="6">[10]LOANS!#REF!</definedName>
    <definedName name="AnnualNotes" localSheetId="1">[12]LOANS!#REF!</definedName>
    <definedName name="AnnualNotes" localSheetId="25">[13]LOANS!#REF!</definedName>
    <definedName name="AnnualNotes" localSheetId="17">[10]LOANS!#REF!</definedName>
    <definedName name="AnnualNotes" localSheetId="10">[10]LOANS!#REF!</definedName>
    <definedName name="AnnualNotes" localSheetId="12">[10]LOANS!#REF!</definedName>
    <definedName name="AnnualNotes">[10]LOANS!#REF!</definedName>
    <definedName name="AnnualNotes1" localSheetId="16">[10]LOANS!#REF!</definedName>
    <definedName name="AnnualNotes1" localSheetId="14">[10]LOANS!#REF!</definedName>
    <definedName name="AnnualNotes1" localSheetId="19">[10]LOANS!#REF!</definedName>
    <definedName name="AnnualNotes1" localSheetId="24">[10]LOANS!#REF!</definedName>
    <definedName name="AnnualNotes1" localSheetId="0">[11]LOANS!#REF!</definedName>
    <definedName name="AnnualNotes1" localSheetId="21">[10]LOANS!#REF!</definedName>
    <definedName name="AnnualNotes1" localSheetId="8">[10]LOANS!#REF!</definedName>
    <definedName name="AnnualNotes1" localSheetId="6">[10]LOANS!#REF!</definedName>
    <definedName name="AnnualNotes1" localSheetId="1">[12]LOANS!#REF!</definedName>
    <definedName name="AnnualNotes1" localSheetId="25">[13]LOANS!#REF!</definedName>
    <definedName name="AnnualNotes1" localSheetId="17">[10]LOANS!#REF!</definedName>
    <definedName name="AnnualNotes1" localSheetId="10">[10]LOANS!#REF!</definedName>
    <definedName name="AnnualNotes1" localSheetId="12">[10]LOANS!#REF!</definedName>
    <definedName name="AnnualNotes1">[10]LOANS!#REF!</definedName>
    <definedName name="AnnualTaxComp" localSheetId="16">[10]LOANS!#REF!</definedName>
    <definedName name="AnnualTaxComp" localSheetId="14">[10]LOANS!#REF!</definedName>
    <definedName name="AnnualTaxComp" localSheetId="19">[10]LOANS!#REF!</definedName>
    <definedName name="AnnualTaxComp" localSheetId="24">[10]LOANS!#REF!</definedName>
    <definedName name="AnnualTaxComp" localSheetId="0">[11]LOANS!#REF!</definedName>
    <definedName name="AnnualTaxComp" localSheetId="21">[10]LOANS!#REF!</definedName>
    <definedName name="AnnualTaxComp" localSheetId="8">[10]LOANS!#REF!</definedName>
    <definedName name="AnnualTaxComp" localSheetId="6">[10]LOANS!#REF!</definedName>
    <definedName name="AnnualTaxComp" localSheetId="1">[12]LOANS!#REF!</definedName>
    <definedName name="AnnualTaxComp" localSheetId="25">[13]LOANS!#REF!</definedName>
    <definedName name="AnnualTaxComp" localSheetId="17">[10]LOANS!#REF!</definedName>
    <definedName name="AnnualTaxComp" localSheetId="10">[10]LOANS!#REF!</definedName>
    <definedName name="AnnualTaxComp" localSheetId="12">[10]LOANS!#REF!</definedName>
    <definedName name="AnnualTaxComp">[10]LOANS!#REF!</definedName>
    <definedName name="aonly" localSheetId="16">#REF!</definedName>
    <definedName name="aonly" localSheetId="14">#REF!</definedName>
    <definedName name="aonly" localSheetId="19">#REF!</definedName>
    <definedName name="aonly" localSheetId="24">#REF!</definedName>
    <definedName name="aonly" localSheetId="0">#REF!</definedName>
    <definedName name="aonly" localSheetId="21">#REF!</definedName>
    <definedName name="aonly" localSheetId="8">#REF!</definedName>
    <definedName name="aonly" localSheetId="6">#REF!</definedName>
    <definedName name="aonly" localSheetId="1">#REF!</definedName>
    <definedName name="aonly" localSheetId="25">#REF!</definedName>
    <definedName name="aonly" localSheetId="17">#REF!</definedName>
    <definedName name="aonly" localSheetId="10">#REF!</definedName>
    <definedName name="aonly" localSheetId="12">#REF!</definedName>
    <definedName name="aonly">#REF!</definedName>
    <definedName name="april" localSheetId="16">[10]LOANS!#REF!</definedName>
    <definedName name="april" localSheetId="14">[10]LOANS!#REF!</definedName>
    <definedName name="april" localSheetId="19">[10]LOANS!#REF!</definedName>
    <definedName name="april" localSheetId="24">[10]LOANS!#REF!</definedName>
    <definedName name="april" localSheetId="0">[11]LOANS!#REF!</definedName>
    <definedName name="april" localSheetId="21">[10]LOANS!#REF!</definedName>
    <definedName name="april" localSheetId="8">[10]LOANS!#REF!</definedName>
    <definedName name="april" localSheetId="6">[10]LOANS!#REF!</definedName>
    <definedName name="april" localSheetId="1">[12]LOANS!#REF!</definedName>
    <definedName name="april" localSheetId="25">[13]LOANS!#REF!</definedName>
    <definedName name="april" localSheetId="17">[10]LOANS!#REF!</definedName>
    <definedName name="april" localSheetId="10">[10]LOANS!#REF!</definedName>
    <definedName name="april" localSheetId="12">[10]LOANS!#REF!</definedName>
    <definedName name="april">[10]LOANS!#REF!</definedName>
    <definedName name="ARA_Threshold" localSheetId="16">#REF!</definedName>
    <definedName name="ARA_Threshold" localSheetId="14">#REF!</definedName>
    <definedName name="ARA_Threshold" localSheetId="19">#REF!</definedName>
    <definedName name="ARA_Threshold" localSheetId="24">#REF!</definedName>
    <definedName name="ARA_Threshold" localSheetId="0">#REF!</definedName>
    <definedName name="ARA_Threshold" localSheetId="21">#REF!</definedName>
    <definedName name="ARA_Threshold" localSheetId="8">#REF!</definedName>
    <definedName name="ARA_Threshold" localSheetId="6">#REF!</definedName>
    <definedName name="ARA_Threshold" localSheetId="1">#REF!</definedName>
    <definedName name="ARA_Threshold" localSheetId="25">#REF!</definedName>
    <definedName name="ARA_Threshold" localSheetId="17">#REF!</definedName>
    <definedName name="ARA_Threshold" localSheetId="10">#REF!</definedName>
    <definedName name="ARA_Threshold" localSheetId="12">#REF!</definedName>
    <definedName name="ARA_Threshold">#REF!</definedName>
    <definedName name="AreaA1" localSheetId="16">#REF!</definedName>
    <definedName name="AreaA1" localSheetId="14">#REF!</definedName>
    <definedName name="AreaA1" localSheetId="19">#REF!</definedName>
    <definedName name="AreaA1" localSheetId="24">#REF!</definedName>
    <definedName name="AreaA1" localSheetId="21">#REF!</definedName>
    <definedName name="AreaA1" localSheetId="8">#REF!</definedName>
    <definedName name="AreaA1" localSheetId="6">#REF!</definedName>
    <definedName name="AreaA1" localSheetId="25">#REF!</definedName>
    <definedName name="AreaA1" localSheetId="17">#REF!</definedName>
    <definedName name="AreaA1" localSheetId="10">#REF!</definedName>
    <definedName name="AreaA1" localSheetId="12">#REF!</definedName>
    <definedName name="AreaA1">#REF!</definedName>
    <definedName name="ARP_Threshold" localSheetId="16">#REF!</definedName>
    <definedName name="ARP_Threshold" localSheetId="14">#REF!</definedName>
    <definedName name="ARP_Threshold" localSheetId="19">#REF!</definedName>
    <definedName name="ARP_Threshold" localSheetId="24">#REF!</definedName>
    <definedName name="ARP_Threshold" localSheetId="21">#REF!</definedName>
    <definedName name="ARP_Threshold" localSheetId="8">#REF!</definedName>
    <definedName name="ARP_Threshold" localSheetId="6">#REF!</definedName>
    <definedName name="ARP_Threshold" localSheetId="25">#REF!</definedName>
    <definedName name="ARP_Threshold" localSheetId="17">#REF!</definedName>
    <definedName name="ARP_Threshold" localSheetId="10">#REF!</definedName>
    <definedName name="ARP_Threshold" localSheetId="12">#REF!</definedName>
    <definedName name="ARP_Threshold">#REF!</definedName>
    <definedName name="arrearsmanager" localSheetId="16">#REF!</definedName>
    <definedName name="arrearsmanager" localSheetId="14">#REF!</definedName>
    <definedName name="arrearsmanager" localSheetId="19">#REF!</definedName>
    <definedName name="arrearsmanager" localSheetId="24">#REF!</definedName>
    <definedName name="arrearsmanager" localSheetId="21">#REF!</definedName>
    <definedName name="arrearsmanager" localSheetId="8">#REF!</definedName>
    <definedName name="arrearsmanager" localSheetId="6">#REF!</definedName>
    <definedName name="arrearsmanager" localSheetId="25">#REF!</definedName>
    <definedName name="arrearsmanager" localSheetId="17">#REF!</definedName>
    <definedName name="arrearsmanager" localSheetId="10">#REF!</definedName>
    <definedName name="arrearsmanager" localSheetId="12">#REF!</definedName>
    <definedName name="arrearsmanager">#REF!</definedName>
    <definedName name="AS2DocOpenMode" hidden="1">"AS2DocumentEdit"</definedName>
    <definedName name="BABALOLA__ABIMBOLA" localSheetId="16">'[10]ANNUAL CTC'!#REF!</definedName>
    <definedName name="BABALOLA__ABIMBOLA" localSheetId="14">'[10]ANNUAL CTC'!#REF!</definedName>
    <definedName name="BABALOLA__ABIMBOLA" localSheetId="19">'[10]ANNUAL CTC'!#REF!</definedName>
    <definedName name="BABALOLA__ABIMBOLA" localSheetId="24">'[10]ANNUAL CTC'!#REF!</definedName>
    <definedName name="BABALOLA__ABIMBOLA" localSheetId="0">'[11]ANNUAL CTC'!#REF!</definedName>
    <definedName name="BABALOLA__ABIMBOLA" localSheetId="21">'[10]ANNUAL CTC'!#REF!</definedName>
    <definedName name="BABALOLA__ABIMBOLA" localSheetId="8">'[10]ANNUAL CTC'!#REF!</definedName>
    <definedName name="BABALOLA__ABIMBOLA" localSheetId="6">'[10]ANNUAL CTC'!#REF!</definedName>
    <definedName name="BABALOLA__ABIMBOLA" localSheetId="1">'[12]ANNUAL CTC'!#REF!</definedName>
    <definedName name="BABALOLA__ABIMBOLA" localSheetId="25">'[13]ANNUAL CTC'!#REF!</definedName>
    <definedName name="BABALOLA__ABIMBOLA" localSheetId="17">'[10]ANNUAL CTC'!#REF!</definedName>
    <definedName name="BABALOLA__ABIMBOLA" localSheetId="10">'[10]ANNUAL CTC'!#REF!</definedName>
    <definedName name="BABALOLA__ABIMBOLA" localSheetId="12">'[10]ANNUAL CTC'!#REF!</definedName>
    <definedName name="BABALOLA__ABIMBOLA">'[10]ANNUAL CTC'!#REF!</definedName>
    <definedName name="BALANCE___SHEET" localSheetId="16">#REF!</definedName>
    <definedName name="BALANCE___SHEET" localSheetId="14">#REF!</definedName>
    <definedName name="BALANCE___SHEET" localSheetId="19">#REF!</definedName>
    <definedName name="BALANCE___SHEET" localSheetId="24">#REF!</definedName>
    <definedName name="BALANCE___SHEET" localSheetId="0">#REF!</definedName>
    <definedName name="BALANCE___SHEET" localSheetId="21">#REF!</definedName>
    <definedName name="BALANCE___SHEET" localSheetId="8">#REF!</definedName>
    <definedName name="BALANCE___SHEET" localSheetId="6">#REF!</definedName>
    <definedName name="BALANCE___SHEET" localSheetId="1">#REF!</definedName>
    <definedName name="BALANCE___SHEET" localSheetId="25">#REF!</definedName>
    <definedName name="BALANCE___SHEET" localSheetId="17">#REF!</definedName>
    <definedName name="BALANCE___SHEET" localSheetId="10">#REF!</definedName>
    <definedName name="BALANCE___SHEET" localSheetId="12">#REF!</definedName>
    <definedName name="BALANCE___SHEET">#REF!</definedName>
    <definedName name="basicp" localSheetId="16">[10]LOANS!#REF!</definedName>
    <definedName name="basicp" localSheetId="14">[10]LOANS!#REF!</definedName>
    <definedName name="basicp" localSheetId="19">[10]LOANS!#REF!</definedName>
    <definedName name="basicp" localSheetId="24">[10]LOANS!#REF!</definedName>
    <definedName name="basicp" localSheetId="0">[11]LOANS!#REF!</definedName>
    <definedName name="basicp" localSheetId="21">[10]LOANS!#REF!</definedName>
    <definedName name="basicp" localSheetId="8">[10]LOANS!#REF!</definedName>
    <definedName name="basicp" localSheetId="6">[10]LOANS!#REF!</definedName>
    <definedName name="basicp" localSheetId="1">[12]LOANS!#REF!</definedName>
    <definedName name="basicp" localSheetId="25">[13]LOANS!#REF!</definedName>
    <definedName name="basicp" localSheetId="17">[10]LOANS!#REF!</definedName>
    <definedName name="basicp" localSheetId="10">[10]LOANS!#REF!</definedName>
    <definedName name="basicp" localSheetId="12">[10]LOANS!#REF!</definedName>
    <definedName name="basicp">[10]LOANS!#REF!</definedName>
    <definedName name="BINT" localSheetId="16">#REF!</definedName>
    <definedName name="BINT" localSheetId="14">#REF!</definedName>
    <definedName name="BINT" localSheetId="19">#REF!</definedName>
    <definedName name="BINT" localSheetId="24">#REF!</definedName>
    <definedName name="BINT" localSheetId="0">#REF!</definedName>
    <definedName name="BINT" localSheetId="21">#REF!</definedName>
    <definedName name="BINT" localSheetId="8">#REF!</definedName>
    <definedName name="BINT" localSheetId="6">#REF!</definedName>
    <definedName name="BINT" localSheetId="1">#REF!</definedName>
    <definedName name="BINT" localSheetId="25">#REF!</definedName>
    <definedName name="BINT" localSheetId="17">#REF!</definedName>
    <definedName name="BINT" localSheetId="10">#REF!</definedName>
    <definedName name="BINT" localSheetId="12">#REF!</definedName>
    <definedName name="BINT">#REF!</definedName>
    <definedName name="bonus" localSheetId="16">[10]LOANS!#REF!</definedName>
    <definedName name="bonus" localSheetId="14">[10]LOANS!#REF!</definedName>
    <definedName name="bonus" localSheetId="19">[10]LOANS!#REF!</definedName>
    <definedName name="bonus" localSheetId="24">[10]LOANS!#REF!</definedName>
    <definedName name="bonus" localSheetId="0">[11]LOANS!#REF!</definedName>
    <definedName name="bonus" localSheetId="21">[10]LOANS!#REF!</definedName>
    <definedName name="bonus" localSheetId="8">[10]LOANS!#REF!</definedName>
    <definedName name="bonus" localSheetId="6">[10]LOANS!#REF!</definedName>
    <definedName name="bonus" localSheetId="1">[12]LOANS!#REF!</definedName>
    <definedName name="bonus" localSheetId="25">[13]LOANS!#REF!</definedName>
    <definedName name="bonus" localSheetId="17">[10]LOANS!#REF!</definedName>
    <definedName name="bonus" localSheetId="10">[10]LOANS!#REF!</definedName>
    <definedName name="bonus" localSheetId="12">[10]LOANS!#REF!</definedName>
    <definedName name="bonus">[10]LOANS!#REF!</definedName>
    <definedName name="Budget" localSheetId="0">[5]Input!$A$6</definedName>
    <definedName name="Budget" localSheetId="1">[6]Input!$A$6</definedName>
    <definedName name="Budget" localSheetId="25">[7]Input!$A$6</definedName>
    <definedName name="Budget">[8]Input!$A$6</definedName>
    <definedName name="CALL">'[14]BALSHEET TEMPLATE:LCY BALSHEET WKS'!$A$1144:$Q$1238</definedName>
    <definedName name="CASH_AND_SHORT_TERM_FUNDS" localSheetId="16">#REF!</definedName>
    <definedName name="CASH_AND_SHORT_TERM_FUNDS" localSheetId="14">#REF!</definedName>
    <definedName name="CASH_AND_SHORT_TERM_FUNDS" localSheetId="19">#REF!</definedName>
    <definedName name="CASH_AND_SHORT_TERM_FUNDS" localSheetId="24">#REF!</definedName>
    <definedName name="CASH_AND_SHORT_TERM_FUNDS" localSheetId="0">#REF!</definedName>
    <definedName name="CASH_AND_SHORT_TERM_FUNDS" localSheetId="21">#REF!</definedName>
    <definedName name="CASH_AND_SHORT_TERM_FUNDS" localSheetId="8">#REF!</definedName>
    <definedName name="CASH_AND_SHORT_TERM_FUNDS" localSheetId="6">#REF!</definedName>
    <definedName name="CASH_AND_SHORT_TERM_FUNDS" localSheetId="1">#REF!</definedName>
    <definedName name="CASH_AND_SHORT_TERM_FUNDS" localSheetId="25">#REF!</definedName>
    <definedName name="CASH_AND_SHORT_TERM_FUNDS" localSheetId="17">#REF!</definedName>
    <definedName name="CASH_AND_SHORT_TERM_FUNDS" localSheetId="10">#REF!</definedName>
    <definedName name="CASH_AND_SHORT_TERM_FUNDS" localSheetId="12">#REF!</definedName>
    <definedName name="CASH_AND_SHORT_TERM_FUNDS">#REF!</definedName>
    <definedName name="Charges" localSheetId="16">#REF!</definedName>
    <definedName name="Charges" localSheetId="14">#REF!</definedName>
    <definedName name="Charges" localSheetId="19">#REF!</definedName>
    <definedName name="Charges" localSheetId="24">#REF!</definedName>
    <definedName name="Charges" localSheetId="21">#REF!</definedName>
    <definedName name="Charges" localSheetId="8">#REF!</definedName>
    <definedName name="Charges" localSheetId="6">#REF!</definedName>
    <definedName name="Charges" localSheetId="25">#REF!</definedName>
    <definedName name="Charges" localSheetId="17">#REF!</definedName>
    <definedName name="Charges" localSheetId="10">#REF!</definedName>
    <definedName name="Charges" localSheetId="12">#REF!</definedName>
    <definedName name="Charges">#REF!</definedName>
    <definedName name="Charles.Ochonogor" localSheetId="16">[9]DATABANK!#REF!</definedName>
    <definedName name="Charles.Ochonogor" localSheetId="14">[9]DATABANK!#REF!</definedName>
    <definedName name="Charles.Ochonogor" localSheetId="19">[9]DATABANK!#REF!</definedName>
    <definedName name="Charles.Ochonogor" localSheetId="24">[9]DATABANK!#REF!</definedName>
    <definedName name="Charles.Ochonogor" localSheetId="0">[9]DATABANK!#REF!</definedName>
    <definedName name="Charles.Ochonogor" localSheetId="21">[9]DATABANK!#REF!</definedName>
    <definedName name="Charles.Ochonogor" localSheetId="8">[9]DATABANK!#REF!</definedName>
    <definedName name="Charles.Ochonogor" localSheetId="6">[9]DATABANK!#REF!</definedName>
    <definedName name="Charles.Ochonogor" localSheetId="1">[9]DATABANK!#REF!</definedName>
    <definedName name="Charles.Ochonogor" localSheetId="17">[9]DATABANK!#REF!</definedName>
    <definedName name="Charles.Ochonogor" localSheetId="10">[9]DATABANK!#REF!</definedName>
    <definedName name="Charles.Ochonogor" localSheetId="12">[9]DATABANK!#REF!</definedName>
    <definedName name="Charles.Ochonogor">[9]DATABANK!#REF!</definedName>
    <definedName name="Charles_Ochonogor" localSheetId="16">[9]DATABANK!#REF!</definedName>
    <definedName name="Charles_Ochonogor" localSheetId="14">[9]DATABANK!#REF!</definedName>
    <definedName name="Charles_Ochonogor" localSheetId="19">[9]DATABANK!#REF!</definedName>
    <definedName name="Charles_Ochonogor" localSheetId="24">[9]DATABANK!#REF!</definedName>
    <definedName name="Charles_Ochonogor" localSheetId="0">[9]DATABANK!#REF!</definedName>
    <definedName name="Charles_Ochonogor" localSheetId="21">[9]DATABANK!#REF!</definedName>
    <definedName name="Charles_Ochonogor" localSheetId="8">[9]DATABANK!#REF!</definedName>
    <definedName name="Charles_Ochonogor" localSheetId="6">[9]DATABANK!#REF!</definedName>
    <definedName name="Charles_Ochonogor" localSheetId="1">[9]DATABANK!#REF!</definedName>
    <definedName name="Charles_Ochonogor" localSheetId="17">[9]DATABANK!#REF!</definedName>
    <definedName name="Charles_Ochonogor" localSheetId="10">[9]DATABANK!#REF!</definedName>
    <definedName name="Charles_Ochonogor" localSheetId="12">[9]DATABANK!#REF!</definedName>
    <definedName name="Charles_Ochonogor">[9]DATABANK!#REF!</definedName>
    <definedName name="CHDepr" localSheetId="16">#REF!</definedName>
    <definedName name="CHDepr" localSheetId="14">#REF!</definedName>
    <definedName name="CHDepr" localSheetId="19">#REF!</definedName>
    <definedName name="CHDepr" localSheetId="24">#REF!</definedName>
    <definedName name="CHDepr" localSheetId="0">#REF!</definedName>
    <definedName name="CHDepr" localSheetId="21">#REF!</definedName>
    <definedName name="CHDepr" localSheetId="8">#REF!</definedName>
    <definedName name="CHDepr" localSheetId="6">#REF!</definedName>
    <definedName name="CHDepr" localSheetId="1">#REF!</definedName>
    <definedName name="CHDepr" localSheetId="25">#REF!</definedName>
    <definedName name="CHDepr" localSheetId="17">#REF!</definedName>
    <definedName name="CHDepr" localSheetId="10">#REF!</definedName>
    <definedName name="CHDepr" localSheetId="12">#REF!</definedName>
    <definedName name="CHDepr">#REF!</definedName>
    <definedName name="CLIENT" localSheetId="25">'[18]N-Client Information'!$D$7</definedName>
    <definedName name="CLIENT">'[19]N-Client Information'!$D$7</definedName>
    <definedName name="COA_BAL_SHEET" localSheetId="16">#REF!</definedName>
    <definedName name="COA_BAL_SHEET" localSheetId="14">#REF!</definedName>
    <definedName name="COA_BAL_SHEET" localSheetId="19">#REF!</definedName>
    <definedName name="COA_BAL_SHEET" localSheetId="24">#REF!</definedName>
    <definedName name="COA_BAL_SHEET" localSheetId="0">#REF!</definedName>
    <definedName name="COA_BAL_SHEET" localSheetId="21">#REF!</definedName>
    <definedName name="COA_BAL_SHEET" localSheetId="8">#REF!</definedName>
    <definedName name="COA_BAL_SHEET" localSheetId="6">#REF!</definedName>
    <definedName name="COA_BAL_SHEET" localSheetId="1">#REF!</definedName>
    <definedName name="COA_BAL_SHEET" localSheetId="25">#REF!</definedName>
    <definedName name="COA_BAL_SHEET" localSheetId="17">#REF!</definedName>
    <definedName name="COA_BAL_SHEET" localSheetId="10">#REF!</definedName>
    <definedName name="COA_BAL_SHEET" localSheetId="12">#REF!</definedName>
    <definedName name="COA_BAL_SHEET">#REF!</definedName>
    <definedName name="COA_P_L" localSheetId="16">#REF!</definedName>
    <definedName name="COA_P_L" localSheetId="14">#REF!</definedName>
    <definedName name="COA_P_L" localSheetId="19">#REF!</definedName>
    <definedName name="COA_P_L" localSheetId="24">#REF!</definedName>
    <definedName name="COA_P_L" localSheetId="21">#REF!</definedName>
    <definedName name="COA_P_L" localSheetId="8">#REF!</definedName>
    <definedName name="COA_P_L" localSheetId="6">#REF!</definedName>
    <definedName name="COA_P_L" localSheetId="25">#REF!</definedName>
    <definedName name="COA_P_L" localSheetId="17">#REF!</definedName>
    <definedName name="COA_P_L" localSheetId="10">#REF!</definedName>
    <definedName name="COA_P_L" localSheetId="12">#REF!</definedName>
    <definedName name="COA_P_L">#REF!</definedName>
    <definedName name="COT" localSheetId="16">#REF!</definedName>
    <definedName name="COT" localSheetId="14">#REF!</definedName>
    <definedName name="COT" localSheetId="19">#REF!</definedName>
    <definedName name="COT" localSheetId="24">#REF!</definedName>
    <definedName name="COT" localSheetId="21">#REF!</definedName>
    <definedName name="COT" localSheetId="8">#REF!</definedName>
    <definedName name="COT" localSheetId="6">#REF!</definedName>
    <definedName name="COT" localSheetId="25">#REF!</definedName>
    <definedName name="COT" localSheetId="17">#REF!</definedName>
    <definedName name="COT" localSheetId="10">#REF!</definedName>
    <definedName name="COT" localSheetId="12">#REF!</definedName>
    <definedName name="COT">#REF!</definedName>
    <definedName name="CSDepr" localSheetId="16">#REF!</definedName>
    <definedName name="CSDepr" localSheetId="14">#REF!</definedName>
    <definedName name="CSDepr" localSheetId="19">#REF!</definedName>
    <definedName name="CSDepr" localSheetId="24">#REF!</definedName>
    <definedName name="CSDepr" localSheetId="21">#REF!</definedName>
    <definedName name="CSDepr" localSheetId="8">#REF!</definedName>
    <definedName name="CSDepr" localSheetId="6">#REF!</definedName>
    <definedName name="CSDepr" localSheetId="25">#REF!</definedName>
    <definedName name="CSDepr" localSheetId="17">#REF!</definedName>
    <definedName name="CSDepr" localSheetId="10">#REF!</definedName>
    <definedName name="CSDepr" localSheetId="12">#REF!</definedName>
    <definedName name="CSDepr">#REF!</definedName>
    <definedName name="CSDepre" localSheetId="16">#REF!</definedName>
    <definedName name="CSDepre" localSheetId="14">#REF!</definedName>
    <definedName name="CSDepre" localSheetId="19">#REF!</definedName>
    <definedName name="CSDepre" localSheetId="24">#REF!</definedName>
    <definedName name="CSDepre" localSheetId="21">#REF!</definedName>
    <definedName name="CSDepre" localSheetId="8">#REF!</definedName>
    <definedName name="CSDepre" localSheetId="6">#REF!</definedName>
    <definedName name="CSDepre" localSheetId="25">#REF!</definedName>
    <definedName name="CSDepre" localSheetId="17">#REF!</definedName>
    <definedName name="CSDepre" localSheetId="10">#REF!</definedName>
    <definedName name="CSDepre" localSheetId="12">#REF!</definedName>
    <definedName name="CSDepre">#REF!</definedName>
    <definedName name="cunder" localSheetId="16">#REF!</definedName>
    <definedName name="cunder" localSheetId="14">#REF!</definedName>
    <definedName name="cunder" localSheetId="19">#REF!</definedName>
    <definedName name="cunder" localSheetId="24">#REF!</definedName>
    <definedName name="cunder" localSheetId="21">#REF!</definedName>
    <definedName name="cunder" localSheetId="8">#REF!</definedName>
    <definedName name="cunder" localSheetId="6">#REF!</definedName>
    <definedName name="cunder" localSheetId="25">#REF!</definedName>
    <definedName name="cunder" localSheetId="17">#REF!</definedName>
    <definedName name="cunder" localSheetId="10">#REF!</definedName>
    <definedName name="cunder" localSheetId="12">#REF!</definedName>
    <definedName name="cunder">#REF!</definedName>
    <definedName name="curheading" localSheetId="0">[5]Input!$B$8</definedName>
    <definedName name="curheading" localSheetId="1">[6]Input!$B$8</definedName>
    <definedName name="curheading" localSheetId="25">[7]Input!$B$8</definedName>
    <definedName name="curheading">[8]Input!$B$8</definedName>
    <definedName name="curmonth" localSheetId="0">[5]Input!$B$3</definedName>
    <definedName name="curmonth" localSheetId="1">[6]Input!$B$3</definedName>
    <definedName name="curmonth" localSheetId="25">[7]Input!$B$3</definedName>
    <definedName name="curmonth">[8]Input!$B$3</definedName>
    <definedName name="CURRENT">'[14]BALSHEET TEMPLATE:LCY BALSHEET WKS'!$A$1077:$R$1172</definedName>
    <definedName name="Databankoptions" localSheetId="16">[10]LOANS!#REF!</definedName>
    <definedName name="Databankoptions" localSheetId="14">[10]LOANS!#REF!</definedName>
    <definedName name="Databankoptions" localSheetId="19">[10]LOANS!#REF!</definedName>
    <definedName name="Databankoptions" localSheetId="24">[10]LOANS!#REF!</definedName>
    <definedName name="Databankoptions" localSheetId="0">[11]LOANS!#REF!</definedName>
    <definedName name="Databankoptions" localSheetId="21">[10]LOANS!#REF!</definedName>
    <definedName name="Databankoptions" localSheetId="8">[10]LOANS!#REF!</definedName>
    <definedName name="Databankoptions" localSheetId="6">[10]LOANS!#REF!</definedName>
    <definedName name="Databankoptions" localSheetId="1">[12]LOANS!#REF!</definedName>
    <definedName name="Databankoptions" localSheetId="25">[13]LOANS!#REF!</definedName>
    <definedName name="Databankoptions" localSheetId="17">[10]LOANS!#REF!</definedName>
    <definedName name="Databankoptions" localSheetId="10">[10]LOANS!#REF!</definedName>
    <definedName name="Databankoptions" localSheetId="12">[10]LOANS!#REF!</definedName>
    <definedName name="Databankoptions">[10]LOANS!#REF!</definedName>
    <definedName name="dates" localSheetId="16">'[10]ANNUAL CTC'!#REF!</definedName>
    <definedName name="dates" localSheetId="14">'[10]ANNUAL CTC'!#REF!</definedName>
    <definedName name="dates" localSheetId="19">'[10]ANNUAL CTC'!#REF!</definedName>
    <definedName name="dates" localSheetId="24">'[10]ANNUAL CTC'!#REF!</definedName>
    <definedName name="dates" localSheetId="0">'[11]ANNUAL CTC'!#REF!</definedName>
    <definedName name="dates" localSheetId="21">'[10]ANNUAL CTC'!#REF!</definedName>
    <definedName name="dates" localSheetId="8">'[10]ANNUAL CTC'!#REF!</definedName>
    <definedName name="dates" localSheetId="6">'[10]ANNUAL CTC'!#REF!</definedName>
    <definedName name="dates" localSheetId="1">'[12]ANNUAL CTC'!#REF!</definedName>
    <definedName name="dates" localSheetId="25">'[13]ANNUAL CTC'!#REF!</definedName>
    <definedName name="dates" localSheetId="17">'[10]ANNUAL CTC'!#REF!</definedName>
    <definedName name="dates" localSheetId="10">'[10]ANNUAL CTC'!#REF!</definedName>
    <definedName name="dates" localSheetId="12">'[10]ANNUAL CTC'!#REF!</definedName>
    <definedName name="dates">'[10]ANNUAL CTC'!#REF!</definedName>
    <definedName name="David.Omoke" localSheetId="16">[9]DATABANK!#REF!</definedName>
    <definedName name="David.Omoke" localSheetId="14">[9]DATABANK!#REF!</definedName>
    <definedName name="David.Omoke" localSheetId="19">[9]DATABANK!#REF!</definedName>
    <definedName name="David.Omoke" localSheetId="24">[9]DATABANK!#REF!</definedName>
    <definedName name="David.Omoke" localSheetId="0">[9]DATABANK!#REF!</definedName>
    <definedName name="David.Omoke" localSheetId="21">[9]DATABANK!#REF!</definedName>
    <definedName name="David.Omoke" localSheetId="8">[9]DATABANK!#REF!</definedName>
    <definedName name="David.Omoke" localSheetId="6">[9]DATABANK!#REF!</definedName>
    <definedName name="David.Omoke" localSheetId="1">[9]DATABANK!#REF!</definedName>
    <definedName name="David.Omoke" localSheetId="17">[9]DATABANK!#REF!</definedName>
    <definedName name="David.Omoke" localSheetId="10">[9]DATABANK!#REF!</definedName>
    <definedName name="David.Omoke" localSheetId="12">[9]DATABANK!#REF!</definedName>
    <definedName name="David.Omoke">[9]DATABANK!#REF!</definedName>
    <definedName name="David_Omoke" localSheetId="16">[9]DATABANK!#REF!</definedName>
    <definedName name="David_Omoke" localSheetId="14">[9]DATABANK!#REF!</definedName>
    <definedName name="David_Omoke" localSheetId="19">[9]DATABANK!#REF!</definedName>
    <definedName name="David_Omoke" localSheetId="24">[9]DATABANK!#REF!</definedName>
    <definedName name="David_Omoke" localSheetId="0">[9]DATABANK!#REF!</definedName>
    <definedName name="David_Omoke" localSheetId="21">[9]DATABANK!#REF!</definedName>
    <definedName name="David_Omoke" localSheetId="8">[9]DATABANK!#REF!</definedName>
    <definedName name="David_Omoke" localSheetId="6">[9]DATABANK!#REF!</definedName>
    <definedName name="David_Omoke" localSheetId="1">[9]DATABANK!#REF!</definedName>
    <definedName name="David_Omoke" localSheetId="17">[9]DATABANK!#REF!</definedName>
    <definedName name="David_Omoke" localSheetId="10">[9]DATABANK!#REF!</definedName>
    <definedName name="David_Omoke" localSheetId="12">[9]DATABANK!#REF!</definedName>
    <definedName name="David_Omoke">[9]DATABANK!#REF!</definedName>
    <definedName name="DAYS" localSheetId="16">#REF!</definedName>
    <definedName name="DAYS" localSheetId="14">#REF!</definedName>
    <definedName name="DAYS" localSheetId="19">#REF!</definedName>
    <definedName name="DAYS" localSheetId="24">#REF!</definedName>
    <definedName name="DAYS" localSheetId="0">#REF!</definedName>
    <definedName name="DAYS" localSheetId="21">#REF!</definedName>
    <definedName name="DAYS" localSheetId="8">#REF!</definedName>
    <definedName name="DAYS" localSheetId="6">#REF!</definedName>
    <definedName name="DAYS" localSheetId="1">#REF!</definedName>
    <definedName name="DAYS" localSheetId="25">#REF!</definedName>
    <definedName name="DAYS" localSheetId="17">#REF!</definedName>
    <definedName name="DAYS" localSheetId="10">#REF!</definedName>
    <definedName name="DAYS" localSheetId="12">#REF!</definedName>
    <definedName name="DAYS">#REF!</definedName>
    <definedName name="Daysinmonth" localSheetId="16">#REF!</definedName>
    <definedName name="Daysinmonth" localSheetId="14">#REF!</definedName>
    <definedName name="Daysinmonth" localSheetId="19">#REF!</definedName>
    <definedName name="Daysinmonth" localSheetId="24">#REF!</definedName>
    <definedName name="Daysinmonth" localSheetId="21">#REF!</definedName>
    <definedName name="Daysinmonth" localSheetId="8">#REF!</definedName>
    <definedName name="Daysinmonth" localSheetId="6">#REF!</definedName>
    <definedName name="Daysinmonth" localSheetId="25">#REF!</definedName>
    <definedName name="Daysinmonth" localSheetId="17">#REF!</definedName>
    <definedName name="Daysinmonth" localSheetId="10">#REF!</definedName>
    <definedName name="Daysinmonth" localSheetId="12">#REF!</definedName>
    <definedName name="Daysinmonth">#REF!</definedName>
    <definedName name="DaysMonth" localSheetId="16">#REF!</definedName>
    <definedName name="DaysMonth" localSheetId="14">#REF!</definedName>
    <definedName name="DaysMonth" localSheetId="19">#REF!</definedName>
    <definedName name="DaysMonth" localSheetId="24">#REF!</definedName>
    <definedName name="DaysMonth" localSheetId="21">#REF!</definedName>
    <definedName name="DaysMonth" localSheetId="8">#REF!</definedName>
    <definedName name="DaysMonth" localSheetId="6">#REF!</definedName>
    <definedName name="DaysMonth" localSheetId="25">#REF!</definedName>
    <definedName name="DaysMonth" localSheetId="17">#REF!</definedName>
    <definedName name="DaysMonth" localSheetId="10">#REF!</definedName>
    <definedName name="DaysMonth" localSheetId="12">#REF!</definedName>
    <definedName name="DaysMonth">#REF!</definedName>
    <definedName name="DaysOption" localSheetId="16">[10]LOANS!#REF!</definedName>
    <definedName name="DaysOption" localSheetId="14">[10]LOANS!#REF!</definedName>
    <definedName name="DaysOption" localSheetId="19">[10]LOANS!#REF!</definedName>
    <definedName name="DaysOption" localSheetId="24">[10]LOANS!#REF!</definedName>
    <definedName name="DaysOption" localSheetId="0">[11]LOANS!#REF!</definedName>
    <definedName name="DaysOption" localSheetId="21">[10]LOANS!#REF!</definedName>
    <definedName name="DaysOption" localSheetId="8">[10]LOANS!#REF!</definedName>
    <definedName name="DaysOption" localSheetId="6">[10]LOANS!#REF!</definedName>
    <definedName name="DaysOption" localSheetId="1">[12]LOANS!#REF!</definedName>
    <definedName name="DaysOption" localSheetId="25">[13]LOANS!#REF!</definedName>
    <definedName name="DaysOption" localSheetId="17">[10]LOANS!#REF!</definedName>
    <definedName name="DaysOption" localSheetId="10">[10]LOANS!#REF!</definedName>
    <definedName name="DaysOption" localSheetId="12">[10]LOANS!#REF!</definedName>
    <definedName name="DaysOption">[10]LOANS!#REF!</definedName>
    <definedName name="deductions" localSheetId="16">[10]LOANS!#REF!</definedName>
    <definedName name="deductions" localSheetId="14">[10]LOANS!#REF!</definedName>
    <definedName name="deductions" localSheetId="19">[10]LOANS!#REF!</definedName>
    <definedName name="deductions" localSheetId="24">[10]LOANS!#REF!</definedName>
    <definedName name="deductions" localSheetId="0">[11]LOANS!#REF!</definedName>
    <definedName name="deductions" localSheetId="21">[10]LOANS!#REF!</definedName>
    <definedName name="deductions" localSheetId="8">[10]LOANS!#REF!</definedName>
    <definedName name="deductions" localSheetId="6">[10]LOANS!#REF!</definedName>
    <definedName name="deductions" localSheetId="1">[12]LOANS!#REF!</definedName>
    <definedName name="deductions" localSheetId="25">[13]LOANS!#REF!</definedName>
    <definedName name="deductions" localSheetId="17">[10]LOANS!#REF!</definedName>
    <definedName name="deductions" localSheetId="10">[10]LOANS!#REF!</definedName>
    <definedName name="deductions" localSheetId="12">[10]LOANS!#REF!</definedName>
    <definedName name="deductions">[10]LOANS!#REF!</definedName>
    <definedName name="deductions1" localSheetId="16">[10]LOANS!#REF!</definedName>
    <definedName name="deductions1" localSheetId="14">[10]LOANS!#REF!</definedName>
    <definedName name="deductions1" localSheetId="19">[10]LOANS!#REF!</definedName>
    <definedName name="deductions1" localSheetId="24">[10]LOANS!#REF!</definedName>
    <definedName name="deductions1" localSheetId="0">[11]LOANS!#REF!</definedName>
    <definedName name="deductions1" localSheetId="21">[10]LOANS!#REF!</definedName>
    <definedName name="deductions1" localSheetId="8">[10]LOANS!#REF!</definedName>
    <definedName name="deductions1" localSheetId="6">[10]LOANS!#REF!</definedName>
    <definedName name="deductions1" localSheetId="1">[12]LOANS!#REF!</definedName>
    <definedName name="deductions1" localSheetId="25">[13]LOANS!#REF!</definedName>
    <definedName name="deductions1" localSheetId="17">[10]LOANS!#REF!</definedName>
    <definedName name="deductions1" localSheetId="10">[10]LOANS!#REF!</definedName>
    <definedName name="deductions1" localSheetId="12">[10]LOANS!#REF!</definedName>
    <definedName name="deductions1">[10]LOANS!#REF!</definedName>
    <definedName name="deductionstotal" localSheetId="16">[10]LOANS!#REF!</definedName>
    <definedName name="deductionstotal" localSheetId="14">[10]LOANS!#REF!</definedName>
    <definedName name="deductionstotal" localSheetId="19">[10]LOANS!#REF!</definedName>
    <definedName name="deductionstotal" localSheetId="24">[10]LOANS!#REF!</definedName>
    <definedName name="deductionstotal" localSheetId="0">[11]LOANS!#REF!</definedName>
    <definedName name="deductionstotal" localSheetId="21">[10]LOANS!#REF!</definedName>
    <definedName name="deductionstotal" localSheetId="8">[10]LOANS!#REF!</definedName>
    <definedName name="deductionstotal" localSheetId="6">[10]LOANS!#REF!</definedName>
    <definedName name="deductionstotal" localSheetId="1">[12]LOANS!#REF!</definedName>
    <definedName name="deductionstotal" localSheetId="25">[13]LOANS!#REF!</definedName>
    <definedName name="deductionstotal" localSheetId="17">[10]LOANS!#REF!</definedName>
    <definedName name="deductionstotal" localSheetId="10">[10]LOANS!#REF!</definedName>
    <definedName name="deductionstotal" localSheetId="12">[10]LOANS!#REF!</definedName>
    <definedName name="deductionstotal">[10]LOANS!#REF!</definedName>
    <definedName name="DeprSite" localSheetId="16">#REF!</definedName>
    <definedName name="DeprSite" localSheetId="14">#REF!</definedName>
    <definedName name="DeprSite" localSheetId="19">#REF!</definedName>
    <definedName name="DeprSite" localSheetId="24">#REF!</definedName>
    <definedName name="DeprSite" localSheetId="0">#REF!</definedName>
    <definedName name="DeprSite" localSheetId="21">#REF!</definedName>
    <definedName name="DeprSite" localSheetId="8">#REF!</definedName>
    <definedName name="DeprSite" localSheetId="6">#REF!</definedName>
    <definedName name="DeprSite" localSheetId="1">#REF!</definedName>
    <definedName name="DeprSite" localSheetId="25">#REF!</definedName>
    <definedName name="DeprSite" localSheetId="17">#REF!</definedName>
    <definedName name="DeprSite" localSheetId="10">#REF!</definedName>
    <definedName name="DeprSite" localSheetId="12">#REF!</definedName>
    <definedName name="DeprSite">#REF!</definedName>
    <definedName name="Devtlevys" localSheetId="16">[10]LOANS!#REF!</definedName>
    <definedName name="Devtlevys" localSheetId="14">[10]LOANS!#REF!</definedName>
    <definedName name="Devtlevys" localSheetId="19">[10]LOANS!#REF!</definedName>
    <definedName name="Devtlevys" localSheetId="24">[10]LOANS!#REF!</definedName>
    <definedName name="Devtlevys" localSheetId="0">[11]LOANS!#REF!</definedName>
    <definedName name="Devtlevys" localSheetId="21">[10]LOANS!#REF!</definedName>
    <definedName name="Devtlevys" localSheetId="8">[10]LOANS!#REF!</definedName>
    <definedName name="Devtlevys" localSheetId="6">[10]LOANS!#REF!</definedName>
    <definedName name="Devtlevys" localSheetId="1">[12]LOANS!#REF!</definedName>
    <definedName name="Devtlevys" localSheetId="25">[13]LOANS!#REF!</definedName>
    <definedName name="Devtlevys" localSheetId="17">[10]LOANS!#REF!</definedName>
    <definedName name="Devtlevys" localSheetId="10">[10]LOANS!#REF!</definedName>
    <definedName name="Devtlevys" localSheetId="12">[10]LOANS!#REF!</definedName>
    <definedName name="Devtlevys">[10]LOANS!#REF!</definedName>
    <definedName name="DieselLtrs" localSheetId="16">#REF!</definedName>
    <definedName name="DieselLtrs" localSheetId="14">#REF!</definedName>
    <definedName name="DieselLtrs" localSheetId="19">#REF!</definedName>
    <definedName name="DieselLtrs" localSheetId="24">#REF!</definedName>
    <definedName name="DieselLtrs" localSheetId="0">#REF!</definedName>
    <definedName name="DieselLtrs" localSheetId="21">#REF!</definedName>
    <definedName name="DieselLtrs" localSheetId="8">#REF!</definedName>
    <definedName name="DieselLtrs" localSheetId="6">#REF!</definedName>
    <definedName name="DieselLtrs" localSheetId="1">#REF!</definedName>
    <definedName name="DieselLtrs" localSheetId="25">#REF!</definedName>
    <definedName name="DieselLtrs" localSheetId="17">#REF!</definedName>
    <definedName name="DieselLtrs" localSheetId="10">#REF!</definedName>
    <definedName name="DieselLtrs" localSheetId="12">#REF!</definedName>
    <definedName name="DieselLtrs">#REF!</definedName>
    <definedName name="DieselPrice" localSheetId="16">#REF!</definedName>
    <definedName name="DieselPrice" localSheetId="14">#REF!</definedName>
    <definedName name="DieselPrice" localSheetId="19">#REF!</definedName>
    <definedName name="DieselPrice" localSheetId="24">#REF!</definedName>
    <definedName name="DieselPrice" localSheetId="21">#REF!</definedName>
    <definedName name="DieselPrice" localSheetId="8">#REF!</definedName>
    <definedName name="DieselPrice" localSheetId="6">#REF!</definedName>
    <definedName name="DieselPrice" localSheetId="25">#REF!</definedName>
    <definedName name="DieselPrice" localSheetId="17">#REF!</definedName>
    <definedName name="DieselPrice" localSheetId="10">#REF!</definedName>
    <definedName name="DieselPrice" localSheetId="12">#REF!</definedName>
    <definedName name="DieselPrice">#REF!</definedName>
    <definedName name="DieselSite" localSheetId="16">#REF!</definedName>
    <definedName name="DieselSite" localSheetId="14">#REF!</definedName>
    <definedName name="DieselSite" localSheetId="19">#REF!</definedName>
    <definedName name="DieselSite" localSheetId="24">#REF!</definedName>
    <definedName name="DieselSite" localSheetId="21">#REF!</definedName>
    <definedName name="DieselSite" localSheetId="8">#REF!</definedName>
    <definedName name="DieselSite" localSheetId="6">#REF!</definedName>
    <definedName name="DieselSite" localSheetId="25">#REF!</definedName>
    <definedName name="DieselSite" localSheetId="17">#REF!</definedName>
    <definedName name="DieselSite" localSheetId="10">#REF!</definedName>
    <definedName name="DieselSite" localSheetId="12">#REF!</definedName>
    <definedName name="DieselSite">#REF!</definedName>
    <definedName name="Dieseltr" localSheetId="16">#REF!</definedName>
    <definedName name="Dieseltr" localSheetId="14">#REF!</definedName>
    <definedName name="Dieseltr" localSheetId="19">#REF!</definedName>
    <definedName name="Dieseltr" localSheetId="24">#REF!</definedName>
    <definedName name="Dieseltr" localSheetId="21">#REF!</definedName>
    <definedName name="Dieseltr" localSheetId="8">#REF!</definedName>
    <definedName name="Dieseltr" localSheetId="6">#REF!</definedName>
    <definedName name="Dieseltr" localSheetId="25">#REF!</definedName>
    <definedName name="Dieseltr" localSheetId="17">#REF!</definedName>
    <definedName name="Dieseltr" localSheetId="10">#REF!</definedName>
    <definedName name="Dieseltr" localSheetId="12">#REF!</definedName>
    <definedName name="Dieseltr">#REF!</definedName>
    <definedName name="EndMth" localSheetId="16">#REF!</definedName>
    <definedName name="EndMth" localSheetId="14">#REF!</definedName>
    <definedName name="EndMth" localSheetId="19">#REF!</definedName>
    <definedName name="EndMth" localSheetId="24">#REF!</definedName>
    <definedName name="EndMth" localSheetId="21">#REF!</definedName>
    <definedName name="EndMth" localSheetId="8">#REF!</definedName>
    <definedName name="EndMth" localSheetId="6">#REF!</definedName>
    <definedName name="EndMth" localSheetId="25">#REF!</definedName>
    <definedName name="EndMth" localSheetId="17">#REF!</definedName>
    <definedName name="EndMth" localSheetId="10">#REF!</definedName>
    <definedName name="EndMth" localSheetId="12">#REF!</definedName>
    <definedName name="EndMth">#REF!</definedName>
    <definedName name="Endofyear" localSheetId="16">#REF!</definedName>
    <definedName name="Endofyear" localSheetId="14">#REF!</definedName>
    <definedName name="Endofyear" localSheetId="19">#REF!</definedName>
    <definedName name="Endofyear" localSheetId="24">#REF!</definedName>
    <definedName name="Endofyear" localSheetId="21">#REF!</definedName>
    <definedName name="Endofyear" localSheetId="8">#REF!</definedName>
    <definedName name="Endofyear" localSheetId="6">#REF!</definedName>
    <definedName name="Endofyear" localSheetId="25">#REF!</definedName>
    <definedName name="Endofyear" localSheetId="17">#REF!</definedName>
    <definedName name="Endofyear" localSheetId="10">#REF!</definedName>
    <definedName name="Endofyear" localSheetId="12">#REF!</definedName>
    <definedName name="Endofyear">#REF!</definedName>
    <definedName name="endp" localSheetId="16">[10]LOANS!#REF!</definedName>
    <definedName name="endp" localSheetId="14">[10]LOANS!#REF!</definedName>
    <definedName name="endp" localSheetId="19">[10]LOANS!#REF!</definedName>
    <definedName name="endp" localSheetId="24">[10]LOANS!#REF!</definedName>
    <definedName name="endp" localSheetId="0">[11]LOANS!#REF!</definedName>
    <definedName name="endp" localSheetId="21">[10]LOANS!#REF!</definedName>
    <definedName name="endp" localSheetId="8">[10]LOANS!#REF!</definedName>
    <definedName name="endp" localSheetId="6">[10]LOANS!#REF!</definedName>
    <definedName name="endp" localSheetId="1">[12]LOANS!#REF!</definedName>
    <definedName name="endp" localSheetId="25">[13]LOANS!#REF!</definedName>
    <definedName name="endp" localSheetId="17">[10]LOANS!#REF!</definedName>
    <definedName name="endp" localSheetId="10">[10]LOANS!#REF!</definedName>
    <definedName name="endp" localSheetId="12">[10]LOANS!#REF!</definedName>
    <definedName name="endp">[10]LOANS!#REF!</definedName>
    <definedName name="entertotal" localSheetId="16">[10]LOANS!#REF!</definedName>
    <definedName name="entertotal" localSheetId="14">[10]LOANS!#REF!</definedName>
    <definedName name="entertotal" localSheetId="19">[10]LOANS!#REF!</definedName>
    <definedName name="entertotal" localSheetId="24">[10]LOANS!#REF!</definedName>
    <definedName name="entertotal" localSheetId="0">[11]LOANS!#REF!</definedName>
    <definedName name="entertotal" localSheetId="21">[10]LOANS!#REF!</definedName>
    <definedName name="entertotal" localSheetId="8">[10]LOANS!#REF!</definedName>
    <definedName name="entertotal" localSheetId="6">[10]LOANS!#REF!</definedName>
    <definedName name="entertotal" localSheetId="1">[12]LOANS!#REF!</definedName>
    <definedName name="entertotal" localSheetId="25">[13]LOANS!#REF!</definedName>
    <definedName name="entertotal" localSheetId="17">[10]LOANS!#REF!</definedName>
    <definedName name="entertotal" localSheetId="10">[10]LOANS!#REF!</definedName>
    <definedName name="entertotal" localSheetId="12">[10]LOANS!#REF!</definedName>
    <definedName name="entertotal">[10]LOANS!#REF!</definedName>
    <definedName name="ESS" localSheetId="16">[10]LOANS!#REF!</definedName>
    <definedName name="ESS" localSheetId="14">[10]LOANS!#REF!</definedName>
    <definedName name="ESS" localSheetId="19">[10]LOANS!#REF!</definedName>
    <definedName name="ESS" localSheetId="24">[10]LOANS!#REF!</definedName>
    <definedName name="ESS" localSheetId="0">[11]LOANS!#REF!</definedName>
    <definedName name="ESS" localSheetId="21">[10]LOANS!#REF!</definedName>
    <definedName name="ESS" localSheetId="8">[10]LOANS!#REF!</definedName>
    <definedName name="ESS" localSheetId="6">[10]LOANS!#REF!</definedName>
    <definedName name="ESS" localSheetId="1">[12]LOANS!#REF!</definedName>
    <definedName name="ESS" localSheetId="25">[13]LOANS!#REF!</definedName>
    <definedName name="ESS" localSheetId="17">[10]LOANS!#REF!</definedName>
    <definedName name="ESS" localSheetId="10">[10]LOANS!#REF!</definedName>
    <definedName name="ESS" localSheetId="12">[10]LOANS!#REF!</definedName>
    <definedName name="ESS">[10]LOANS!#REF!</definedName>
    <definedName name="Essomaster" localSheetId="16">#REF!</definedName>
    <definedName name="Essomaster" localSheetId="14">#REF!</definedName>
    <definedName name="Essomaster" localSheetId="19">#REF!</definedName>
    <definedName name="Essomaster" localSheetId="24">#REF!</definedName>
    <definedName name="Essomaster" localSheetId="0">#REF!</definedName>
    <definedName name="Essomaster" localSheetId="21">#REF!</definedName>
    <definedName name="Essomaster" localSheetId="8">#REF!</definedName>
    <definedName name="Essomaster" localSheetId="6">#REF!</definedName>
    <definedName name="Essomaster" localSheetId="1">#REF!</definedName>
    <definedName name="Essomaster" localSheetId="25">#REF!</definedName>
    <definedName name="Essomaster" localSheetId="17">#REF!</definedName>
    <definedName name="Essomaster" localSheetId="10">#REF!</definedName>
    <definedName name="Essomaster" localSheetId="12">#REF!</definedName>
    <definedName name="Essomaster">#REF!</definedName>
    <definedName name="Exch" localSheetId="16">#REF!</definedName>
    <definedName name="Exch" localSheetId="14">#REF!</definedName>
    <definedName name="Exch" localSheetId="19">#REF!</definedName>
    <definedName name="Exch" localSheetId="24">#REF!</definedName>
    <definedName name="Exch" localSheetId="21">#REF!</definedName>
    <definedName name="Exch" localSheetId="8">#REF!</definedName>
    <definedName name="Exch" localSheetId="6">#REF!</definedName>
    <definedName name="Exch" localSheetId="25">#REF!</definedName>
    <definedName name="Exch" localSheetId="17">#REF!</definedName>
    <definedName name="Exch" localSheetId="10">#REF!</definedName>
    <definedName name="Exch" localSheetId="12">#REF!</definedName>
    <definedName name="Exch">#REF!</definedName>
    <definedName name="Exchange" localSheetId="16">#REF!</definedName>
    <definedName name="Exchange" localSheetId="14">#REF!</definedName>
    <definedName name="Exchange" localSheetId="19">#REF!</definedName>
    <definedName name="Exchange" localSheetId="24">#REF!</definedName>
    <definedName name="Exchange" localSheetId="21">#REF!</definedName>
    <definedName name="Exchange" localSheetId="8">#REF!</definedName>
    <definedName name="Exchange" localSheetId="6">#REF!</definedName>
    <definedName name="Exchange" localSheetId="25">#REF!</definedName>
    <definedName name="Exchange" localSheetId="17">#REF!</definedName>
    <definedName name="Exchange" localSheetId="10">#REF!</definedName>
    <definedName name="Exchange" localSheetId="12">#REF!</definedName>
    <definedName name="Exchange">#REF!</definedName>
    <definedName name="Exchangerate" localSheetId="16">#REF!</definedName>
    <definedName name="Exchangerate" localSheetId="14">#REF!</definedName>
    <definedName name="Exchangerate" localSheetId="19">#REF!</definedName>
    <definedName name="Exchangerate" localSheetId="24">#REF!</definedName>
    <definedName name="Exchangerate" localSheetId="21">#REF!</definedName>
    <definedName name="Exchangerate" localSheetId="8">#REF!</definedName>
    <definedName name="Exchangerate" localSheetId="6">#REF!</definedName>
    <definedName name="Exchangerate" localSheetId="25">#REF!</definedName>
    <definedName name="Exchangerate" localSheetId="17">#REF!</definedName>
    <definedName name="Exchangerate" localSheetId="10">#REF!</definedName>
    <definedName name="Exchangerate" localSheetId="12">#REF!</definedName>
    <definedName name="Exchangerate">#REF!</definedName>
    <definedName name="ExchRate" localSheetId="16">#REF!</definedName>
    <definedName name="ExchRate" localSheetId="14">#REF!</definedName>
    <definedName name="ExchRate" localSheetId="19">#REF!</definedName>
    <definedName name="ExchRate" localSheetId="24">#REF!</definedName>
    <definedName name="ExchRate" localSheetId="21">#REF!</definedName>
    <definedName name="ExchRate" localSheetId="8">#REF!</definedName>
    <definedName name="ExchRate" localSheetId="6">#REF!</definedName>
    <definedName name="ExchRate" localSheetId="25">#REF!</definedName>
    <definedName name="ExchRate" localSheetId="17">#REF!</definedName>
    <definedName name="ExchRate" localSheetId="10">#REF!</definedName>
    <definedName name="ExchRate" localSheetId="12">#REF!</definedName>
    <definedName name="ExchRate">#REF!</definedName>
    <definedName name="EXP" localSheetId="16">#REF!</definedName>
    <definedName name="EXP" localSheetId="14">#REF!</definedName>
    <definedName name="EXP" localSheetId="19">#REF!</definedName>
    <definedName name="EXP" localSheetId="24">#REF!</definedName>
    <definedName name="EXP" localSheetId="21">#REF!</definedName>
    <definedName name="EXP" localSheetId="8">#REF!</definedName>
    <definedName name="EXP" localSheetId="6">#REF!</definedName>
    <definedName name="EXP" localSheetId="25">#REF!</definedName>
    <definedName name="EXP" localSheetId="17">#REF!</definedName>
    <definedName name="EXP" localSheetId="10">#REF!</definedName>
    <definedName name="EXP" localSheetId="12">#REF!</definedName>
    <definedName name="EXP">#REF!</definedName>
    <definedName name="EXP_PLAN" localSheetId="16">#REF!</definedName>
    <definedName name="EXP_PLAN" localSheetId="14">#REF!</definedName>
    <definedName name="EXP_PLAN" localSheetId="19">#REF!</definedName>
    <definedName name="EXP_PLAN" localSheetId="24">#REF!</definedName>
    <definedName name="EXP_PLAN" localSheetId="21">#REF!</definedName>
    <definedName name="EXP_PLAN" localSheetId="8">#REF!</definedName>
    <definedName name="EXP_PLAN" localSheetId="6">#REF!</definedName>
    <definedName name="EXP_PLAN" localSheetId="25">#REF!</definedName>
    <definedName name="EXP_PLAN" localSheetId="17">#REF!</definedName>
    <definedName name="EXP_PLAN" localSheetId="10">#REF!</definedName>
    <definedName name="EXP_PLAN" localSheetId="12">#REF!</definedName>
    <definedName name="EXP_PLAN">#REF!</definedName>
    <definedName name="EXPBUDGT" localSheetId="16">#REF!</definedName>
    <definedName name="EXPBUDGT" localSheetId="14">#REF!</definedName>
    <definedName name="EXPBUDGT" localSheetId="19">#REF!</definedName>
    <definedName name="EXPBUDGT" localSheetId="24">#REF!</definedName>
    <definedName name="EXPBUDGT" localSheetId="21">#REF!</definedName>
    <definedName name="EXPBUDGT" localSheetId="8">#REF!</definedName>
    <definedName name="EXPBUDGT" localSheetId="6">#REF!</definedName>
    <definedName name="EXPBUDGT" localSheetId="25">#REF!</definedName>
    <definedName name="EXPBUDGT" localSheetId="17">#REF!</definedName>
    <definedName name="EXPBUDGT" localSheetId="10">#REF!</definedName>
    <definedName name="EXPBUDGT" localSheetId="12">#REF!</definedName>
    <definedName name="EXPBUDGT">#REF!</definedName>
    <definedName name="EYB" localSheetId="16">[10]LOANS!#REF!</definedName>
    <definedName name="EYB" localSheetId="14">[10]LOANS!#REF!</definedName>
    <definedName name="EYB" localSheetId="19">[10]LOANS!#REF!</definedName>
    <definedName name="EYB" localSheetId="24">[10]LOANS!#REF!</definedName>
    <definedName name="EYB" localSheetId="0">[11]LOANS!#REF!</definedName>
    <definedName name="EYB" localSheetId="21">[10]LOANS!#REF!</definedName>
    <definedName name="EYB" localSheetId="8">[10]LOANS!#REF!</definedName>
    <definedName name="EYB" localSheetId="6">[10]LOANS!#REF!</definedName>
    <definedName name="EYB" localSheetId="1">[12]LOANS!#REF!</definedName>
    <definedName name="EYB" localSheetId="25">[13]LOANS!#REF!</definedName>
    <definedName name="EYB" localSheetId="17">[10]LOANS!#REF!</definedName>
    <definedName name="EYB" localSheetId="10">[10]LOANS!#REF!</definedName>
    <definedName name="EYB" localSheetId="12">[10]LOANS!#REF!</definedName>
    <definedName name="EYB">[10]LOANS!#REF!</definedName>
    <definedName name="FDep" localSheetId="16">'[20]Fixed Assets Schedule'!#REF!</definedName>
    <definedName name="FDep" localSheetId="14">'[20]Fixed Assets Schedule'!#REF!</definedName>
    <definedName name="FDep" localSheetId="19">'[20]Fixed Assets Schedule'!#REF!</definedName>
    <definedName name="FDep" localSheetId="24">'[20]Fixed Assets Schedule'!#REF!</definedName>
    <definedName name="FDep" localSheetId="0">'[21]Fixed Assets Schedule'!#REF!</definedName>
    <definedName name="FDep" localSheetId="21">'[20]Fixed Assets Schedule'!#REF!</definedName>
    <definedName name="FDep" localSheetId="8">'[20]Fixed Assets Schedule'!#REF!</definedName>
    <definedName name="FDep" localSheetId="6">'[20]Fixed Assets Schedule'!#REF!</definedName>
    <definedName name="FDep" localSheetId="1">'[22]Fixed Assets Schedule'!#REF!</definedName>
    <definedName name="FDep" localSheetId="25">'[23]Fixed Assets Schedule'!#REF!</definedName>
    <definedName name="FDep" localSheetId="17">'[20]Fixed Assets Schedule'!#REF!</definedName>
    <definedName name="FDep" localSheetId="10">'[20]Fixed Assets Schedule'!#REF!</definedName>
    <definedName name="FDep" localSheetId="12">'[20]Fixed Assets Schedule'!#REF!</definedName>
    <definedName name="FDep">'[20]Fixed Assets Schedule'!#REF!</definedName>
    <definedName name="FFDepr" localSheetId="16">#REF!</definedName>
    <definedName name="FFDepr" localSheetId="14">#REF!</definedName>
    <definedName name="FFDepr" localSheetId="19">#REF!</definedName>
    <definedName name="FFDepr" localSheetId="24">#REF!</definedName>
    <definedName name="FFDepr" localSheetId="0">#REF!</definedName>
    <definedName name="FFDepr" localSheetId="21">#REF!</definedName>
    <definedName name="FFDepr" localSheetId="8">#REF!</definedName>
    <definedName name="FFDepr" localSheetId="6">#REF!</definedName>
    <definedName name="FFDepr" localSheetId="1">#REF!</definedName>
    <definedName name="FFDepr" localSheetId="25">#REF!</definedName>
    <definedName name="FFDepr" localSheetId="17">#REF!</definedName>
    <definedName name="FFDepr" localSheetId="10">#REF!</definedName>
    <definedName name="FFDepr" localSheetId="12">#REF!</definedName>
    <definedName name="FFDepr">#REF!</definedName>
    <definedName name="Fidelia.Osueke" localSheetId="16">[9]DATABANK!#REF!</definedName>
    <definedName name="Fidelia.Osueke" localSheetId="14">[9]DATABANK!#REF!</definedName>
    <definedName name="Fidelia.Osueke" localSheetId="19">[9]DATABANK!#REF!</definedName>
    <definedName name="Fidelia.Osueke" localSheetId="24">[9]DATABANK!#REF!</definedName>
    <definedName name="Fidelia.Osueke" localSheetId="0">[9]DATABANK!#REF!</definedName>
    <definedName name="Fidelia.Osueke" localSheetId="21">[9]DATABANK!#REF!</definedName>
    <definedName name="Fidelia.Osueke" localSheetId="8">[9]DATABANK!#REF!</definedName>
    <definedName name="Fidelia.Osueke" localSheetId="6">[9]DATABANK!#REF!</definedName>
    <definedName name="Fidelia.Osueke" localSheetId="1">[9]DATABANK!#REF!</definedName>
    <definedName name="Fidelia.Osueke" localSheetId="17">[9]DATABANK!#REF!</definedName>
    <definedName name="Fidelia.Osueke" localSheetId="10">[9]DATABANK!#REF!</definedName>
    <definedName name="Fidelia.Osueke" localSheetId="12">[9]DATABANK!#REF!</definedName>
    <definedName name="Fidelia.Osueke">[9]DATABANK!#REF!</definedName>
    <definedName name="Fidelia_Osueke" localSheetId="16">[9]DATABANK!#REF!</definedName>
    <definedName name="Fidelia_Osueke" localSheetId="14">[9]DATABANK!#REF!</definedName>
    <definedName name="Fidelia_Osueke" localSheetId="19">[9]DATABANK!#REF!</definedName>
    <definedName name="Fidelia_Osueke" localSheetId="24">[9]DATABANK!#REF!</definedName>
    <definedName name="Fidelia_Osueke" localSheetId="21">[9]DATABANK!#REF!</definedName>
    <definedName name="Fidelia_Osueke" localSheetId="8">[9]DATABANK!#REF!</definedName>
    <definedName name="Fidelia_Osueke" localSheetId="6">[9]DATABANK!#REF!</definedName>
    <definedName name="Fidelia_Osueke" localSheetId="17">[9]DATABANK!#REF!</definedName>
    <definedName name="Fidelia_Osueke" localSheetId="10">[9]DATABANK!#REF!</definedName>
    <definedName name="Fidelia_Osueke" localSheetId="12">[9]DATABANK!#REF!</definedName>
    <definedName name="Fidelia_Osueke">[9]DATABANK!#REF!</definedName>
    <definedName name="Finstat" localSheetId="16">#REF!</definedName>
    <definedName name="Finstat" localSheetId="14">#REF!</definedName>
    <definedName name="Finstat" localSheetId="19">#REF!</definedName>
    <definedName name="Finstat" localSheetId="24">#REF!</definedName>
    <definedName name="Finstat" localSheetId="0">#REF!</definedName>
    <definedName name="Finstat" localSheetId="21">#REF!</definedName>
    <definedName name="Finstat" localSheetId="8">#REF!</definedName>
    <definedName name="Finstat" localSheetId="6">#REF!</definedName>
    <definedName name="Finstat" localSheetId="1">#REF!</definedName>
    <definedName name="Finstat" localSheetId="25">#REF!</definedName>
    <definedName name="Finstat" localSheetId="17">#REF!</definedName>
    <definedName name="Finstat" localSheetId="10">#REF!</definedName>
    <definedName name="Finstat" localSheetId="12">#REF!</definedName>
    <definedName name="Finstat">#REF!</definedName>
    <definedName name="fuel07" localSheetId="16">'[10]ANNUAL CTC'!#REF!</definedName>
    <definedName name="fuel07" localSheetId="14">'[10]ANNUAL CTC'!#REF!</definedName>
    <definedName name="fuel07" localSheetId="19">'[10]ANNUAL CTC'!#REF!</definedName>
    <definedName name="fuel07" localSheetId="24">'[10]ANNUAL CTC'!#REF!</definedName>
    <definedName name="fuel07" localSheetId="0">'[11]ANNUAL CTC'!#REF!</definedName>
    <definedName name="fuel07" localSheetId="21">'[10]ANNUAL CTC'!#REF!</definedName>
    <definedName name="fuel07" localSheetId="8">'[10]ANNUAL CTC'!#REF!</definedName>
    <definedName name="fuel07" localSheetId="6">'[10]ANNUAL CTC'!#REF!</definedName>
    <definedName name="fuel07" localSheetId="1">'[12]ANNUAL CTC'!#REF!</definedName>
    <definedName name="fuel07" localSheetId="25">'[13]ANNUAL CTC'!#REF!</definedName>
    <definedName name="fuel07" localSheetId="17">'[10]ANNUAL CTC'!#REF!</definedName>
    <definedName name="fuel07" localSheetId="10">'[10]ANNUAL CTC'!#REF!</definedName>
    <definedName name="fuel07" localSheetId="12">'[10]ANNUAL CTC'!#REF!</definedName>
    <definedName name="fuel07">'[10]ANNUAL CTC'!#REF!</definedName>
    <definedName name="GENPROVRQD" localSheetId="16">#REF!</definedName>
    <definedName name="GENPROVRQD" localSheetId="14">#REF!</definedName>
    <definedName name="GENPROVRQD" localSheetId="19">#REF!</definedName>
    <definedName name="GENPROVRQD" localSheetId="24">#REF!</definedName>
    <definedName name="GENPROVRQD" localSheetId="0">#REF!</definedName>
    <definedName name="GENPROVRQD" localSheetId="21">#REF!</definedName>
    <definedName name="GENPROVRQD" localSheetId="8">#REF!</definedName>
    <definedName name="GENPROVRQD" localSheetId="6">#REF!</definedName>
    <definedName name="GENPROVRQD" localSheetId="1">#REF!</definedName>
    <definedName name="GENPROVRQD" localSheetId="25">#REF!</definedName>
    <definedName name="GENPROVRQD" localSheetId="17">#REF!</definedName>
    <definedName name="GENPROVRQD" localSheetId="10">#REF!</definedName>
    <definedName name="GENPROVRQD" localSheetId="12">#REF!</definedName>
    <definedName name="GENPROVRQD">#REF!</definedName>
    <definedName name="Godwin.Uboh" localSheetId="16">[9]DATABANK!#REF!</definedName>
    <definedName name="Godwin.Uboh" localSheetId="14">[9]DATABANK!#REF!</definedName>
    <definedName name="Godwin.Uboh" localSheetId="19">[9]DATABANK!#REF!</definedName>
    <definedName name="Godwin.Uboh" localSheetId="24">[9]DATABANK!#REF!</definedName>
    <definedName name="Godwin.Uboh" localSheetId="0">[9]DATABANK!#REF!</definedName>
    <definedName name="Godwin.Uboh" localSheetId="21">[9]DATABANK!#REF!</definedName>
    <definedName name="Godwin.Uboh" localSheetId="8">[9]DATABANK!#REF!</definedName>
    <definedName name="Godwin.Uboh" localSheetId="6">[9]DATABANK!#REF!</definedName>
    <definedName name="Godwin.Uboh" localSheetId="1">[9]DATABANK!#REF!</definedName>
    <definedName name="Godwin.Uboh" localSheetId="17">[9]DATABANK!#REF!</definedName>
    <definedName name="Godwin.Uboh" localSheetId="10">[9]DATABANK!#REF!</definedName>
    <definedName name="Godwin.Uboh" localSheetId="12">[9]DATABANK!#REF!</definedName>
    <definedName name="Godwin.Uboh">[9]DATABANK!#REF!</definedName>
    <definedName name="Godwin_Uboh" localSheetId="16">[9]DATABANK!#REF!</definedName>
    <definedName name="Godwin_Uboh" localSheetId="14">[9]DATABANK!#REF!</definedName>
    <definedName name="Godwin_Uboh" localSheetId="19">[9]DATABANK!#REF!</definedName>
    <definedName name="Godwin_Uboh" localSheetId="24">[9]DATABANK!#REF!</definedName>
    <definedName name="Godwin_Uboh" localSheetId="21">[9]DATABANK!#REF!</definedName>
    <definedName name="Godwin_Uboh" localSheetId="8">[9]DATABANK!#REF!</definedName>
    <definedName name="Godwin_Uboh" localSheetId="6">[9]DATABANK!#REF!</definedName>
    <definedName name="Godwin_Uboh" localSheetId="1">[9]DATABANK!#REF!</definedName>
    <definedName name="Godwin_Uboh" localSheetId="17">[9]DATABANK!#REF!</definedName>
    <definedName name="Godwin_Uboh" localSheetId="10">[9]DATABANK!#REF!</definedName>
    <definedName name="Godwin_Uboh" localSheetId="12">[9]DATABANK!#REF!</definedName>
    <definedName name="Godwin_Uboh">[9]DATABANK!#REF!</definedName>
    <definedName name="GTB\BA">'[14]BALSHEET TEMPLATE:LCY BALSHEET WKS'!$A$1212:$Q$1307</definedName>
    <definedName name="HIGHLIGHTS" localSheetId="16">#REF!</definedName>
    <definedName name="HIGHLIGHTS" localSheetId="14">#REF!</definedName>
    <definedName name="HIGHLIGHTS" localSheetId="19">#REF!</definedName>
    <definedName name="HIGHLIGHTS" localSheetId="24">#REF!</definedName>
    <definedName name="HIGHLIGHTS" localSheetId="0">#REF!</definedName>
    <definedName name="HIGHLIGHTS" localSheetId="21">#REF!</definedName>
    <definedName name="HIGHLIGHTS" localSheetId="8">#REF!</definedName>
    <definedName name="HIGHLIGHTS" localSheetId="6">#REF!</definedName>
    <definedName name="HIGHLIGHTS" localSheetId="1">#REF!</definedName>
    <definedName name="HIGHLIGHTS" localSheetId="25">#REF!</definedName>
    <definedName name="HIGHLIGHTS" localSheetId="17">#REF!</definedName>
    <definedName name="HIGHLIGHTS" localSheetId="10">#REF!</definedName>
    <definedName name="HIGHLIGHTS" localSheetId="12">#REF!</definedName>
    <definedName name="HIGHLIGHTS">#REF!</definedName>
    <definedName name="housetotal" localSheetId="16">[10]LOANS!#REF!</definedName>
    <definedName name="housetotal" localSheetId="14">[10]LOANS!#REF!</definedName>
    <definedName name="housetotal" localSheetId="19">[10]LOANS!#REF!</definedName>
    <definedName name="housetotal" localSheetId="24">[10]LOANS!#REF!</definedName>
    <definedName name="housetotal" localSheetId="0">[11]LOANS!#REF!</definedName>
    <definedName name="housetotal" localSheetId="21">[10]LOANS!#REF!</definedName>
    <definedName name="housetotal" localSheetId="8">[10]LOANS!#REF!</definedName>
    <definedName name="housetotal" localSheetId="6">[10]LOANS!#REF!</definedName>
    <definedName name="housetotal" localSheetId="1">[12]LOANS!#REF!</definedName>
    <definedName name="housetotal" localSheetId="25">[13]LOANS!#REF!</definedName>
    <definedName name="housetotal" localSheetId="17">[10]LOANS!#REF!</definedName>
    <definedName name="housetotal" localSheetId="10">[10]LOANS!#REF!</definedName>
    <definedName name="housetotal" localSheetId="12">[10]LOANS!#REF!</definedName>
    <definedName name="housetotal">[10]LOANS!#REF!</definedName>
    <definedName name="HousingUp" localSheetId="16">[10]LOANS!#REF!</definedName>
    <definedName name="HousingUp" localSheetId="14">[10]LOANS!#REF!</definedName>
    <definedName name="HousingUp" localSheetId="19">[10]LOANS!#REF!</definedName>
    <definedName name="HousingUp" localSheetId="24">[10]LOANS!#REF!</definedName>
    <definedName name="HousingUp" localSheetId="0">[11]LOANS!#REF!</definedName>
    <definedName name="HousingUp" localSheetId="21">[10]LOANS!#REF!</definedName>
    <definedName name="HousingUp" localSheetId="8">[10]LOANS!#REF!</definedName>
    <definedName name="HousingUp" localSheetId="6">[10]LOANS!#REF!</definedName>
    <definedName name="HousingUp" localSheetId="1">[12]LOANS!#REF!</definedName>
    <definedName name="HousingUp" localSheetId="25">[13]LOANS!#REF!</definedName>
    <definedName name="HousingUp" localSheetId="17">[10]LOANS!#REF!</definedName>
    <definedName name="HousingUp" localSheetId="10">[10]LOANS!#REF!</definedName>
    <definedName name="HousingUp" localSheetId="12">[10]LOANS!#REF!</definedName>
    <definedName name="HousingUp">[10]LOANS!#REF!</definedName>
    <definedName name="Hudson_Okoh" localSheetId="16">[9]DATABANK!#REF!</definedName>
    <definedName name="Hudson_Okoh" localSheetId="14">[9]DATABANK!#REF!</definedName>
    <definedName name="Hudson_Okoh" localSheetId="19">[9]DATABANK!#REF!</definedName>
    <definedName name="Hudson_Okoh" localSheetId="24">[9]DATABANK!#REF!</definedName>
    <definedName name="Hudson_Okoh" localSheetId="0">[9]DATABANK!#REF!</definedName>
    <definedName name="Hudson_Okoh" localSheetId="21">[9]DATABANK!#REF!</definedName>
    <definedName name="Hudson_Okoh" localSheetId="8">[9]DATABANK!#REF!</definedName>
    <definedName name="Hudson_Okoh" localSheetId="6">[9]DATABANK!#REF!</definedName>
    <definedName name="Hudson_Okoh" localSheetId="1">[9]DATABANK!#REF!</definedName>
    <definedName name="Hudson_Okoh" localSheetId="17">[9]DATABANK!#REF!</definedName>
    <definedName name="Hudson_Okoh" localSheetId="10">[9]DATABANK!#REF!</definedName>
    <definedName name="Hudson_Okoh" localSheetId="12">[9]DATABANK!#REF!</definedName>
    <definedName name="Hudson_Okoh">[9]DATABANK!#REF!</definedName>
    <definedName name="InfRateYr1" localSheetId="16">#REF!</definedName>
    <definedName name="InfRateYr1" localSheetId="14">#REF!</definedName>
    <definedName name="InfRateYr1" localSheetId="19">#REF!</definedName>
    <definedName name="InfRateYr1" localSheetId="24">#REF!</definedName>
    <definedName name="InfRateYr1" localSheetId="0">#REF!</definedName>
    <definedName name="InfRateYr1" localSheetId="21">#REF!</definedName>
    <definedName name="InfRateYr1" localSheetId="8">#REF!</definedName>
    <definedName name="InfRateYr1" localSheetId="6">#REF!</definedName>
    <definedName name="InfRateYr1" localSheetId="1">#REF!</definedName>
    <definedName name="InfRateYr1" localSheetId="25">#REF!</definedName>
    <definedName name="InfRateYr1" localSheetId="17">#REF!</definedName>
    <definedName name="InfRateYr1" localSheetId="10">#REF!</definedName>
    <definedName name="InfRateYr1" localSheetId="12">#REF!</definedName>
    <definedName name="InfRateYr1">#REF!</definedName>
    <definedName name="InfRateYr2" localSheetId="16">#REF!</definedName>
    <definedName name="InfRateYr2" localSheetId="14">#REF!</definedName>
    <definedName name="InfRateYr2" localSheetId="19">#REF!</definedName>
    <definedName name="InfRateYr2" localSheetId="24">#REF!</definedName>
    <definedName name="InfRateYr2" localSheetId="21">#REF!</definedName>
    <definedName name="InfRateYr2" localSheetId="8">#REF!</definedName>
    <definedName name="InfRateYr2" localSheetId="6">#REF!</definedName>
    <definedName name="InfRateYr2" localSheetId="25">#REF!</definedName>
    <definedName name="InfRateYr2" localSheetId="17">#REF!</definedName>
    <definedName name="InfRateYr2" localSheetId="10">#REF!</definedName>
    <definedName name="InfRateYr2" localSheetId="12">#REF!</definedName>
    <definedName name="InfRateYr2">#REF!</definedName>
    <definedName name="InfRateYr3" localSheetId="16">#REF!</definedName>
    <definedName name="InfRateYr3" localSheetId="14">#REF!</definedName>
    <definedName name="InfRateYr3" localSheetId="19">#REF!</definedName>
    <definedName name="InfRateYr3" localSheetId="24">#REF!</definedName>
    <definedName name="InfRateYr3" localSheetId="21">#REF!</definedName>
    <definedName name="InfRateYr3" localSheetId="8">#REF!</definedName>
    <definedName name="InfRateYr3" localSheetId="6">#REF!</definedName>
    <definedName name="InfRateYr3" localSheetId="25">#REF!</definedName>
    <definedName name="InfRateYr3" localSheetId="17">#REF!</definedName>
    <definedName name="InfRateYr3" localSheetId="10">#REF!</definedName>
    <definedName name="InfRateYr3" localSheetId="12">#REF!</definedName>
    <definedName name="InfRateYr3">#REF!</definedName>
    <definedName name="InfRateYr4" localSheetId="16">#REF!</definedName>
    <definedName name="InfRateYr4" localSheetId="14">#REF!</definedName>
    <definedName name="InfRateYr4" localSheetId="19">#REF!</definedName>
    <definedName name="InfRateYr4" localSheetId="24">#REF!</definedName>
    <definedName name="InfRateYr4" localSheetId="21">#REF!</definedName>
    <definedName name="InfRateYr4" localSheetId="8">#REF!</definedName>
    <definedName name="InfRateYr4" localSheetId="6">#REF!</definedName>
    <definedName name="InfRateYr4" localSheetId="25">#REF!</definedName>
    <definedName name="InfRateYr4" localSheetId="17">#REF!</definedName>
    <definedName name="InfRateYr4" localSheetId="10">#REF!</definedName>
    <definedName name="InfRateYr4" localSheetId="12">#REF!</definedName>
    <definedName name="InfRateYr4">#REF!</definedName>
    <definedName name="int_anal" localSheetId="16">#REF!</definedName>
    <definedName name="int_anal" localSheetId="14">#REF!</definedName>
    <definedName name="int_anal" localSheetId="19">#REF!</definedName>
    <definedName name="int_anal" localSheetId="24">#REF!</definedName>
    <definedName name="int_anal" localSheetId="21">#REF!</definedName>
    <definedName name="int_anal" localSheetId="8">#REF!</definedName>
    <definedName name="int_anal" localSheetId="6">#REF!</definedName>
    <definedName name="int_anal" localSheetId="25">#REF!</definedName>
    <definedName name="int_anal" localSheetId="17">#REF!</definedName>
    <definedName name="int_anal" localSheetId="10">#REF!</definedName>
    <definedName name="int_anal" localSheetId="12">#REF!</definedName>
    <definedName name="int_anal">#REF!</definedName>
    <definedName name="INTANAL" localSheetId="16">#REF!</definedName>
    <definedName name="INTANAL" localSheetId="14">#REF!</definedName>
    <definedName name="INTANAL" localSheetId="19">#REF!</definedName>
    <definedName name="INTANAL" localSheetId="24">#REF!</definedName>
    <definedName name="INTANAL" localSheetId="21">#REF!</definedName>
    <definedName name="INTANAL" localSheetId="8">#REF!</definedName>
    <definedName name="INTANAL" localSheetId="6">#REF!</definedName>
    <definedName name="INTANAL" localSheetId="25">#REF!</definedName>
    <definedName name="INTANAL" localSheetId="17">#REF!</definedName>
    <definedName name="INTANAL" localSheetId="10">#REF!</definedName>
    <definedName name="INTANAL" localSheetId="12">#REF!</definedName>
    <definedName name="INTANAL">#REF!</definedName>
    <definedName name="Interest" localSheetId="16">#REF!</definedName>
    <definedName name="Interest" localSheetId="14">#REF!</definedName>
    <definedName name="Interest" localSheetId="19">#REF!</definedName>
    <definedName name="Interest" localSheetId="24">#REF!</definedName>
    <definedName name="Interest" localSheetId="21">#REF!</definedName>
    <definedName name="Interest" localSheetId="8">#REF!</definedName>
    <definedName name="Interest" localSheetId="6">#REF!</definedName>
    <definedName name="Interest" localSheetId="25">#REF!</definedName>
    <definedName name="Interest" localSheetId="17">#REF!</definedName>
    <definedName name="Interest" localSheetId="10">#REF!</definedName>
    <definedName name="Interest" localSheetId="12">#REF!</definedName>
    <definedName name="Interest">#REF!</definedName>
    <definedName name="intrst" localSheetId="16">#REF!</definedName>
    <definedName name="intrst" localSheetId="14">#REF!</definedName>
    <definedName name="intrst" localSheetId="19">#REF!</definedName>
    <definedName name="intrst" localSheetId="24">#REF!</definedName>
    <definedName name="intrst" localSheetId="21">#REF!</definedName>
    <definedName name="intrst" localSheetId="8">#REF!</definedName>
    <definedName name="intrst" localSheetId="6">#REF!</definedName>
    <definedName name="intrst" localSheetId="25">#REF!</definedName>
    <definedName name="intrst" localSheetId="17">#REF!</definedName>
    <definedName name="intrst" localSheetId="10">#REF!</definedName>
    <definedName name="intrst" localSheetId="12">#REF!</definedName>
    <definedName name="intrst">#REF!</definedName>
    <definedName name="ITDep" localSheetId="16">'[20]Fixed Assets Schedule'!#REF!</definedName>
    <definedName name="ITDep" localSheetId="14">'[20]Fixed Assets Schedule'!#REF!</definedName>
    <definedName name="ITDep" localSheetId="19">'[20]Fixed Assets Schedule'!#REF!</definedName>
    <definedName name="ITDep" localSheetId="24">'[20]Fixed Assets Schedule'!#REF!</definedName>
    <definedName name="ITDep" localSheetId="0">'[21]Fixed Assets Schedule'!#REF!</definedName>
    <definedName name="ITDep" localSheetId="21">'[20]Fixed Assets Schedule'!#REF!</definedName>
    <definedName name="ITDep" localSheetId="8">'[20]Fixed Assets Schedule'!#REF!</definedName>
    <definedName name="ITDep" localSheetId="6">'[20]Fixed Assets Schedule'!#REF!</definedName>
    <definedName name="ITDep" localSheetId="1">'[22]Fixed Assets Schedule'!#REF!</definedName>
    <definedName name="ITDep" localSheetId="25">'[23]Fixed Assets Schedule'!#REF!</definedName>
    <definedName name="ITDep" localSheetId="17">'[20]Fixed Assets Schedule'!#REF!</definedName>
    <definedName name="ITDep" localSheetId="10">'[20]Fixed Assets Schedule'!#REF!</definedName>
    <definedName name="ITDep" localSheetId="12">'[20]Fixed Assets Schedule'!#REF!</definedName>
    <definedName name="ITDep">'[20]Fixed Assets Schedule'!#REF!</definedName>
    <definedName name="Johnson_Adesola" localSheetId="16">[9]DATABANK!#REF!</definedName>
    <definedName name="Johnson_Adesola" localSheetId="14">[9]DATABANK!#REF!</definedName>
    <definedName name="Johnson_Adesola" localSheetId="19">[9]DATABANK!#REF!</definedName>
    <definedName name="Johnson_Adesola" localSheetId="24">[9]DATABANK!#REF!</definedName>
    <definedName name="Johnson_Adesola" localSheetId="21">[9]DATABANK!#REF!</definedName>
    <definedName name="Johnson_Adesola" localSheetId="8">[9]DATABANK!#REF!</definedName>
    <definedName name="Johnson_Adesola" localSheetId="6">[9]DATABANK!#REF!</definedName>
    <definedName name="Johnson_Adesola" localSheetId="17">[9]DATABANK!#REF!</definedName>
    <definedName name="Johnson_Adesola" localSheetId="10">[9]DATABANK!#REF!</definedName>
    <definedName name="Johnson_Adesola" localSheetId="12">[9]DATABANK!#REF!</definedName>
    <definedName name="Johnson_Adesola">[9]DATABANK!#REF!</definedName>
    <definedName name="Julie_Udoh" localSheetId="16">[9]DATABANK!#REF!</definedName>
    <definedName name="Julie_Udoh" localSheetId="14">[9]DATABANK!#REF!</definedName>
    <definedName name="Julie_Udoh" localSheetId="19">[9]DATABANK!#REF!</definedName>
    <definedName name="Julie_Udoh" localSheetId="24">[9]DATABANK!#REF!</definedName>
    <definedName name="Julie_Udoh" localSheetId="21">[9]DATABANK!#REF!</definedName>
    <definedName name="Julie_Udoh" localSheetId="8">[9]DATABANK!#REF!</definedName>
    <definedName name="Julie_Udoh" localSheetId="6">[9]DATABANK!#REF!</definedName>
    <definedName name="Julie_Udoh" localSheetId="17">[9]DATABANK!#REF!</definedName>
    <definedName name="Julie_Udoh" localSheetId="10">[9]DATABANK!#REF!</definedName>
    <definedName name="Julie_Udoh" localSheetId="12">[9]DATABANK!#REF!</definedName>
    <definedName name="Julie_Udoh">[9]DATABANK!#REF!</definedName>
    <definedName name="JunMaster" localSheetId="16">#REF!</definedName>
    <definedName name="JunMaster" localSheetId="14">#REF!</definedName>
    <definedName name="JunMaster" localSheetId="19">#REF!</definedName>
    <definedName name="JunMaster" localSheetId="24">#REF!</definedName>
    <definedName name="JunMaster" localSheetId="0">#REF!</definedName>
    <definedName name="JunMaster" localSheetId="21">#REF!</definedName>
    <definedName name="JunMaster" localSheetId="8">#REF!</definedName>
    <definedName name="JunMaster" localSheetId="6">#REF!</definedName>
    <definedName name="JunMaster" localSheetId="1">#REF!</definedName>
    <definedName name="JunMaster" localSheetId="25">#REF!</definedName>
    <definedName name="JunMaster" localSheetId="17">#REF!</definedName>
    <definedName name="JunMaster" localSheetId="10">#REF!</definedName>
    <definedName name="JunMaster" localSheetId="12">#REF!</definedName>
    <definedName name="JunMaster">#REF!</definedName>
    <definedName name="JunMaster1" localSheetId="16">[10]LOANS!#REF!</definedName>
    <definedName name="JunMaster1" localSheetId="14">[10]LOANS!#REF!</definedName>
    <definedName name="JunMaster1" localSheetId="19">[10]LOANS!#REF!</definedName>
    <definedName name="JunMaster1" localSheetId="24">[10]LOANS!#REF!</definedName>
    <definedName name="JunMaster1" localSheetId="0">[11]LOANS!#REF!</definedName>
    <definedName name="JunMaster1" localSheetId="21">[10]LOANS!#REF!</definedName>
    <definedName name="JunMaster1" localSheetId="8">[10]LOANS!#REF!</definedName>
    <definedName name="JunMaster1" localSheetId="6">[10]LOANS!#REF!</definedName>
    <definedName name="JunMaster1" localSheetId="1">[12]LOANS!#REF!</definedName>
    <definedName name="JunMaster1" localSheetId="25">[13]LOANS!#REF!</definedName>
    <definedName name="JunMaster1" localSheetId="17">[10]LOANS!#REF!</definedName>
    <definedName name="JunMaster1" localSheetId="10">[10]LOANS!#REF!</definedName>
    <definedName name="JunMaster1" localSheetId="12">[10]LOANS!#REF!</definedName>
    <definedName name="JunMaster1">[10]LOANS!#REF!</definedName>
    <definedName name="kkk" localSheetId="16" hidden="1">[1]OLDFILE!#REF!</definedName>
    <definedName name="kkk" localSheetId="14" hidden="1">[1]OLDFILE!#REF!</definedName>
    <definedName name="kkk" localSheetId="19" hidden="1">[1]OLDFILE!#REF!</definedName>
    <definedName name="kkk" localSheetId="24" hidden="1">[1]OLDFILE!#REF!</definedName>
    <definedName name="kkk" localSheetId="21" hidden="1">[1]OLDFILE!#REF!</definedName>
    <definedName name="kkk" localSheetId="8" hidden="1">[1]OLDFILE!#REF!</definedName>
    <definedName name="kkk" localSheetId="6" hidden="1">[1]OLDFILE!#REF!</definedName>
    <definedName name="kkk" localSheetId="17" hidden="1">[1]OLDFILE!#REF!</definedName>
    <definedName name="kkk" localSheetId="10" hidden="1">[1]OLDFILE!#REF!</definedName>
    <definedName name="kkk" localSheetId="12" hidden="1">[1]OLDFILE!#REF!</definedName>
    <definedName name="kkk" hidden="1">[1]OLDFILE!#REF!</definedName>
    <definedName name="KKKL" localSheetId="16">'[24]det income'!#REF!</definedName>
    <definedName name="KKKL" localSheetId="14">'[24]det income'!#REF!</definedName>
    <definedName name="KKKL" localSheetId="19">'[24]det income'!#REF!</definedName>
    <definedName name="KKKL" localSheetId="24">'[24]det income'!#REF!</definedName>
    <definedName name="KKKL" localSheetId="0">'[25]det income'!#REF!</definedName>
    <definedName name="KKKL" localSheetId="21">'[24]det income'!#REF!</definedName>
    <definedName name="KKKL" localSheetId="8">'[24]det income'!#REF!</definedName>
    <definedName name="KKKL" localSheetId="6">'[24]det income'!#REF!</definedName>
    <definedName name="KKKL" localSheetId="1">'[26]det income'!#REF!</definedName>
    <definedName name="KKKL" localSheetId="25">'[27]det income'!#REF!</definedName>
    <definedName name="KKKL" localSheetId="17">'[24]det income'!#REF!</definedName>
    <definedName name="KKKL" localSheetId="10">'[24]det income'!#REF!</definedName>
    <definedName name="KKKL" localSheetId="12">'[24]det income'!#REF!</definedName>
    <definedName name="KKKL">'[24]det income'!#REF!</definedName>
    <definedName name="kote" localSheetId="16">[10]LOANS!#REF!</definedName>
    <definedName name="kote" localSheetId="14">[10]LOANS!#REF!</definedName>
    <definedName name="kote" localSheetId="19">[10]LOANS!#REF!</definedName>
    <definedName name="kote" localSheetId="24">[10]LOANS!#REF!</definedName>
    <definedName name="kote" localSheetId="0">[11]LOANS!#REF!</definedName>
    <definedName name="kote" localSheetId="21">[10]LOANS!#REF!</definedName>
    <definedName name="kote" localSheetId="8">[10]LOANS!#REF!</definedName>
    <definedName name="kote" localSheetId="6">[10]LOANS!#REF!</definedName>
    <definedName name="kote" localSheetId="1">[12]LOANS!#REF!</definedName>
    <definedName name="kote" localSheetId="25">[13]LOANS!#REF!</definedName>
    <definedName name="kote" localSheetId="17">[10]LOANS!#REF!</definedName>
    <definedName name="kote" localSheetId="10">[10]LOANS!#REF!</definedName>
    <definedName name="kote" localSheetId="12">[10]LOANS!#REF!</definedName>
    <definedName name="kote">[10]LOANS!#REF!</definedName>
    <definedName name="L_Adjust" localSheetId="0">[28]Links!$H:$H</definedName>
    <definedName name="L_Adjust" localSheetId="1">[29]Links!$H:$H</definedName>
    <definedName name="L_Adjust" localSheetId="25">[30]Links!$H$1:$H$65536</definedName>
    <definedName name="L_Adjust">[31]Links!$H$1:$H$65536</definedName>
    <definedName name="L_AJE_Tot" localSheetId="0">[28]Links!$G:$G</definedName>
    <definedName name="L_AJE_Tot" localSheetId="1">[29]Links!$G:$G</definedName>
    <definedName name="L_AJE_Tot" localSheetId="25">[30]Links!$G$1:$G$65536</definedName>
    <definedName name="L_AJE_Tot">[31]Links!$G$1:$G$65536</definedName>
    <definedName name="L_CY_Beg" localSheetId="0">[28]Links!$F:$F</definedName>
    <definedName name="L_CY_Beg" localSheetId="1">[29]Links!$F:$F</definedName>
    <definedName name="L_CY_Beg" localSheetId="25">[30]Links!$F$1:$F$65536</definedName>
    <definedName name="L_CY_Beg">[31]Links!$F$1:$F$65536</definedName>
    <definedName name="L_CY_End" localSheetId="0">[28]Links!$J:$J</definedName>
    <definedName name="L_CY_End" localSheetId="1">[29]Links!$J:$J</definedName>
    <definedName name="L_CY_End" localSheetId="25">[30]Links!$J$1:$J$65536</definedName>
    <definedName name="L_CY_End">[31]Links!$J$1:$J$65536</definedName>
    <definedName name="L_PY_End" localSheetId="0">[28]Links!$K:$K</definedName>
    <definedName name="L_PY_End" localSheetId="1">[29]Links!$K:$K</definedName>
    <definedName name="L_PY_End" localSheetId="25">[30]Links!$K$1:$K$65536</definedName>
    <definedName name="L_PY_End">[31]Links!$K$1:$K$65536</definedName>
    <definedName name="L_RJE_Tot" localSheetId="0">[28]Links!$I:$I</definedName>
    <definedName name="L_RJE_Tot" localSheetId="1">[29]Links!$I:$I</definedName>
    <definedName name="L_RJE_Tot" localSheetId="25">[30]Links!$I$1:$I$65536</definedName>
    <definedName name="L_RJE_Tot">[31]Links!$I$1:$I$65536</definedName>
    <definedName name="LEASES" localSheetId="16">'[14]LCY BALSHEET WKS'!#REF!</definedName>
    <definedName name="LEASES" localSheetId="14">'[14]LCY BALSHEET WKS'!#REF!</definedName>
    <definedName name="LEASES" localSheetId="19">'[14]LCY BALSHEET WKS'!#REF!</definedName>
    <definedName name="LEASES" localSheetId="24">'[14]LCY BALSHEET WKS'!#REF!</definedName>
    <definedName name="LEASES" localSheetId="0">'[14]LCY BALSHEET WKS'!#REF!</definedName>
    <definedName name="LEASES" localSheetId="21">'[14]LCY BALSHEET WKS'!#REF!</definedName>
    <definedName name="LEASES" localSheetId="8">'[14]LCY BALSHEET WKS'!#REF!</definedName>
    <definedName name="LEASES" localSheetId="6">'[14]LCY BALSHEET WKS'!#REF!</definedName>
    <definedName name="LEASES" localSheetId="1">'[14]LCY BALSHEET WKS'!#REF!</definedName>
    <definedName name="LEASES" localSheetId="17">'[14]LCY BALSHEET WKS'!#REF!</definedName>
    <definedName name="LEASES" localSheetId="10">'[14]LCY BALSHEET WKS'!#REF!</definedName>
    <definedName name="LEASES" localSheetId="12">'[14]LCY BALSHEET WKS'!#REF!</definedName>
    <definedName name="LEASES">'[14]LCY BALSHEET WKS'!#REF!</definedName>
    <definedName name="Leave" localSheetId="16">[10]LOANS!#REF!</definedName>
    <definedName name="Leave" localSheetId="14">[10]LOANS!#REF!</definedName>
    <definedName name="Leave" localSheetId="19">[10]LOANS!#REF!</definedName>
    <definedName name="Leave" localSheetId="24">[10]LOANS!#REF!</definedName>
    <definedName name="Leave" localSheetId="0">[11]LOANS!#REF!</definedName>
    <definedName name="Leave" localSheetId="21">[10]LOANS!#REF!</definedName>
    <definedName name="Leave" localSheetId="8">[10]LOANS!#REF!</definedName>
    <definedName name="Leave" localSheetId="6">[10]LOANS!#REF!</definedName>
    <definedName name="Leave" localSheetId="1">[12]LOANS!#REF!</definedName>
    <definedName name="Leave" localSheetId="25">[13]LOANS!#REF!</definedName>
    <definedName name="Leave" localSheetId="17">[10]LOANS!#REF!</definedName>
    <definedName name="Leave" localSheetId="10">[10]LOANS!#REF!</definedName>
    <definedName name="Leave" localSheetId="12">[10]LOANS!#REF!</definedName>
    <definedName name="Leave">[10]LOANS!#REF!</definedName>
    <definedName name="leavetotal" localSheetId="16">[10]LOANS!#REF!</definedName>
    <definedName name="leavetotal" localSheetId="14">[10]LOANS!#REF!</definedName>
    <definedName name="leavetotal" localSheetId="19">[10]LOANS!#REF!</definedName>
    <definedName name="leavetotal" localSheetId="24">[10]LOANS!#REF!</definedName>
    <definedName name="leavetotal" localSheetId="0">[11]LOANS!#REF!</definedName>
    <definedName name="leavetotal" localSheetId="21">[10]LOANS!#REF!</definedName>
    <definedName name="leavetotal" localSheetId="8">[10]LOANS!#REF!</definedName>
    <definedName name="leavetotal" localSheetId="6">[10]LOANS!#REF!</definedName>
    <definedName name="leavetotal" localSheetId="1">[12]LOANS!#REF!</definedName>
    <definedName name="leavetotal" localSheetId="25">[13]LOANS!#REF!</definedName>
    <definedName name="leavetotal" localSheetId="17">[10]LOANS!#REF!</definedName>
    <definedName name="leavetotal" localSheetId="10">[10]LOANS!#REF!</definedName>
    <definedName name="leavetotal" localSheetId="12">[10]LOANS!#REF!</definedName>
    <definedName name="leavetotal">[10]LOANS!#REF!</definedName>
    <definedName name="levy" localSheetId="16">[10]LOANS!#REF!</definedName>
    <definedName name="levy" localSheetId="14">[10]LOANS!#REF!</definedName>
    <definedName name="levy" localSheetId="19">[10]LOANS!#REF!</definedName>
    <definedName name="levy" localSheetId="24">[10]LOANS!#REF!</definedName>
    <definedName name="levy" localSheetId="0">[11]LOANS!#REF!</definedName>
    <definedName name="levy" localSheetId="21">[10]LOANS!#REF!</definedName>
    <definedName name="levy" localSheetId="8">[10]LOANS!#REF!</definedName>
    <definedName name="levy" localSheetId="6">[10]LOANS!#REF!</definedName>
    <definedName name="levy" localSheetId="1">[12]LOANS!#REF!</definedName>
    <definedName name="levy" localSheetId="25">[13]LOANS!#REF!</definedName>
    <definedName name="levy" localSheetId="17">[10]LOANS!#REF!</definedName>
    <definedName name="levy" localSheetId="10">[10]LOANS!#REF!</definedName>
    <definedName name="levy" localSheetId="12">[10]LOANS!#REF!</definedName>
    <definedName name="levy">[10]LOANS!#REF!</definedName>
    <definedName name="loandetails" localSheetId="16">[10]LOANS!#REF!</definedName>
    <definedName name="loandetails" localSheetId="14">[10]LOANS!#REF!</definedName>
    <definedName name="loandetails" localSheetId="19">[10]LOANS!#REF!</definedName>
    <definedName name="loandetails" localSheetId="24">[10]LOANS!#REF!</definedName>
    <definedName name="loandetails" localSheetId="0">[11]LOANS!#REF!</definedName>
    <definedName name="loandetails" localSheetId="21">[10]LOANS!#REF!</definedName>
    <definedName name="loandetails" localSheetId="8">[10]LOANS!#REF!</definedName>
    <definedName name="loandetails" localSheetId="6">[10]LOANS!#REF!</definedName>
    <definedName name="loandetails" localSheetId="1">[12]LOANS!#REF!</definedName>
    <definedName name="loandetails" localSheetId="25">[13]LOANS!#REF!</definedName>
    <definedName name="loandetails" localSheetId="17">[10]LOANS!#REF!</definedName>
    <definedName name="loandetails" localSheetId="10">[10]LOANS!#REF!</definedName>
    <definedName name="loandetails" localSheetId="12">[10]LOANS!#REF!</definedName>
    <definedName name="loandetails">[10]LOANS!#REF!</definedName>
    <definedName name="loandetails1" localSheetId="16">[10]LOANS!#REF!</definedName>
    <definedName name="loandetails1" localSheetId="14">[10]LOANS!#REF!</definedName>
    <definedName name="loandetails1" localSheetId="19">[10]LOANS!#REF!</definedName>
    <definedName name="loandetails1" localSheetId="24">[10]LOANS!#REF!</definedName>
    <definedName name="loandetails1" localSheetId="0">[11]LOANS!#REF!</definedName>
    <definedName name="loandetails1" localSheetId="21">[10]LOANS!#REF!</definedName>
    <definedName name="loandetails1" localSheetId="8">[10]LOANS!#REF!</definedName>
    <definedName name="loandetails1" localSheetId="6">[10]LOANS!#REF!</definedName>
    <definedName name="loandetails1" localSheetId="1">[12]LOANS!#REF!</definedName>
    <definedName name="loandetails1" localSheetId="25">[13]LOANS!#REF!</definedName>
    <definedName name="loandetails1" localSheetId="17">[10]LOANS!#REF!</definedName>
    <definedName name="loandetails1" localSheetId="10">[10]LOANS!#REF!</definedName>
    <definedName name="loandetails1" localSheetId="12">[10]LOANS!#REF!</definedName>
    <definedName name="loandetails1">[10]LOANS!#REF!</definedName>
    <definedName name="loaner" localSheetId="16">[10]LOANS!#REF!</definedName>
    <definedName name="loaner" localSheetId="14">[10]LOANS!#REF!</definedName>
    <definedName name="loaner" localSheetId="19">[10]LOANS!#REF!</definedName>
    <definedName name="loaner" localSheetId="24">[10]LOANS!#REF!</definedName>
    <definedName name="loaner" localSheetId="0">[11]LOANS!#REF!</definedName>
    <definedName name="loaner" localSheetId="21">[10]LOANS!#REF!</definedName>
    <definedName name="loaner" localSheetId="8">[10]LOANS!#REF!</definedName>
    <definedName name="loaner" localSheetId="6">[10]LOANS!#REF!</definedName>
    <definedName name="loaner" localSheetId="1">[12]LOANS!#REF!</definedName>
    <definedName name="loaner" localSheetId="25">[13]LOANS!#REF!</definedName>
    <definedName name="loaner" localSheetId="17">[10]LOANS!#REF!</definedName>
    <definedName name="loaner" localSheetId="10">[10]LOANS!#REF!</definedName>
    <definedName name="loaner" localSheetId="12">[10]LOANS!#REF!</definedName>
    <definedName name="loaner">[10]LOANS!#REF!</definedName>
    <definedName name="loanmanager" localSheetId="16">#REF!</definedName>
    <definedName name="loanmanager" localSheetId="14">#REF!</definedName>
    <definedName name="loanmanager" localSheetId="19">#REF!</definedName>
    <definedName name="loanmanager" localSheetId="24">#REF!</definedName>
    <definedName name="loanmanager" localSheetId="0">#REF!</definedName>
    <definedName name="loanmanager" localSheetId="21">#REF!</definedName>
    <definedName name="loanmanager" localSheetId="8">#REF!</definedName>
    <definedName name="loanmanager" localSheetId="6">#REF!</definedName>
    <definedName name="loanmanager" localSheetId="1">#REF!</definedName>
    <definedName name="loanmanager" localSheetId="25">#REF!</definedName>
    <definedName name="loanmanager" localSheetId="17">#REF!</definedName>
    <definedName name="loanmanager" localSheetId="10">#REF!</definedName>
    <definedName name="loanmanager" localSheetId="12">#REF!</definedName>
    <definedName name="loanmanager">#REF!</definedName>
    <definedName name="loantotal" localSheetId="16">[10]LOANS!#REF!</definedName>
    <definedName name="loantotal" localSheetId="14">[10]LOANS!#REF!</definedName>
    <definedName name="loantotal" localSheetId="19">[10]LOANS!#REF!</definedName>
    <definedName name="loantotal" localSheetId="24">[10]LOANS!#REF!</definedName>
    <definedName name="loantotal" localSheetId="0">[11]LOANS!#REF!</definedName>
    <definedName name="loantotal" localSheetId="21">[10]LOANS!#REF!</definedName>
    <definedName name="loantotal" localSheetId="8">[10]LOANS!#REF!</definedName>
    <definedName name="loantotal" localSheetId="6">[10]LOANS!#REF!</definedName>
    <definedName name="loantotal" localSheetId="1">[12]LOANS!#REF!</definedName>
    <definedName name="loantotal" localSheetId="25">[13]LOANS!#REF!</definedName>
    <definedName name="loantotal" localSheetId="17">[10]LOANS!#REF!</definedName>
    <definedName name="loantotal" localSheetId="10">[10]LOANS!#REF!</definedName>
    <definedName name="loantotal" localSheetId="12">[10]LOANS!#REF!</definedName>
    <definedName name="loantotal">[10]LOANS!#REF!</definedName>
    <definedName name="lop" localSheetId="16" hidden="1">[1]OLDFILE!#REF!</definedName>
    <definedName name="lop" localSheetId="14" hidden="1">[1]OLDFILE!#REF!</definedName>
    <definedName name="lop" localSheetId="19" hidden="1">[1]OLDFILE!#REF!</definedName>
    <definedName name="lop" localSheetId="24" hidden="1">[1]OLDFILE!#REF!</definedName>
    <definedName name="lop" localSheetId="21" hidden="1">[1]OLDFILE!#REF!</definedName>
    <definedName name="lop" localSheetId="8" hidden="1">[1]OLDFILE!#REF!</definedName>
    <definedName name="lop" localSheetId="6" hidden="1">[1]OLDFILE!#REF!</definedName>
    <definedName name="lop" localSheetId="17" hidden="1">[1]OLDFILE!#REF!</definedName>
    <definedName name="lop" localSheetId="10" hidden="1">[1]OLDFILE!#REF!</definedName>
    <definedName name="lop" localSheetId="12" hidden="1">[1]OLDFILE!#REF!</definedName>
    <definedName name="lop" hidden="1">[1]OLDFILE!#REF!</definedName>
    <definedName name="march" localSheetId="16">[10]LOANS!#REF!</definedName>
    <definedName name="march" localSheetId="14">[10]LOANS!#REF!</definedName>
    <definedName name="march" localSheetId="19">[10]LOANS!#REF!</definedName>
    <definedName name="march" localSheetId="24">[10]LOANS!#REF!</definedName>
    <definedName name="march" localSheetId="0">[11]LOANS!#REF!</definedName>
    <definedName name="march" localSheetId="21">[10]LOANS!#REF!</definedName>
    <definedName name="march" localSheetId="8">[10]LOANS!#REF!</definedName>
    <definedName name="march" localSheetId="6">[10]LOANS!#REF!</definedName>
    <definedName name="march" localSheetId="1">[12]LOANS!#REF!</definedName>
    <definedName name="march" localSheetId="25">[13]LOANS!#REF!</definedName>
    <definedName name="march" localSheetId="17">[10]LOANS!#REF!</definedName>
    <definedName name="march" localSheetId="10">[10]LOANS!#REF!</definedName>
    <definedName name="march" localSheetId="12">[10]LOANS!#REF!</definedName>
    <definedName name="march">[10]LOANS!#REF!</definedName>
    <definedName name="Master" localSheetId="16">#REF!</definedName>
    <definedName name="Master" localSheetId="14">#REF!</definedName>
    <definedName name="Master" localSheetId="19">#REF!</definedName>
    <definedName name="Master" localSheetId="24">#REF!</definedName>
    <definedName name="Master" localSheetId="0">#REF!</definedName>
    <definedName name="Master" localSheetId="21">#REF!</definedName>
    <definedName name="Master" localSheetId="8">#REF!</definedName>
    <definedName name="Master" localSheetId="6">#REF!</definedName>
    <definedName name="Master" localSheetId="1">#REF!</definedName>
    <definedName name="Master" localSheetId="25">#REF!</definedName>
    <definedName name="Master" localSheetId="17">#REF!</definedName>
    <definedName name="Master" localSheetId="10">#REF!</definedName>
    <definedName name="Master" localSheetId="12">#REF!</definedName>
    <definedName name="Master">#REF!</definedName>
    <definedName name="Master1" localSheetId="16">[10]LOANS!#REF!</definedName>
    <definedName name="Master1" localSheetId="14">[10]LOANS!#REF!</definedName>
    <definedName name="Master1" localSheetId="19">[10]LOANS!#REF!</definedName>
    <definedName name="Master1" localSheetId="24">[10]LOANS!#REF!</definedName>
    <definedName name="Master1" localSheetId="0">[11]LOANS!#REF!</definedName>
    <definedName name="Master1" localSheetId="21">[10]LOANS!#REF!</definedName>
    <definedName name="Master1" localSheetId="8">[10]LOANS!#REF!</definedName>
    <definedName name="Master1" localSheetId="6">[10]LOANS!#REF!</definedName>
    <definedName name="Master1" localSheetId="1">[12]LOANS!#REF!</definedName>
    <definedName name="Master1" localSheetId="25">[13]LOANS!#REF!</definedName>
    <definedName name="Master1" localSheetId="17">[10]LOANS!#REF!</definedName>
    <definedName name="Master1" localSheetId="10">[10]LOANS!#REF!</definedName>
    <definedName name="Master1" localSheetId="12">[10]LOANS!#REF!</definedName>
    <definedName name="Master1">[10]LOANS!#REF!</definedName>
    <definedName name="Master2" localSheetId="16">#REF!</definedName>
    <definedName name="Master2" localSheetId="14">#REF!</definedName>
    <definedName name="Master2" localSheetId="19">#REF!</definedName>
    <definedName name="Master2" localSheetId="24">#REF!</definedName>
    <definedName name="Master2" localSheetId="0">#REF!</definedName>
    <definedName name="Master2" localSheetId="21">#REF!</definedName>
    <definedName name="Master2" localSheetId="8">#REF!</definedName>
    <definedName name="Master2" localSheetId="6">#REF!</definedName>
    <definedName name="Master2" localSheetId="1">#REF!</definedName>
    <definedName name="Master2" localSheetId="25">#REF!</definedName>
    <definedName name="Master2" localSheetId="17">#REF!</definedName>
    <definedName name="Master2" localSheetId="10">#REF!</definedName>
    <definedName name="Master2" localSheetId="12">#REF!</definedName>
    <definedName name="Master2">#REF!</definedName>
    <definedName name="MD" localSheetId="25">[32]Sheet11!$C$12</definedName>
    <definedName name="MD">[32]Sheet11!$C$12</definedName>
    <definedName name="MDep" localSheetId="16">'[20]Fixed Assets Schedule'!#REF!</definedName>
    <definedName name="MDep" localSheetId="14">'[20]Fixed Assets Schedule'!#REF!</definedName>
    <definedName name="MDep" localSheetId="19">'[20]Fixed Assets Schedule'!#REF!</definedName>
    <definedName name="MDep" localSheetId="24">'[20]Fixed Assets Schedule'!#REF!</definedName>
    <definedName name="MDep" localSheetId="0">'[21]Fixed Assets Schedule'!#REF!</definedName>
    <definedName name="MDep" localSheetId="21">'[20]Fixed Assets Schedule'!#REF!</definedName>
    <definedName name="MDep" localSheetId="8">'[20]Fixed Assets Schedule'!#REF!</definedName>
    <definedName name="MDep" localSheetId="6">'[20]Fixed Assets Schedule'!#REF!</definedName>
    <definedName name="MDep" localSheetId="1">'[22]Fixed Assets Schedule'!#REF!</definedName>
    <definedName name="MDep" localSheetId="25">'[23]Fixed Assets Schedule'!#REF!</definedName>
    <definedName name="MDep" localSheetId="17">'[20]Fixed Assets Schedule'!#REF!</definedName>
    <definedName name="MDep" localSheetId="10">'[20]Fixed Assets Schedule'!#REF!</definedName>
    <definedName name="MDep" localSheetId="12">'[20]Fixed Assets Schedule'!#REF!</definedName>
    <definedName name="MDep">'[20]Fixed Assets Schedule'!#REF!</definedName>
    <definedName name="mealtotal" localSheetId="16">[10]LOANS!#REF!</definedName>
    <definedName name="mealtotal" localSheetId="14">[10]LOANS!#REF!</definedName>
    <definedName name="mealtotal" localSheetId="19">[10]LOANS!#REF!</definedName>
    <definedName name="mealtotal" localSheetId="24">[10]LOANS!#REF!</definedName>
    <definedName name="mealtotal" localSheetId="0">[11]LOANS!#REF!</definedName>
    <definedName name="mealtotal" localSheetId="21">[10]LOANS!#REF!</definedName>
    <definedName name="mealtotal" localSheetId="8">[10]LOANS!#REF!</definedName>
    <definedName name="mealtotal" localSheetId="6">[10]LOANS!#REF!</definedName>
    <definedName name="mealtotal" localSheetId="1">[12]LOANS!#REF!</definedName>
    <definedName name="mealtotal" localSheetId="25">[13]LOANS!#REF!</definedName>
    <definedName name="mealtotal" localSheetId="17">[10]LOANS!#REF!</definedName>
    <definedName name="mealtotal" localSheetId="10">[10]LOANS!#REF!</definedName>
    <definedName name="mealtotal" localSheetId="12">[10]LOANS!#REF!</definedName>
    <definedName name="mealtotal">[10]LOANS!#REF!</definedName>
    <definedName name="Mfive" localSheetId="16">[10]LOANS!#REF!</definedName>
    <definedName name="Mfive" localSheetId="14">[10]LOANS!#REF!</definedName>
    <definedName name="Mfive" localSheetId="19">[10]LOANS!#REF!</definedName>
    <definedName name="Mfive" localSheetId="24">[10]LOANS!#REF!</definedName>
    <definedName name="Mfive" localSheetId="0">[11]LOANS!#REF!</definedName>
    <definedName name="Mfive" localSheetId="21">[10]LOANS!#REF!</definedName>
    <definedName name="Mfive" localSheetId="8">[10]LOANS!#REF!</definedName>
    <definedName name="Mfive" localSheetId="6">[10]LOANS!#REF!</definedName>
    <definedName name="Mfive" localSheetId="1">[12]LOANS!#REF!</definedName>
    <definedName name="Mfive" localSheetId="25">[13]LOANS!#REF!</definedName>
    <definedName name="Mfive" localSheetId="17">[10]LOANS!#REF!</definedName>
    <definedName name="Mfive" localSheetId="10">[10]LOANS!#REF!</definedName>
    <definedName name="Mfive" localSheetId="12">[10]LOANS!#REF!</definedName>
    <definedName name="Mfive">[10]LOANS!#REF!</definedName>
    <definedName name="Mfour" localSheetId="16">[10]LOANS!#REF!</definedName>
    <definedName name="Mfour" localSheetId="14">[10]LOANS!#REF!</definedName>
    <definedName name="Mfour" localSheetId="19">[10]LOANS!#REF!</definedName>
    <definedName name="Mfour" localSheetId="24">[10]LOANS!#REF!</definedName>
    <definedName name="Mfour" localSheetId="0">[11]LOANS!#REF!</definedName>
    <definedName name="Mfour" localSheetId="21">[10]LOANS!#REF!</definedName>
    <definedName name="Mfour" localSheetId="8">[10]LOANS!#REF!</definedName>
    <definedName name="Mfour" localSheetId="6">[10]LOANS!#REF!</definedName>
    <definedName name="Mfour" localSheetId="1">[12]LOANS!#REF!</definedName>
    <definedName name="Mfour" localSheetId="25">[13]LOANS!#REF!</definedName>
    <definedName name="Mfour" localSheetId="17">[10]LOANS!#REF!</definedName>
    <definedName name="Mfour" localSheetId="10">[10]LOANS!#REF!</definedName>
    <definedName name="Mfour" localSheetId="12">[10]LOANS!#REF!</definedName>
    <definedName name="Mfour">[10]LOANS!#REF!</definedName>
    <definedName name="Mone" localSheetId="16">[10]LOANS!#REF!</definedName>
    <definedName name="Mone" localSheetId="14">[10]LOANS!#REF!</definedName>
    <definedName name="Mone" localSheetId="19">[10]LOANS!#REF!</definedName>
    <definedName name="Mone" localSheetId="24">[10]LOANS!#REF!</definedName>
    <definedName name="Mone" localSheetId="0">[11]LOANS!#REF!</definedName>
    <definedName name="Mone" localSheetId="21">[10]LOANS!#REF!</definedName>
    <definedName name="Mone" localSheetId="8">[10]LOANS!#REF!</definedName>
    <definedName name="Mone" localSheetId="6">[10]LOANS!#REF!</definedName>
    <definedName name="Mone" localSheetId="1">[12]LOANS!#REF!</definedName>
    <definedName name="Mone" localSheetId="25">[13]LOANS!#REF!</definedName>
    <definedName name="Mone" localSheetId="17">[10]LOANS!#REF!</definedName>
    <definedName name="Mone" localSheetId="10">[10]LOANS!#REF!</definedName>
    <definedName name="Mone" localSheetId="12">[10]LOANS!#REF!</definedName>
    <definedName name="Mone">[10]LOANS!#REF!</definedName>
    <definedName name="Month" localSheetId="16">'[10]ANNUAL CTC'!#REF!</definedName>
    <definedName name="Month" localSheetId="14">'[10]ANNUAL CTC'!#REF!</definedName>
    <definedName name="Month" localSheetId="19">'[10]ANNUAL CTC'!#REF!</definedName>
    <definedName name="Month" localSheetId="24">'[10]ANNUAL CTC'!#REF!</definedName>
    <definedName name="Month" localSheetId="0">'[11]ANNUAL CTC'!#REF!</definedName>
    <definedName name="Month" localSheetId="21">'[10]ANNUAL CTC'!#REF!</definedName>
    <definedName name="Month" localSheetId="8">'[10]ANNUAL CTC'!#REF!</definedName>
    <definedName name="Month" localSheetId="6">'[10]ANNUAL CTC'!#REF!</definedName>
    <definedName name="Month" localSheetId="1">'[12]ANNUAL CTC'!#REF!</definedName>
    <definedName name="Month" localSheetId="25">'[13]ANNUAL CTC'!#REF!</definedName>
    <definedName name="Month" localSheetId="17">'[10]ANNUAL CTC'!#REF!</definedName>
    <definedName name="Month" localSheetId="10">'[10]ANNUAL CTC'!#REF!</definedName>
    <definedName name="Month" localSheetId="12">'[10]ANNUAL CTC'!#REF!</definedName>
    <definedName name="Month">'[10]ANNUAL CTC'!#REF!</definedName>
    <definedName name="MonthlyNotes" localSheetId="16">[10]LOANS!#REF!</definedName>
    <definedName name="MonthlyNotes" localSheetId="14">[10]LOANS!#REF!</definedName>
    <definedName name="MonthlyNotes" localSheetId="19">[10]LOANS!#REF!</definedName>
    <definedName name="MonthlyNotes" localSheetId="24">[10]LOANS!#REF!</definedName>
    <definedName name="MonthlyNotes" localSheetId="0">[11]LOANS!#REF!</definedName>
    <definedName name="MonthlyNotes" localSheetId="21">[10]LOANS!#REF!</definedName>
    <definedName name="MonthlyNotes" localSheetId="8">[10]LOANS!#REF!</definedName>
    <definedName name="MonthlyNotes" localSheetId="6">[10]LOANS!#REF!</definedName>
    <definedName name="MonthlyNotes" localSheetId="1">[12]LOANS!#REF!</definedName>
    <definedName name="MonthlyNotes" localSheetId="25">[13]LOANS!#REF!</definedName>
    <definedName name="MonthlyNotes" localSheetId="17">[10]LOANS!#REF!</definedName>
    <definedName name="MonthlyNotes" localSheetId="10">[10]LOANS!#REF!</definedName>
    <definedName name="MonthlyNotes" localSheetId="12">[10]LOANS!#REF!</definedName>
    <definedName name="MonthlyNotes">[10]LOANS!#REF!</definedName>
    <definedName name="MonthlyNotes1" localSheetId="16">[10]LOANS!#REF!</definedName>
    <definedName name="MonthlyNotes1" localSheetId="14">[10]LOANS!#REF!</definedName>
    <definedName name="MonthlyNotes1" localSheetId="19">[10]LOANS!#REF!</definedName>
    <definedName name="MonthlyNotes1" localSheetId="24">[10]LOANS!#REF!</definedName>
    <definedName name="MonthlyNotes1" localSheetId="0">[11]LOANS!#REF!</definedName>
    <definedName name="MonthlyNotes1" localSheetId="21">[10]LOANS!#REF!</definedName>
    <definedName name="MonthlyNotes1" localSheetId="8">[10]LOANS!#REF!</definedName>
    <definedName name="MonthlyNotes1" localSheetId="6">[10]LOANS!#REF!</definedName>
    <definedName name="MonthlyNotes1" localSheetId="1">[12]LOANS!#REF!</definedName>
    <definedName name="MonthlyNotes1" localSheetId="25">[13]LOANS!#REF!</definedName>
    <definedName name="MonthlyNotes1" localSheetId="17">[10]LOANS!#REF!</definedName>
    <definedName name="MonthlyNotes1" localSheetId="10">[10]LOANS!#REF!</definedName>
    <definedName name="MonthlyNotes1" localSheetId="12">[10]LOANS!#REF!</definedName>
    <definedName name="MonthlyNotes1">[10]LOANS!#REF!</definedName>
    <definedName name="MonthlyTaxComp" localSheetId="16">[10]LOANS!#REF!</definedName>
    <definedName name="MonthlyTaxComp" localSheetId="14">[10]LOANS!#REF!</definedName>
    <definedName name="MonthlyTaxComp" localSheetId="19">[10]LOANS!#REF!</definedName>
    <definedName name="MonthlyTaxComp" localSheetId="24">[10]LOANS!#REF!</definedName>
    <definedName name="MonthlyTaxComp" localSheetId="0">[11]LOANS!#REF!</definedName>
    <definedName name="MonthlyTaxComp" localSheetId="21">[10]LOANS!#REF!</definedName>
    <definedName name="MonthlyTaxComp" localSheetId="8">[10]LOANS!#REF!</definedName>
    <definedName name="MonthlyTaxComp" localSheetId="6">[10]LOANS!#REF!</definedName>
    <definedName name="MonthlyTaxComp" localSheetId="1">[12]LOANS!#REF!</definedName>
    <definedName name="MonthlyTaxComp" localSheetId="25">[13]LOANS!#REF!</definedName>
    <definedName name="MonthlyTaxComp" localSheetId="17">[10]LOANS!#REF!</definedName>
    <definedName name="MonthlyTaxComp" localSheetId="10">[10]LOANS!#REF!</definedName>
    <definedName name="MonthlyTaxComp" localSheetId="12">[10]LOANS!#REF!</definedName>
    <definedName name="MonthlyTaxComp">[10]LOANS!#REF!</definedName>
    <definedName name="MonthNumber" localSheetId="16">#REF!</definedName>
    <definedName name="MonthNumber" localSheetId="14">#REF!</definedName>
    <definedName name="MonthNumber" localSheetId="19">#REF!</definedName>
    <definedName name="MonthNumber" localSheetId="24">#REF!</definedName>
    <definedName name="MonthNumber" localSheetId="0">#REF!</definedName>
    <definedName name="MonthNumber" localSheetId="21">#REF!</definedName>
    <definedName name="MonthNumber" localSheetId="8">#REF!</definedName>
    <definedName name="MonthNumber" localSheetId="6">#REF!</definedName>
    <definedName name="MonthNumber" localSheetId="1">#REF!</definedName>
    <definedName name="MonthNumber" localSheetId="25">#REF!</definedName>
    <definedName name="MonthNumber" localSheetId="17">#REF!</definedName>
    <definedName name="MonthNumber" localSheetId="10">#REF!</definedName>
    <definedName name="MonthNumber" localSheetId="12">#REF!</definedName>
    <definedName name="MonthNumber">#REF!</definedName>
    <definedName name="Months" localSheetId="0">[33]bal_sheet!$N$2+[33]bal_sheet!$L$2:$L$14</definedName>
    <definedName name="Months" localSheetId="25">[34]bal_sheet!$N$2+[34]bal_sheet!$L$2:$L$14</definedName>
    <definedName name="Months">[35]bal_sheet!$N$2+[35]bal_sheet!$L$2:$L$14</definedName>
    <definedName name="MonthTax" localSheetId="16">#REF!</definedName>
    <definedName name="MonthTax" localSheetId="14">#REF!</definedName>
    <definedName name="MonthTax" localSheetId="19">#REF!</definedName>
    <definedName name="MonthTax" localSheetId="24">#REF!</definedName>
    <definedName name="MonthTax" localSheetId="0">#REF!</definedName>
    <definedName name="MonthTax" localSheetId="21">#REF!</definedName>
    <definedName name="MonthTax" localSheetId="8">#REF!</definedName>
    <definedName name="MonthTax" localSheetId="6">#REF!</definedName>
    <definedName name="MonthTax" localSheetId="1">#REF!</definedName>
    <definedName name="MonthTax" localSheetId="25">#REF!</definedName>
    <definedName name="MonthTax" localSheetId="17">#REF!</definedName>
    <definedName name="MonthTax" localSheetId="10">#REF!</definedName>
    <definedName name="MonthTax" localSheetId="12">#REF!</definedName>
    <definedName name="MonthTax">#REF!</definedName>
    <definedName name="mores" localSheetId="16">[10]LOANS!#REF!</definedName>
    <definedName name="mores" localSheetId="14">[10]LOANS!#REF!</definedName>
    <definedName name="mores" localSheetId="19">[10]LOANS!#REF!</definedName>
    <definedName name="mores" localSheetId="24">[10]LOANS!#REF!</definedName>
    <definedName name="mores" localSheetId="0">[11]LOANS!#REF!</definedName>
    <definedName name="mores" localSheetId="21">[10]LOANS!#REF!</definedName>
    <definedName name="mores" localSheetId="8">[10]LOANS!#REF!</definedName>
    <definedName name="mores" localSheetId="6">[10]LOANS!#REF!</definedName>
    <definedName name="mores" localSheetId="1">[12]LOANS!#REF!</definedName>
    <definedName name="mores" localSheetId="25">[13]LOANS!#REF!</definedName>
    <definedName name="mores" localSheetId="17">[10]LOANS!#REF!</definedName>
    <definedName name="mores" localSheetId="10">[10]LOANS!#REF!</definedName>
    <definedName name="mores" localSheetId="12">[10]LOANS!#REF!</definedName>
    <definedName name="mores">[10]LOANS!#REF!</definedName>
    <definedName name="Mosunmola_Abudu" localSheetId="16">[9]DATABANK!#REF!</definedName>
    <definedName name="Mosunmola_Abudu" localSheetId="14">[9]DATABANK!#REF!</definedName>
    <definedName name="Mosunmola_Abudu" localSheetId="19">[9]DATABANK!#REF!</definedName>
    <definedName name="Mosunmola_Abudu" localSheetId="24">[9]DATABANK!#REF!</definedName>
    <definedName name="Mosunmola_Abudu" localSheetId="0">[9]DATABANK!#REF!</definedName>
    <definedName name="Mosunmola_Abudu" localSheetId="21">[9]DATABANK!#REF!</definedName>
    <definedName name="Mosunmola_Abudu" localSheetId="8">[9]DATABANK!#REF!</definedName>
    <definedName name="Mosunmola_Abudu" localSheetId="6">[9]DATABANK!#REF!</definedName>
    <definedName name="Mosunmola_Abudu" localSheetId="1">[9]DATABANK!#REF!</definedName>
    <definedName name="Mosunmola_Abudu" localSheetId="17">[9]DATABANK!#REF!</definedName>
    <definedName name="Mosunmola_Abudu" localSheetId="10">[9]DATABANK!#REF!</definedName>
    <definedName name="Mosunmola_Abudu" localSheetId="12">[9]DATABANK!#REF!</definedName>
    <definedName name="Mosunmola_Abudu">[9]DATABANK!#REF!</definedName>
    <definedName name="Mthree" localSheetId="16">[10]LOANS!#REF!</definedName>
    <definedName name="Mthree" localSheetId="14">[10]LOANS!#REF!</definedName>
    <definedName name="Mthree" localSheetId="19">[10]LOANS!#REF!</definedName>
    <definedName name="Mthree" localSheetId="24">[10]LOANS!#REF!</definedName>
    <definedName name="Mthree" localSheetId="0">[11]LOANS!#REF!</definedName>
    <definedName name="Mthree" localSheetId="21">[10]LOANS!#REF!</definedName>
    <definedName name="Mthree" localSheetId="8">[10]LOANS!#REF!</definedName>
    <definedName name="Mthree" localSheetId="6">[10]LOANS!#REF!</definedName>
    <definedName name="Mthree" localSheetId="1">[12]LOANS!#REF!</definedName>
    <definedName name="Mthree" localSheetId="25">[13]LOANS!#REF!</definedName>
    <definedName name="Mthree" localSheetId="17">[10]LOANS!#REF!</definedName>
    <definedName name="Mthree" localSheetId="10">[10]LOANS!#REF!</definedName>
    <definedName name="Mthree" localSheetId="12">[10]LOANS!#REF!</definedName>
    <definedName name="Mthree">[10]LOANS!#REF!</definedName>
    <definedName name="Mtwo" localSheetId="16">[10]LOANS!#REF!</definedName>
    <definedName name="Mtwo" localSheetId="14">[10]LOANS!#REF!</definedName>
    <definedName name="Mtwo" localSheetId="19">[10]LOANS!#REF!</definedName>
    <definedName name="Mtwo" localSheetId="24">[10]LOANS!#REF!</definedName>
    <definedName name="Mtwo" localSheetId="0">[11]LOANS!#REF!</definedName>
    <definedName name="Mtwo" localSheetId="21">[10]LOANS!#REF!</definedName>
    <definedName name="Mtwo" localSheetId="8">[10]LOANS!#REF!</definedName>
    <definedName name="Mtwo" localSheetId="6">[10]LOANS!#REF!</definedName>
    <definedName name="Mtwo" localSheetId="1">[12]LOANS!#REF!</definedName>
    <definedName name="Mtwo" localSheetId="25">[13]LOANS!#REF!</definedName>
    <definedName name="Mtwo" localSheetId="17">[10]LOANS!#REF!</definedName>
    <definedName name="Mtwo" localSheetId="10">[10]LOANS!#REF!</definedName>
    <definedName name="Mtwo" localSheetId="12">[10]LOANS!#REF!</definedName>
    <definedName name="Mtwo">[10]LOANS!#REF!</definedName>
    <definedName name="Multiplier" localSheetId="16">#REF!</definedName>
    <definedName name="Multiplier" localSheetId="14">#REF!</definedName>
    <definedName name="Multiplier" localSheetId="19">#REF!</definedName>
    <definedName name="Multiplier" localSheetId="24">#REF!</definedName>
    <definedName name="Multiplier" localSheetId="0">#REF!</definedName>
    <definedName name="Multiplier" localSheetId="21">#REF!</definedName>
    <definedName name="Multiplier" localSheetId="8">#REF!</definedName>
    <definedName name="Multiplier" localSheetId="6">#REF!</definedName>
    <definedName name="Multiplier" localSheetId="1">#REF!</definedName>
    <definedName name="Multiplier" localSheetId="25">#REF!</definedName>
    <definedName name="Multiplier" localSheetId="17">#REF!</definedName>
    <definedName name="Multiplier" localSheetId="10">#REF!</definedName>
    <definedName name="Multiplier" localSheetId="12">#REF!</definedName>
    <definedName name="Multiplier">#REF!</definedName>
    <definedName name="Mustafa_Jubril" localSheetId="16">[9]DATABANK!#REF!</definedName>
    <definedName name="Mustafa_Jubril" localSheetId="14">[9]DATABANK!#REF!</definedName>
    <definedName name="Mustafa_Jubril" localSheetId="19">[9]DATABANK!#REF!</definedName>
    <definedName name="Mustafa_Jubril" localSheetId="24">[9]DATABANK!#REF!</definedName>
    <definedName name="Mustafa_Jubril" localSheetId="0">[9]DATABANK!#REF!</definedName>
    <definedName name="Mustafa_Jubril" localSheetId="21">[9]DATABANK!#REF!</definedName>
    <definedName name="Mustafa_Jubril" localSheetId="8">[9]DATABANK!#REF!</definedName>
    <definedName name="Mustafa_Jubril" localSheetId="6">[9]DATABANK!#REF!</definedName>
    <definedName name="Mustafa_Jubril" localSheetId="1">[9]DATABANK!#REF!</definedName>
    <definedName name="Mustafa_Jubril" localSheetId="17">[9]DATABANK!#REF!</definedName>
    <definedName name="Mustafa_Jubril" localSheetId="10">[9]DATABANK!#REF!</definedName>
    <definedName name="Mustafa_Jubril" localSheetId="12">[9]DATABANK!#REF!</definedName>
    <definedName name="Mustafa_Jubril">[9]DATABANK!#REF!</definedName>
    <definedName name="MVDepr" localSheetId="16">#REF!</definedName>
    <definedName name="MVDepr" localSheetId="14">#REF!</definedName>
    <definedName name="MVDepr" localSheetId="19">#REF!</definedName>
    <definedName name="MVDepr" localSheetId="24">#REF!</definedName>
    <definedName name="MVDepr" localSheetId="0">#REF!</definedName>
    <definedName name="MVDepr" localSheetId="21">#REF!</definedName>
    <definedName name="MVDepr" localSheetId="8">#REF!</definedName>
    <definedName name="MVDepr" localSheetId="6">#REF!</definedName>
    <definedName name="MVDepr" localSheetId="1">#REF!</definedName>
    <definedName name="MVDepr" localSheetId="25">#REF!</definedName>
    <definedName name="MVDepr" localSheetId="17">#REF!</definedName>
    <definedName name="MVDepr" localSheetId="10">#REF!</definedName>
    <definedName name="MVDepr" localSheetId="12">#REF!</definedName>
    <definedName name="MVDepr">#REF!</definedName>
    <definedName name="Namer" localSheetId="16">'[10]ANNUAL CTC'!#REF!</definedName>
    <definedName name="Namer" localSheetId="14">'[10]ANNUAL CTC'!#REF!</definedName>
    <definedName name="Namer" localSheetId="19">'[10]ANNUAL CTC'!#REF!</definedName>
    <definedName name="Namer" localSheetId="24">'[10]ANNUAL CTC'!#REF!</definedName>
    <definedName name="Namer" localSheetId="0">'[11]ANNUAL CTC'!#REF!</definedName>
    <definedName name="Namer" localSheetId="21">'[10]ANNUAL CTC'!#REF!</definedName>
    <definedName name="Namer" localSheetId="8">'[10]ANNUAL CTC'!#REF!</definedName>
    <definedName name="Namer" localSheetId="6">'[10]ANNUAL CTC'!#REF!</definedName>
    <definedName name="Namer" localSheetId="1">'[12]ANNUAL CTC'!#REF!</definedName>
    <definedName name="Namer" localSheetId="25">'[13]ANNUAL CTC'!#REF!</definedName>
    <definedName name="Namer" localSheetId="17">'[10]ANNUAL CTC'!#REF!</definedName>
    <definedName name="Namer" localSheetId="10">'[10]ANNUAL CTC'!#REF!</definedName>
    <definedName name="Namer" localSheetId="12">'[10]ANNUAL CTC'!#REF!</definedName>
    <definedName name="Namer">'[10]ANNUAL CTC'!#REF!</definedName>
    <definedName name="Natureofarrears" localSheetId="16">[10]LOANS!#REF!</definedName>
    <definedName name="Natureofarrears" localSheetId="14">[10]LOANS!#REF!</definedName>
    <definedName name="Natureofarrears" localSheetId="19">[10]LOANS!#REF!</definedName>
    <definedName name="Natureofarrears" localSheetId="24">[10]LOANS!#REF!</definedName>
    <definedName name="Natureofarrears" localSheetId="0">[11]LOANS!#REF!</definedName>
    <definedName name="Natureofarrears" localSheetId="21">[10]LOANS!#REF!</definedName>
    <definedName name="Natureofarrears" localSheetId="8">[10]LOANS!#REF!</definedName>
    <definedName name="Natureofarrears" localSheetId="6">[10]LOANS!#REF!</definedName>
    <definedName name="Natureofarrears" localSheetId="1">[12]LOANS!#REF!</definedName>
    <definedName name="Natureofarrears" localSheetId="25">[13]LOANS!#REF!</definedName>
    <definedName name="Natureofarrears" localSheetId="17">[10]LOANS!#REF!</definedName>
    <definedName name="Natureofarrears" localSheetId="10">[10]LOANS!#REF!</definedName>
    <definedName name="Natureofarrears" localSheetId="12">[10]LOANS!#REF!</definedName>
    <definedName name="Natureofarrears">[10]LOANS!#REF!</definedName>
    <definedName name="neft" localSheetId="16">[10]LOANS!#REF!</definedName>
    <definedName name="neft" localSheetId="14">[10]LOANS!#REF!</definedName>
    <definedName name="neft" localSheetId="19">[10]LOANS!#REF!</definedName>
    <definedName name="neft" localSheetId="24">[10]LOANS!#REF!</definedName>
    <definedName name="neft" localSheetId="0">[11]LOANS!#REF!</definedName>
    <definedName name="neft" localSheetId="21">[10]LOANS!#REF!</definedName>
    <definedName name="neft" localSheetId="8">[10]LOANS!#REF!</definedName>
    <definedName name="neft" localSheetId="6">[10]LOANS!#REF!</definedName>
    <definedName name="neft" localSheetId="1">[12]LOANS!#REF!</definedName>
    <definedName name="neft" localSheetId="25">[13]LOANS!#REF!</definedName>
    <definedName name="neft" localSheetId="17">[10]LOANS!#REF!</definedName>
    <definedName name="neft" localSheetId="10">[10]LOANS!#REF!</definedName>
    <definedName name="neft" localSheetId="12">[10]LOANS!#REF!</definedName>
    <definedName name="neft">[10]LOANS!#REF!</definedName>
    <definedName name="NET_INTEREST_INCOME" localSheetId="16">#REF!</definedName>
    <definedName name="NET_INTEREST_INCOME" localSheetId="14">#REF!</definedName>
    <definedName name="NET_INTEREST_INCOME" localSheetId="19">#REF!</definedName>
    <definedName name="NET_INTEREST_INCOME" localSheetId="24">#REF!</definedName>
    <definedName name="NET_INTEREST_INCOME" localSheetId="0">#REF!</definedName>
    <definedName name="NET_INTEREST_INCOME" localSheetId="21">#REF!</definedName>
    <definedName name="NET_INTEREST_INCOME" localSheetId="8">#REF!</definedName>
    <definedName name="NET_INTEREST_INCOME" localSheetId="6">#REF!</definedName>
    <definedName name="NET_INTEREST_INCOME" localSheetId="1">#REF!</definedName>
    <definedName name="NET_INTEREST_INCOME" localSheetId="25">#REF!</definedName>
    <definedName name="NET_INTEREST_INCOME" localSheetId="17">#REF!</definedName>
    <definedName name="NET_INTEREST_INCOME" localSheetId="10">#REF!</definedName>
    <definedName name="NET_INTEREST_INCOME" localSheetId="12">#REF!</definedName>
    <definedName name="NET_INTEREST_INCOME">#REF!</definedName>
    <definedName name="newdate" localSheetId="16">'[10]ANNUAL CTC'!#REF!</definedName>
    <definedName name="newdate" localSheetId="14">'[10]ANNUAL CTC'!#REF!</definedName>
    <definedName name="newdate" localSheetId="19">'[10]ANNUAL CTC'!#REF!</definedName>
    <definedName name="newdate" localSheetId="24">'[10]ANNUAL CTC'!#REF!</definedName>
    <definedName name="newdate" localSheetId="0">'[11]ANNUAL CTC'!#REF!</definedName>
    <definedName name="newdate" localSheetId="21">'[10]ANNUAL CTC'!#REF!</definedName>
    <definedName name="newdate" localSheetId="8">'[10]ANNUAL CTC'!#REF!</definedName>
    <definedName name="newdate" localSheetId="6">'[10]ANNUAL CTC'!#REF!</definedName>
    <definedName name="newdate" localSheetId="1">'[12]ANNUAL CTC'!#REF!</definedName>
    <definedName name="newdate" localSheetId="25">'[13]ANNUAL CTC'!#REF!</definedName>
    <definedName name="newdate" localSheetId="17">'[10]ANNUAL CTC'!#REF!</definedName>
    <definedName name="newdate" localSheetId="10">'[10]ANNUAL CTC'!#REF!</definedName>
    <definedName name="newdate" localSheetId="12">'[10]ANNUAL CTC'!#REF!</definedName>
    <definedName name="newdate">'[10]ANNUAL CTC'!#REF!</definedName>
    <definedName name="newdates" localSheetId="16">'[10]ANNUAL CTC'!#REF!</definedName>
    <definedName name="newdates" localSheetId="14">'[10]ANNUAL CTC'!#REF!</definedName>
    <definedName name="newdates" localSheetId="19">'[10]ANNUAL CTC'!#REF!</definedName>
    <definedName name="newdates" localSheetId="24">'[10]ANNUAL CTC'!#REF!</definedName>
    <definedName name="newdates" localSheetId="0">'[11]ANNUAL CTC'!#REF!</definedName>
    <definedName name="newdates" localSheetId="21">'[10]ANNUAL CTC'!#REF!</definedName>
    <definedName name="newdates" localSheetId="8">'[10]ANNUAL CTC'!#REF!</definedName>
    <definedName name="newdates" localSheetId="6">'[10]ANNUAL CTC'!#REF!</definedName>
    <definedName name="newdates" localSheetId="1">'[12]ANNUAL CTC'!#REF!</definedName>
    <definedName name="newdates" localSheetId="25">'[13]ANNUAL CTC'!#REF!</definedName>
    <definedName name="newdates" localSheetId="17">'[10]ANNUAL CTC'!#REF!</definedName>
    <definedName name="newdates" localSheetId="10">'[10]ANNUAL CTC'!#REF!</definedName>
    <definedName name="newdates" localSheetId="12">'[10]ANNUAL CTC'!#REF!</definedName>
    <definedName name="newdates">'[10]ANNUAL CTC'!#REF!</definedName>
    <definedName name="NHF" localSheetId="16">[10]LOANS!#REF!</definedName>
    <definedName name="NHF" localSheetId="14">[10]LOANS!#REF!</definedName>
    <definedName name="NHF" localSheetId="19">[10]LOANS!#REF!</definedName>
    <definedName name="NHF" localSheetId="24">[10]LOANS!#REF!</definedName>
    <definedName name="NHF" localSheetId="0">[11]LOANS!#REF!</definedName>
    <definedName name="NHF" localSheetId="21">[10]LOANS!#REF!</definedName>
    <definedName name="NHF" localSheetId="8">[10]LOANS!#REF!</definedName>
    <definedName name="NHF" localSheetId="6">[10]LOANS!#REF!</definedName>
    <definedName name="NHF" localSheetId="1">[12]LOANS!#REF!</definedName>
    <definedName name="NHF" localSheetId="25">[13]LOANS!#REF!</definedName>
    <definedName name="NHF" localSheetId="17">[10]LOANS!#REF!</definedName>
    <definedName name="NHF" localSheetId="10">[10]LOANS!#REF!</definedName>
    <definedName name="NHF" localSheetId="12">[10]LOANS!#REF!</definedName>
    <definedName name="NHF">[10]LOANS!#REF!</definedName>
    <definedName name="NHFS" localSheetId="16">[10]LOANS!#REF!</definedName>
    <definedName name="NHFS" localSheetId="14">[10]LOANS!#REF!</definedName>
    <definedName name="NHFS" localSheetId="19">[10]LOANS!#REF!</definedName>
    <definedName name="NHFS" localSheetId="24">[10]LOANS!#REF!</definedName>
    <definedName name="NHFS" localSheetId="0">[11]LOANS!#REF!</definedName>
    <definedName name="NHFS" localSheetId="21">[10]LOANS!#REF!</definedName>
    <definedName name="NHFS" localSheetId="8">[10]LOANS!#REF!</definedName>
    <definedName name="NHFS" localSheetId="6">[10]LOANS!#REF!</definedName>
    <definedName name="NHFS" localSheetId="1">[12]LOANS!#REF!</definedName>
    <definedName name="NHFS" localSheetId="25">[13]LOANS!#REF!</definedName>
    <definedName name="NHFS" localSheetId="17">[10]LOANS!#REF!</definedName>
    <definedName name="NHFS" localSheetId="10">[10]LOANS!#REF!</definedName>
    <definedName name="NHFS" localSheetId="12">[10]LOANS!#REF!</definedName>
    <definedName name="NHFS">[10]LOANS!#REF!</definedName>
    <definedName name="nhftotal" localSheetId="16">[10]LOANS!#REF!</definedName>
    <definedName name="nhftotal" localSheetId="14">[10]LOANS!#REF!</definedName>
    <definedName name="nhftotal" localSheetId="19">[10]LOANS!#REF!</definedName>
    <definedName name="nhftotal" localSheetId="24">[10]LOANS!#REF!</definedName>
    <definedName name="nhftotal" localSheetId="0">[11]LOANS!#REF!</definedName>
    <definedName name="nhftotal" localSheetId="21">[10]LOANS!#REF!</definedName>
    <definedName name="nhftotal" localSheetId="8">[10]LOANS!#REF!</definedName>
    <definedName name="nhftotal" localSheetId="6">[10]LOANS!#REF!</definedName>
    <definedName name="nhftotal" localSheetId="1">[12]LOANS!#REF!</definedName>
    <definedName name="nhftotal" localSheetId="25">[13]LOANS!#REF!</definedName>
    <definedName name="nhftotal" localSheetId="17">[10]LOANS!#REF!</definedName>
    <definedName name="nhftotal" localSheetId="10">[10]LOANS!#REF!</definedName>
    <definedName name="nhftotal" localSheetId="12">[10]LOANS!#REF!</definedName>
    <definedName name="nhftotal">[10]LOANS!#REF!</definedName>
    <definedName name="NSITF" localSheetId="16">[10]LOANS!#REF!</definedName>
    <definedName name="NSITF" localSheetId="14">[10]LOANS!#REF!</definedName>
    <definedName name="NSITF" localSheetId="19">[10]LOANS!#REF!</definedName>
    <definedName name="NSITF" localSheetId="24">[10]LOANS!#REF!</definedName>
    <definedName name="NSITF" localSheetId="0">[11]LOANS!#REF!</definedName>
    <definedName name="NSITF" localSheetId="21">[10]LOANS!#REF!</definedName>
    <definedName name="NSITF" localSheetId="8">[10]LOANS!#REF!</definedName>
    <definedName name="NSITF" localSheetId="6">[10]LOANS!#REF!</definedName>
    <definedName name="NSITF" localSheetId="1">[12]LOANS!#REF!</definedName>
    <definedName name="NSITF" localSheetId="25">[13]LOANS!#REF!</definedName>
    <definedName name="NSITF" localSheetId="17">[10]LOANS!#REF!</definedName>
    <definedName name="NSITF" localSheetId="10">[10]LOANS!#REF!</definedName>
    <definedName name="NSITF" localSheetId="12">[10]LOANS!#REF!</definedName>
    <definedName name="NSITF">[10]LOANS!#REF!</definedName>
    <definedName name="NSITFS" localSheetId="16">[10]LOANS!#REF!</definedName>
    <definedName name="NSITFS" localSheetId="14">[10]LOANS!#REF!</definedName>
    <definedName name="NSITFS" localSheetId="19">[10]LOANS!#REF!</definedName>
    <definedName name="NSITFS" localSheetId="24">[10]LOANS!#REF!</definedName>
    <definedName name="NSITFS" localSheetId="0">[11]LOANS!#REF!</definedName>
    <definedName name="NSITFS" localSheetId="21">[10]LOANS!#REF!</definedName>
    <definedName name="NSITFS" localSheetId="8">[10]LOANS!#REF!</definedName>
    <definedName name="NSITFS" localSheetId="6">[10]LOANS!#REF!</definedName>
    <definedName name="NSITFS" localSheetId="1">[12]LOANS!#REF!</definedName>
    <definedName name="NSITFS" localSheetId="25">[13]LOANS!#REF!</definedName>
    <definedName name="NSITFS" localSheetId="17">[10]LOANS!#REF!</definedName>
    <definedName name="NSITFS" localSheetId="10">[10]LOANS!#REF!</definedName>
    <definedName name="NSITFS" localSheetId="12">[10]LOANS!#REF!</definedName>
    <definedName name="NSITFS">[10]LOANS!#REF!</definedName>
    <definedName name="nsitftotal" localSheetId="16">[10]LOANS!#REF!</definedName>
    <definedName name="nsitftotal" localSheetId="14">[10]LOANS!#REF!</definedName>
    <definedName name="nsitftotal" localSheetId="19">[10]LOANS!#REF!</definedName>
    <definedName name="nsitftotal" localSheetId="24">[10]LOANS!#REF!</definedName>
    <definedName name="nsitftotal" localSheetId="0">[11]LOANS!#REF!</definedName>
    <definedName name="nsitftotal" localSheetId="21">[10]LOANS!#REF!</definedName>
    <definedName name="nsitftotal" localSheetId="8">[10]LOANS!#REF!</definedName>
    <definedName name="nsitftotal" localSheetId="6">[10]LOANS!#REF!</definedName>
    <definedName name="nsitftotal" localSheetId="1">[12]LOANS!#REF!</definedName>
    <definedName name="nsitftotal" localSheetId="25">[13]LOANS!#REF!</definedName>
    <definedName name="nsitftotal" localSheetId="17">[10]LOANS!#REF!</definedName>
    <definedName name="nsitftotal" localSheetId="10">[10]LOANS!#REF!</definedName>
    <definedName name="nsitftotal" localSheetId="12">[10]LOANS!#REF!</definedName>
    <definedName name="nsitftotal">[10]LOANS!#REF!</definedName>
    <definedName name="OA">'[9]Other Allowances'!$B$6:$I$127</definedName>
    <definedName name="ODep" localSheetId="16">'[20]Fixed Assets Schedule'!#REF!</definedName>
    <definedName name="ODep" localSheetId="14">'[20]Fixed Assets Schedule'!#REF!</definedName>
    <definedName name="ODep" localSheetId="19">'[20]Fixed Assets Schedule'!#REF!</definedName>
    <definedName name="ODep" localSheetId="24">'[20]Fixed Assets Schedule'!#REF!</definedName>
    <definedName name="ODep" localSheetId="0">'[21]Fixed Assets Schedule'!#REF!</definedName>
    <definedName name="ODep" localSheetId="21">'[20]Fixed Assets Schedule'!#REF!</definedName>
    <definedName name="ODep" localSheetId="8">'[20]Fixed Assets Schedule'!#REF!</definedName>
    <definedName name="ODep" localSheetId="6">'[20]Fixed Assets Schedule'!#REF!</definedName>
    <definedName name="ODep" localSheetId="1">'[22]Fixed Assets Schedule'!#REF!</definedName>
    <definedName name="ODep" localSheetId="25">'[23]Fixed Assets Schedule'!#REF!</definedName>
    <definedName name="ODep" localSheetId="17">'[20]Fixed Assets Schedule'!#REF!</definedName>
    <definedName name="ODep" localSheetId="10">'[20]Fixed Assets Schedule'!#REF!</definedName>
    <definedName name="ODep" localSheetId="12">'[20]Fixed Assets Schedule'!#REF!</definedName>
    <definedName name="ODep">'[20]Fixed Assets Schedule'!#REF!</definedName>
    <definedName name="OffEqupDepr" localSheetId="16">#REF!</definedName>
    <definedName name="OffEqupDepr" localSheetId="14">#REF!</definedName>
    <definedName name="OffEqupDepr" localSheetId="19">#REF!</definedName>
    <definedName name="OffEqupDepr" localSheetId="24">#REF!</definedName>
    <definedName name="OffEqupDepr" localSheetId="0">#REF!</definedName>
    <definedName name="OffEqupDepr" localSheetId="21">#REF!</definedName>
    <definedName name="OffEqupDepr" localSheetId="8">#REF!</definedName>
    <definedName name="OffEqupDepr" localSheetId="6">#REF!</definedName>
    <definedName name="OffEqupDepr" localSheetId="1">#REF!</definedName>
    <definedName name="OffEqupDepr" localSheetId="25">#REF!</definedName>
    <definedName name="OffEqupDepr" localSheetId="17">#REF!</definedName>
    <definedName name="OffEqupDepr" localSheetId="10">#REF!</definedName>
    <definedName name="OffEqupDepr" localSheetId="12">#REF!</definedName>
    <definedName name="OffEqupDepr">#REF!</definedName>
    <definedName name="Olayinka_Solola" localSheetId="16">[9]DATABANK!#REF!</definedName>
    <definedName name="Olayinka_Solola" localSheetId="14">[9]DATABANK!#REF!</definedName>
    <definedName name="Olayinka_Solola" localSheetId="19">[9]DATABANK!#REF!</definedName>
    <definedName name="Olayinka_Solola" localSheetId="24">[9]DATABANK!#REF!</definedName>
    <definedName name="Olayinka_Solola" localSheetId="0">[9]DATABANK!#REF!</definedName>
    <definedName name="Olayinka_Solola" localSheetId="21">[9]DATABANK!#REF!</definedName>
    <definedName name="Olayinka_Solola" localSheetId="8">[9]DATABANK!#REF!</definedName>
    <definedName name="Olayinka_Solola" localSheetId="6">[9]DATABANK!#REF!</definedName>
    <definedName name="Olayinka_Solola" localSheetId="1">[9]DATABANK!#REF!</definedName>
    <definedName name="Olayinka_Solola" localSheetId="17">[9]DATABANK!#REF!</definedName>
    <definedName name="Olayinka_Solola" localSheetId="10">[9]DATABANK!#REF!</definedName>
    <definedName name="Olayinka_Solola" localSheetId="12">[9]DATABANK!#REF!</definedName>
    <definedName name="Olayinka_Solola">[9]DATABANK!#REF!</definedName>
    <definedName name="Olufunke_Banjoko" localSheetId="16">[9]DATABANK!#REF!</definedName>
    <definedName name="Olufunke_Banjoko" localSheetId="14">[9]DATABANK!#REF!</definedName>
    <definedName name="Olufunke_Banjoko" localSheetId="19">[9]DATABANK!#REF!</definedName>
    <definedName name="Olufunke_Banjoko" localSheetId="24">[9]DATABANK!#REF!</definedName>
    <definedName name="Olufunke_Banjoko" localSheetId="21">[9]DATABANK!#REF!</definedName>
    <definedName name="Olufunke_Banjoko" localSheetId="8">[9]DATABANK!#REF!</definedName>
    <definedName name="Olufunke_Banjoko" localSheetId="6">[9]DATABANK!#REF!</definedName>
    <definedName name="Olufunke_Banjoko" localSheetId="17">[9]DATABANK!#REF!</definedName>
    <definedName name="Olufunke_Banjoko" localSheetId="10">[9]DATABANK!#REF!</definedName>
    <definedName name="Olufunke_Banjoko" localSheetId="12">[9]DATABANK!#REF!</definedName>
    <definedName name="Olufunke_Banjoko">[9]DATABANK!#REF!</definedName>
    <definedName name="Omolara_Semowo" localSheetId="16">[9]DATABANK!#REF!</definedName>
    <definedName name="Omolara_Semowo" localSheetId="14">[9]DATABANK!#REF!</definedName>
    <definedName name="Omolara_Semowo" localSheetId="19">[9]DATABANK!#REF!</definedName>
    <definedName name="Omolara_Semowo" localSheetId="24">[9]DATABANK!#REF!</definedName>
    <definedName name="Omolara_Semowo" localSheetId="21">[9]DATABANK!#REF!</definedName>
    <definedName name="Omolara_Semowo" localSheetId="8">[9]DATABANK!#REF!</definedName>
    <definedName name="Omolara_Semowo" localSheetId="6">[9]DATABANK!#REF!</definedName>
    <definedName name="Omolara_Semowo" localSheetId="17">[9]DATABANK!#REF!</definedName>
    <definedName name="Omolara_Semowo" localSheetId="10">[9]DATABANK!#REF!</definedName>
    <definedName name="Omolara_Semowo" localSheetId="12">[9]DATABANK!#REF!</definedName>
    <definedName name="Omolara_Semowo">[9]DATABANK!#REF!</definedName>
    <definedName name="ooo" localSheetId="16" hidden="1">[1]OLDFILE!#REF!</definedName>
    <definedName name="ooo" localSheetId="14" hidden="1">[1]OLDFILE!#REF!</definedName>
    <definedName name="ooo" localSheetId="19" hidden="1">[1]OLDFILE!#REF!</definedName>
    <definedName name="ooo" localSheetId="24" hidden="1">[1]OLDFILE!#REF!</definedName>
    <definedName name="ooo" localSheetId="0" hidden="1">[1]OLDFILE!#REF!</definedName>
    <definedName name="ooo" localSheetId="21" hidden="1">[1]OLDFILE!#REF!</definedName>
    <definedName name="ooo" localSheetId="8" hidden="1">[1]OLDFILE!#REF!</definedName>
    <definedName name="ooo" localSheetId="6" hidden="1">[1]OLDFILE!#REF!</definedName>
    <definedName name="ooo" localSheetId="1" hidden="1">[1]OLDFILE!#REF!</definedName>
    <definedName name="ooo" localSheetId="17" hidden="1">[1]OLDFILE!#REF!</definedName>
    <definedName name="ooo" localSheetId="10" hidden="1">[1]OLDFILE!#REF!</definedName>
    <definedName name="ooo" localSheetId="12" hidden="1">[1]OLDFILE!#REF!</definedName>
    <definedName name="ooo" hidden="1">[1]OLDFILE!#REF!</definedName>
    <definedName name="OPERATING_EXPENSES" localSheetId="16">#REF!</definedName>
    <definedName name="OPERATING_EXPENSES" localSheetId="14">#REF!</definedName>
    <definedName name="OPERATING_EXPENSES" localSheetId="19">#REF!</definedName>
    <definedName name="OPERATING_EXPENSES" localSheetId="24">#REF!</definedName>
    <definedName name="OPERATING_EXPENSES" localSheetId="0">#REF!</definedName>
    <definedName name="OPERATING_EXPENSES" localSheetId="21">#REF!</definedName>
    <definedName name="OPERATING_EXPENSES" localSheetId="8">#REF!</definedName>
    <definedName name="OPERATING_EXPENSES" localSheetId="6">#REF!</definedName>
    <definedName name="OPERATING_EXPENSES" localSheetId="1">#REF!</definedName>
    <definedName name="OPERATING_EXPENSES" localSheetId="25">#REF!</definedName>
    <definedName name="OPERATING_EXPENSES" localSheetId="17">#REF!</definedName>
    <definedName name="OPERATING_EXPENSES" localSheetId="10">#REF!</definedName>
    <definedName name="OPERATING_EXPENSES" localSheetId="12">#REF!</definedName>
    <definedName name="OPERATING_EXPENSES">#REF!</definedName>
    <definedName name="Option1" localSheetId="16">#REF!</definedName>
    <definedName name="Option1" localSheetId="14">#REF!</definedName>
    <definedName name="Option1" localSheetId="19">#REF!</definedName>
    <definedName name="Option1" localSheetId="24">#REF!</definedName>
    <definedName name="Option1" localSheetId="21">#REF!</definedName>
    <definedName name="Option1" localSheetId="8">#REF!</definedName>
    <definedName name="Option1" localSheetId="6">#REF!</definedName>
    <definedName name="Option1" localSheetId="25">#REF!</definedName>
    <definedName name="Option1" localSheetId="17">#REF!</definedName>
    <definedName name="Option1" localSheetId="10">#REF!</definedName>
    <definedName name="Option1" localSheetId="12">#REF!</definedName>
    <definedName name="Option1">#REF!</definedName>
    <definedName name="Option2" localSheetId="16">#REF!</definedName>
    <definedName name="Option2" localSheetId="14">#REF!</definedName>
    <definedName name="Option2" localSheetId="19">#REF!</definedName>
    <definedName name="Option2" localSheetId="24">#REF!</definedName>
    <definedName name="Option2" localSheetId="21">#REF!</definedName>
    <definedName name="Option2" localSheetId="8">#REF!</definedName>
    <definedName name="Option2" localSheetId="6">#REF!</definedName>
    <definedName name="Option2" localSheetId="25">#REF!</definedName>
    <definedName name="Option2" localSheetId="17">#REF!</definedName>
    <definedName name="Option2" localSheetId="10">#REF!</definedName>
    <definedName name="Option2" localSheetId="12">#REF!</definedName>
    <definedName name="Option2">#REF!</definedName>
    <definedName name="OTHER_OPERATING_INCOME" localSheetId="16">#REF!</definedName>
    <definedName name="OTHER_OPERATING_INCOME" localSheetId="14">#REF!</definedName>
    <definedName name="OTHER_OPERATING_INCOME" localSheetId="19">#REF!</definedName>
    <definedName name="OTHER_OPERATING_INCOME" localSheetId="24">#REF!</definedName>
    <definedName name="OTHER_OPERATING_INCOME" localSheetId="21">#REF!</definedName>
    <definedName name="OTHER_OPERATING_INCOME" localSheetId="8">#REF!</definedName>
    <definedName name="OTHER_OPERATING_INCOME" localSheetId="6">#REF!</definedName>
    <definedName name="OTHER_OPERATING_INCOME" localSheetId="25">#REF!</definedName>
    <definedName name="OTHER_OPERATING_INCOME" localSheetId="17">#REF!</definedName>
    <definedName name="OTHER_OPERATING_INCOME" localSheetId="10">#REF!</definedName>
    <definedName name="OTHER_OPERATING_INCOME" localSheetId="12">#REF!</definedName>
    <definedName name="OTHER_OPERATING_INCOME">#REF!</definedName>
    <definedName name="other1" localSheetId="16">[10]LOANS!#REF!</definedName>
    <definedName name="other1" localSheetId="14">[10]LOANS!#REF!</definedName>
    <definedName name="other1" localSheetId="19">[10]LOANS!#REF!</definedName>
    <definedName name="other1" localSheetId="24">[10]LOANS!#REF!</definedName>
    <definedName name="other1" localSheetId="0">[11]LOANS!#REF!</definedName>
    <definedName name="other1" localSheetId="21">[10]LOANS!#REF!</definedName>
    <definedName name="other1" localSheetId="8">[10]LOANS!#REF!</definedName>
    <definedName name="other1" localSheetId="6">[10]LOANS!#REF!</definedName>
    <definedName name="other1" localSheetId="1">[12]LOANS!#REF!</definedName>
    <definedName name="other1" localSheetId="25">[13]LOANS!#REF!</definedName>
    <definedName name="other1" localSheetId="17">[10]LOANS!#REF!</definedName>
    <definedName name="other1" localSheetId="10">[10]LOANS!#REF!</definedName>
    <definedName name="other1" localSheetId="12">[10]LOANS!#REF!</definedName>
    <definedName name="other1">[10]LOANS!#REF!</definedName>
    <definedName name="other2" localSheetId="16">[10]LOANS!#REF!</definedName>
    <definedName name="other2" localSheetId="14">[10]LOANS!#REF!</definedName>
    <definedName name="other2" localSheetId="19">[10]LOANS!#REF!</definedName>
    <definedName name="other2" localSheetId="24">[10]LOANS!#REF!</definedName>
    <definedName name="other2" localSheetId="0">[11]LOANS!#REF!</definedName>
    <definedName name="other2" localSheetId="21">[10]LOANS!#REF!</definedName>
    <definedName name="other2" localSheetId="8">[10]LOANS!#REF!</definedName>
    <definedName name="other2" localSheetId="6">[10]LOANS!#REF!</definedName>
    <definedName name="other2" localSheetId="1">[12]LOANS!#REF!</definedName>
    <definedName name="other2" localSheetId="25">[13]LOANS!#REF!</definedName>
    <definedName name="other2" localSheetId="17">[10]LOANS!#REF!</definedName>
    <definedName name="other2" localSheetId="10">[10]LOANS!#REF!</definedName>
    <definedName name="other2" localSheetId="12">[10]LOANS!#REF!</definedName>
    <definedName name="other2">[10]LOANS!#REF!</definedName>
    <definedName name="other3" localSheetId="16">[10]LOANS!#REF!</definedName>
    <definedName name="other3" localSheetId="14">[10]LOANS!#REF!</definedName>
    <definedName name="other3" localSheetId="19">[10]LOANS!#REF!</definedName>
    <definedName name="other3" localSheetId="24">[10]LOANS!#REF!</definedName>
    <definedName name="other3" localSheetId="0">[11]LOANS!#REF!</definedName>
    <definedName name="other3" localSheetId="21">[10]LOANS!#REF!</definedName>
    <definedName name="other3" localSheetId="8">[10]LOANS!#REF!</definedName>
    <definedName name="other3" localSheetId="6">[10]LOANS!#REF!</definedName>
    <definedName name="other3" localSheetId="1">[12]LOANS!#REF!</definedName>
    <definedName name="other3" localSheetId="25">[13]LOANS!#REF!</definedName>
    <definedName name="other3" localSheetId="17">[10]LOANS!#REF!</definedName>
    <definedName name="other3" localSheetId="10">[10]LOANS!#REF!</definedName>
    <definedName name="other3" localSheetId="12">[10]LOANS!#REF!</definedName>
    <definedName name="other3">[10]LOANS!#REF!</definedName>
    <definedName name="other4" localSheetId="16">[10]LOANS!#REF!</definedName>
    <definedName name="other4" localSheetId="14">[10]LOANS!#REF!</definedName>
    <definedName name="other4" localSheetId="19">[10]LOANS!#REF!</definedName>
    <definedName name="other4" localSheetId="24">[10]LOANS!#REF!</definedName>
    <definedName name="other4" localSheetId="0">[11]LOANS!#REF!</definedName>
    <definedName name="other4" localSheetId="21">[10]LOANS!#REF!</definedName>
    <definedName name="other4" localSheetId="8">[10]LOANS!#REF!</definedName>
    <definedName name="other4" localSheetId="6">[10]LOANS!#REF!</definedName>
    <definedName name="other4" localSheetId="1">[12]LOANS!#REF!</definedName>
    <definedName name="other4" localSheetId="25">[13]LOANS!#REF!</definedName>
    <definedName name="other4" localSheetId="17">[10]LOANS!#REF!</definedName>
    <definedName name="other4" localSheetId="10">[10]LOANS!#REF!</definedName>
    <definedName name="other4" localSheetId="12">[10]LOANS!#REF!</definedName>
    <definedName name="other4">[10]LOANS!#REF!</definedName>
    <definedName name="otherallowanceoption" localSheetId="16">[10]LOANS!#REF!</definedName>
    <definedName name="otherallowanceoption" localSheetId="14">[10]LOANS!#REF!</definedName>
    <definedName name="otherallowanceoption" localSheetId="19">[10]LOANS!#REF!</definedName>
    <definedName name="otherallowanceoption" localSheetId="24">[10]LOANS!#REF!</definedName>
    <definedName name="otherallowanceoption" localSheetId="0">[11]LOANS!#REF!</definedName>
    <definedName name="otherallowanceoption" localSheetId="21">[10]LOANS!#REF!</definedName>
    <definedName name="otherallowanceoption" localSheetId="8">[10]LOANS!#REF!</definedName>
    <definedName name="otherallowanceoption" localSheetId="6">[10]LOANS!#REF!</definedName>
    <definedName name="otherallowanceoption" localSheetId="1">[12]LOANS!#REF!</definedName>
    <definedName name="otherallowanceoption" localSheetId="25">[13]LOANS!#REF!</definedName>
    <definedName name="otherallowanceoption" localSheetId="17">[10]LOANS!#REF!</definedName>
    <definedName name="otherallowanceoption" localSheetId="10">[10]LOANS!#REF!</definedName>
    <definedName name="otherallowanceoption" localSheetId="12">[10]LOANS!#REF!</definedName>
    <definedName name="otherallowanceoption">[10]LOANS!#REF!</definedName>
    <definedName name="OtherAllowances" localSheetId="16">[10]LOANS!#REF!</definedName>
    <definedName name="OtherAllowances" localSheetId="14">[10]LOANS!#REF!</definedName>
    <definedName name="OtherAllowances" localSheetId="19">[10]LOANS!#REF!</definedName>
    <definedName name="OtherAllowances" localSheetId="24">[10]LOANS!#REF!</definedName>
    <definedName name="OtherAllowances" localSheetId="0">[11]LOANS!#REF!</definedName>
    <definedName name="OtherAllowances" localSheetId="21">[10]LOANS!#REF!</definedName>
    <definedName name="OtherAllowances" localSheetId="8">[10]LOANS!#REF!</definedName>
    <definedName name="OtherAllowances" localSheetId="6">[10]LOANS!#REF!</definedName>
    <definedName name="OtherAllowances" localSheetId="1">[12]LOANS!#REF!</definedName>
    <definedName name="OtherAllowances" localSheetId="25">[13]LOANS!#REF!</definedName>
    <definedName name="OtherAllowances" localSheetId="17">[10]LOANS!#REF!</definedName>
    <definedName name="OtherAllowances" localSheetId="10">[10]LOANS!#REF!</definedName>
    <definedName name="OtherAllowances" localSheetId="12">[10]LOANS!#REF!</definedName>
    <definedName name="OtherAllowances">[10]LOANS!#REF!</definedName>
    <definedName name="OtherDeductions" localSheetId="16">[10]LOANS!#REF!</definedName>
    <definedName name="OtherDeductions" localSheetId="14">[10]LOANS!#REF!</definedName>
    <definedName name="OtherDeductions" localSheetId="19">[10]LOANS!#REF!</definedName>
    <definedName name="OtherDeductions" localSheetId="24">[10]LOANS!#REF!</definedName>
    <definedName name="OtherDeductions" localSheetId="0">[11]LOANS!#REF!</definedName>
    <definedName name="OtherDeductions" localSheetId="21">[10]LOANS!#REF!</definedName>
    <definedName name="OtherDeductions" localSheetId="8">[10]LOANS!#REF!</definedName>
    <definedName name="OtherDeductions" localSheetId="6">[10]LOANS!#REF!</definedName>
    <definedName name="OtherDeductions" localSheetId="1">[12]LOANS!#REF!</definedName>
    <definedName name="OtherDeductions" localSheetId="25">[13]LOANS!#REF!</definedName>
    <definedName name="OtherDeductions" localSheetId="17">[10]LOANS!#REF!</definedName>
    <definedName name="OtherDeductions" localSheetId="10">[10]LOANS!#REF!</definedName>
    <definedName name="OtherDeductions" localSheetId="12">[10]LOANS!#REF!</definedName>
    <definedName name="OtherDeductions">[10]LOANS!#REF!</definedName>
    <definedName name="otherp" localSheetId="16">[10]LOANS!#REF!</definedName>
    <definedName name="otherp" localSheetId="14">[10]LOANS!#REF!</definedName>
    <definedName name="otherp" localSheetId="19">[10]LOANS!#REF!</definedName>
    <definedName name="otherp" localSheetId="24">[10]LOANS!#REF!</definedName>
    <definedName name="otherp" localSheetId="0">[11]LOANS!#REF!</definedName>
    <definedName name="otherp" localSheetId="21">[10]LOANS!#REF!</definedName>
    <definedName name="otherp" localSheetId="8">[10]LOANS!#REF!</definedName>
    <definedName name="otherp" localSheetId="6">[10]LOANS!#REF!</definedName>
    <definedName name="otherp" localSheetId="1">[12]LOANS!#REF!</definedName>
    <definedName name="otherp" localSheetId="25">[13]LOANS!#REF!</definedName>
    <definedName name="otherp" localSheetId="17">[10]LOANS!#REF!</definedName>
    <definedName name="otherp" localSheetId="10">[10]LOANS!#REF!</definedName>
    <definedName name="otherp" localSheetId="12">[10]LOANS!#REF!</definedName>
    <definedName name="otherp">[10]LOANS!#REF!</definedName>
    <definedName name="otherpaytotal" localSheetId="16">[10]LOANS!#REF!</definedName>
    <definedName name="otherpaytotal" localSheetId="14">[10]LOANS!#REF!</definedName>
    <definedName name="otherpaytotal" localSheetId="19">[10]LOANS!#REF!</definedName>
    <definedName name="otherpaytotal" localSheetId="24">[10]LOANS!#REF!</definedName>
    <definedName name="otherpaytotal" localSheetId="0">[11]LOANS!#REF!</definedName>
    <definedName name="otherpaytotal" localSheetId="21">[10]LOANS!#REF!</definedName>
    <definedName name="otherpaytotal" localSheetId="8">[10]LOANS!#REF!</definedName>
    <definedName name="otherpaytotal" localSheetId="6">[10]LOANS!#REF!</definedName>
    <definedName name="otherpaytotal" localSheetId="1">[12]LOANS!#REF!</definedName>
    <definedName name="otherpaytotal" localSheetId="25">[13]LOANS!#REF!</definedName>
    <definedName name="otherpaytotal" localSheetId="17">[10]LOANS!#REF!</definedName>
    <definedName name="otherpaytotal" localSheetId="10">[10]LOANS!#REF!</definedName>
    <definedName name="otherpaytotal" localSheetId="12">[10]LOANS!#REF!</definedName>
    <definedName name="otherpaytotal">[10]LOANS!#REF!</definedName>
    <definedName name="OtherTime" localSheetId="16">#REF!</definedName>
    <definedName name="OtherTime" localSheetId="14">#REF!</definedName>
    <definedName name="OtherTime" localSheetId="19">#REF!</definedName>
    <definedName name="OtherTime" localSheetId="24">#REF!</definedName>
    <definedName name="OtherTime" localSheetId="0">#REF!</definedName>
    <definedName name="OtherTime" localSheetId="21">#REF!</definedName>
    <definedName name="OtherTime" localSheetId="8">#REF!</definedName>
    <definedName name="OtherTime" localSheetId="6">#REF!</definedName>
    <definedName name="OtherTime" localSheetId="1">#REF!</definedName>
    <definedName name="OtherTime" localSheetId="25">#REF!</definedName>
    <definedName name="OtherTime" localSheetId="17">#REF!</definedName>
    <definedName name="OtherTime" localSheetId="10">#REF!</definedName>
    <definedName name="OtherTime" localSheetId="12">#REF!</definedName>
    <definedName name="OtherTime">#REF!</definedName>
    <definedName name="othertotal" localSheetId="16">[10]LOANS!#REF!</definedName>
    <definedName name="othertotal" localSheetId="14">[10]LOANS!#REF!</definedName>
    <definedName name="othertotal" localSheetId="19">[10]LOANS!#REF!</definedName>
    <definedName name="othertotal" localSheetId="24">[10]LOANS!#REF!</definedName>
    <definedName name="othertotal" localSheetId="0">[11]LOANS!#REF!</definedName>
    <definedName name="othertotal" localSheetId="21">[10]LOANS!#REF!</definedName>
    <definedName name="othertotal" localSheetId="8">[10]LOANS!#REF!</definedName>
    <definedName name="othertotal" localSheetId="6">[10]LOANS!#REF!</definedName>
    <definedName name="othertotal" localSheetId="1">[12]LOANS!#REF!</definedName>
    <definedName name="othertotal" localSheetId="25">[13]LOANS!#REF!</definedName>
    <definedName name="othertotal" localSheetId="17">[10]LOANS!#REF!</definedName>
    <definedName name="othertotal" localSheetId="10">[10]LOANS!#REF!</definedName>
    <definedName name="othertotal" localSheetId="12">[10]LOANS!#REF!</definedName>
    <definedName name="othertotal">[10]LOANS!#REF!</definedName>
    <definedName name="OVERDRAFT">'[14]BALSHEET TEMPLATE:LCY BALSHEET WKS'!$A$408:$Q$504</definedName>
    <definedName name="P_L" localSheetId="16">#REF!</definedName>
    <definedName name="P_L" localSheetId="14">#REF!</definedName>
    <definedName name="P_L" localSheetId="19">#REF!</definedName>
    <definedName name="P_L" localSheetId="24">#REF!</definedName>
    <definedName name="P_L" localSheetId="0">#REF!</definedName>
    <definedName name="P_L" localSheetId="21">#REF!</definedName>
    <definedName name="P_L" localSheetId="8">#REF!</definedName>
    <definedName name="P_L" localSheetId="6">#REF!</definedName>
    <definedName name="P_L" localSheetId="1">#REF!</definedName>
    <definedName name="P_L" localSheetId="25">#REF!</definedName>
    <definedName name="P_L" localSheetId="17">#REF!</definedName>
    <definedName name="P_L" localSheetId="10">#REF!</definedName>
    <definedName name="P_L" localSheetId="12">#REF!</definedName>
    <definedName name="P_L">#REF!</definedName>
    <definedName name="Payslip" localSheetId="16">#REF!</definedName>
    <definedName name="Payslip" localSheetId="14">#REF!</definedName>
    <definedName name="Payslip" localSheetId="19">#REF!</definedName>
    <definedName name="Payslip" localSheetId="24">#REF!</definedName>
    <definedName name="Payslip" localSheetId="21">#REF!</definedName>
    <definedName name="Payslip" localSheetId="8">#REF!</definedName>
    <definedName name="Payslip" localSheetId="6">#REF!</definedName>
    <definedName name="Payslip" localSheetId="25">#REF!</definedName>
    <definedName name="Payslip" localSheetId="17">#REF!</definedName>
    <definedName name="Payslip" localSheetId="10">#REF!</definedName>
    <definedName name="Payslip" localSheetId="12">#REF!</definedName>
    <definedName name="Payslip">#REF!</definedName>
    <definedName name="PCS" localSheetId="25">[32]Sheet11!$C$17</definedName>
    <definedName name="PCS">[32]Sheet11!$C$17</definedName>
    <definedName name="pen" localSheetId="16">#REF!</definedName>
    <definedName name="pen" localSheetId="14">#REF!</definedName>
    <definedName name="pen" localSheetId="19">#REF!</definedName>
    <definedName name="pen" localSheetId="24">#REF!</definedName>
    <definedName name="pen" localSheetId="0">#REF!</definedName>
    <definedName name="pen" localSheetId="21">#REF!</definedName>
    <definedName name="pen" localSheetId="8">#REF!</definedName>
    <definedName name="pen" localSheetId="6">#REF!</definedName>
    <definedName name="pen" localSheetId="1">#REF!</definedName>
    <definedName name="pen" localSheetId="25">#REF!</definedName>
    <definedName name="pen" localSheetId="17">#REF!</definedName>
    <definedName name="pen" localSheetId="10">#REF!</definedName>
    <definedName name="pen" localSheetId="12">#REF!</definedName>
    <definedName name="pen">#REF!</definedName>
    <definedName name="pension">[9]Pension!$B$7:$I$136</definedName>
    <definedName name="pension1" localSheetId="16">[10]LOANS!#REF!</definedName>
    <definedName name="pension1" localSheetId="14">[10]LOANS!#REF!</definedName>
    <definedName name="pension1" localSheetId="19">[10]LOANS!#REF!</definedName>
    <definedName name="pension1" localSheetId="24">[10]LOANS!#REF!</definedName>
    <definedName name="pension1" localSheetId="0">[11]LOANS!#REF!</definedName>
    <definedName name="pension1" localSheetId="21">[10]LOANS!#REF!</definedName>
    <definedName name="pension1" localSheetId="8">[10]LOANS!#REF!</definedName>
    <definedName name="pension1" localSheetId="6">[10]LOANS!#REF!</definedName>
    <definedName name="pension1" localSheetId="1">[12]LOANS!#REF!</definedName>
    <definedName name="pension1" localSheetId="25">[13]LOANS!#REF!</definedName>
    <definedName name="pension1" localSheetId="17">[10]LOANS!#REF!</definedName>
    <definedName name="pension1" localSheetId="10">[10]LOANS!#REF!</definedName>
    <definedName name="pension1" localSheetId="12">[10]LOANS!#REF!</definedName>
    <definedName name="pension1">[10]LOANS!#REF!</definedName>
    <definedName name="PERIOD" localSheetId="0">[36]bal_sheet!$N$16</definedName>
    <definedName name="PERIOD" localSheetId="1">[37]bal_sheet!$N$16</definedName>
    <definedName name="PERIOD" localSheetId="25">[38]bal_sheet!$N$16</definedName>
    <definedName name="PERIOD">[39]bal_sheet!$N$16</definedName>
    <definedName name="Period1" localSheetId="16">#REF!</definedName>
    <definedName name="Period1" localSheetId="14">#REF!</definedName>
    <definedName name="Period1" localSheetId="19">#REF!</definedName>
    <definedName name="Period1" localSheetId="24">#REF!</definedName>
    <definedName name="Period1" localSheetId="0">#REF!</definedName>
    <definedName name="Period1" localSheetId="21">#REF!</definedName>
    <definedName name="Period1" localSheetId="8">#REF!</definedName>
    <definedName name="Period1" localSheetId="6">#REF!</definedName>
    <definedName name="Period1" localSheetId="1">#REF!</definedName>
    <definedName name="Period1" localSheetId="25">#REF!</definedName>
    <definedName name="Period1" localSheetId="17">#REF!</definedName>
    <definedName name="Period1" localSheetId="10">#REF!</definedName>
    <definedName name="Period1" localSheetId="12">#REF!</definedName>
    <definedName name="Period1">#REF!</definedName>
    <definedName name="pmt" localSheetId="16">#REF!</definedName>
    <definedName name="pmt" localSheetId="14">#REF!</definedName>
    <definedName name="pmt" localSheetId="19">#REF!</definedName>
    <definedName name="pmt" localSheetId="24">#REF!</definedName>
    <definedName name="pmt" localSheetId="21">#REF!</definedName>
    <definedName name="pmt" localSheetId="8">#REF!</definedName>
    <definedName name="pmt" localSheetId="6">#REF!</definedName>
    <definedName name="pmt" localSheetId="25">#REF!</definedName>
    <definedName name="pmt" localSheetId="17">#REF!</definedName>
    <definedName name="pmt" localSheetId="10">#REF!</definedName>
    <definedName name="pmt" localSheetId="12">#REF!</definedName>
    <definedName name="pmt">#REF!</definedName>
    <definedName name="pmts" localSheetId="16">#REF!</definedName>
    <definedName name="pmts" localSheetId="14">#REF!</definedName>
    <definedName name="pmts" localSheetId="19">#REF!</definedName>
    <definedName name="pmts" localSheetId="24">#REF!</definedName>
    <definedName name="pmts" localSheetId="21">#REF!</definedName>
    <definedName name="pmts" localSheetId="8">#REF!</definedName>
    <definedName name="pmts" localSheetId="6">#REF!</definedName>
    <definedName name="pmts" localSheetId="25">#REF!</definedName>
    <definedName name="pmts" localSheetId="17">#REF!</definedName>
    <definedName name="pmts" localSheetId="10">#REF!</definedName>
    <definedName name="pmts" localSheetId="12">#REF!</definedName>
    <definedName name="pmts">#REF!</definedName>
    <definedName name="Poll" localSheetId="16">[9]DATABANK!#REF!</definedName>
    <definedName name="Poll" localSheetId="14">[9]DATABANK!#REF!</definedName>
    <definedName name="Poll" localSheetId="19">[9]DATABANK!#REF!</definedName>
    <definedName name="Poll" localSheetId="24">[9]DATABANK!#REF!</definedName>
    <definedName name="Poll" localSheetId="21">[9]DATABANK!#REF!</definedName>
    <definedName name="Poll" localSheetId="8">[9]DATABANK!#REF!</definedName>
    <definedName name="Poll" localSheetId="6">[9]DATABANK!#REF!</definedName>
    <definedName name="Poll" localSheetId="17">[9]DATABANK!#REF!</definedName>
    <definedName name="Poll" localSheetId="10">[9]DATABANK!#REF!</definedName>
    <definedName name="Poll" localSheetId="12">[9]DATABANK!#REF!</definedName>
    <definedName name="Poll">[9]DATABANK!#REF!</definedName>
    <definedName name="Power" localSheetId="16">'[10]ANNUAL CTC'!#REF!</definedName>
    <definedName name="Power" localSheetId="14">'[10]ANNUAL CTC'!#REF!</definedName>
    <definedName name="Power" localSheetId="19">'[10]ANNUAL CTC'!#REF!</definedName>
    <definedName name="Power" localSheetId="24">'[10]ANNUAL CTC'!#REF!</definedName>
    <definedName name="Power" localSheetId="0">'[11]ANNUAL CTC'!#REF!</definedName>
    <definedName name="Power" localSheetId="21">'[10]ANNUAL CTC'!#REF!</definedName>
    <definedName name="Power" localSheetId="8">'[10]ANNUAL CTC'!#REF!</definedName>
    <definedName name="Power" localSheetId="6">'[10]ANNUAL CTC'!#REF!</definedName>
    <definedName name="Power" localSheetId="1">'[12]ANNUAL CTC'!#REF!</definedName>
    <definedName name="Power" localSheetId="25">'[13]ANNUAL CTC'!#REF!</definedName>
    <definedName name="Power" localSheetId="17">'[10]ANNUAL CTC'!#REF!</definedName>
    <definedName name="Power" localSheetId="10">'[10]ANNUAL CTC'!#REF!</definedName>
    <definedName name="Power" localSheetId="12">'[10]ANNUAL CTC'!#REF!</definedName>
    <definedName name="Power">'[10]ANNUAL CTC'!#REF!</definedName>
    <definedName name="prevmonth" localSheetId="0">[5]Input!$B$4</definedName>
    <definedName name="prevmonth" localSheetId="1">[6]Input!$B$4</definedName>
    <definedName name="prevmonth" localSheetId="25">[7]Input!$B$4</definedName>
    <definedName name="prevmonth">[8]Input!$B$4</definedName>
    <definedName name="principal" localSheetId="16">#REF!</definedName>
    <definedName name="principal" localSheetId="14">#REF!</definedName>
    <definedName name="principal" localSheetId="19">#REF!</definedName>
    <definedName name="principal" localSheetId="24">#REF!</definedName>
    <definedName name="principal" localSheetId="0">#REF!</definedName>
    <definedName name="principal" localSheetId="21">#REF!</definedName>
    <definedName name="principal" localSheetId="8">#REF!</definedName>
    <definedName name="principal" localSheetId="6">#REF!</definedName>
    <definedName name="principal" localSheetId="1">#REF!</definedName>
    <definedName name="principal" localSheetId="25">#REF!</definedName>
    <definedName name="principal" localSheetId="17">#REF!</definedName>
    <definedName name="principal" localSheetId="10">#REF!</definedName>
    <definedName name="principal" localSheetId="12">#REF!</definedName>
    <definedName name="principal">#REF!</definedName>
    <definedName name="_xlnm.Print_Area" localSheetId="16">' Direct Assessment 2023&amp;2024'!$A$1:$H$18</definedName>
    <definedName name="_xlnm.Print_Area" localSheetId="14">' PAYE Remittances 2023'!$A$3:$H$20</definedName>
    <definedName name="_xlnm.Print_Area" localSheetId="31">'2024'!$A$1:$G$31</definedName>
    <definedName name="_xlnm.Print_Area" localSheetId="4">'Audit Check List'!$A$1:$J$73</definedName>
    <definedName name="_xlnm.Print_Area" localSheetId="19">'Biz Premises 2023'!$A$2:$H$14</definedName>
    <definedName name="_xlnm.Print_Area" localSheetId="20">'Biz Premises 2024'!$A$2:$H$15</definedName>
    <definedName name="_xlnm.Print_Area" localSheetId="2">CONTENT!$A$1:$I$33</definedName>
    <definedName name="_xlnm.Print_Area" localSheetId="21">'Development Levy 2023'!$A$1:$G$25</definedName>
    <definedName name="_xlnm.Print_Area" localSheetId="22">'Development Levy 2024'!$A$1:$G$22</definedName>
    <definedName name="_xlnm.Print_Area" localSheetId="8">'Expatriate 2023'!$A$1:$Z$22</definedName>
    <definedName name="_xlnm.Print_Area" localSheetId="9">'Expatriate 2024'!$A$1:$Z$22</definedName>
    <definedName name="_xlnm.Print_Area" localSheetId="3">'FIELD REPORT FORM'!$A$1:$M$46</definedName>
    <definedName name="_xlnm.Print_Area" localSheetId="15">'PAYE Remittances 2024'!$A$1:$H$21</definedName>
    <definedName name="_xlnm.Print_Area" localSheetId="6">'Payroll Cost Analysis 2023'!$A$1:$Z$111</definedName>
    <definedName name="_xlnm.Print_Area" localSheetId="7">'Payroll Cost Analysis 2024'!$A$1:$Z$111</definedName>
    <definedName name="_xlnm.Print_Area" localSheetId="5">'Staff Cost Analysis'!$A$1:$D$20</definedName>
    <definedName name="_xlnm.Print_Area" localSheetId="1">Status!$A$1:$K$48</definedName>
    <definedName name="_xlnm.Print_Area" localSheetId="25">'Tax Due (2)'!$B$1:$E$37</definedName>
    <definedName name="_xlnm.Print_Area" localSheetId="17">'WHT Remittance 2023'!$A$1:$I$12</definedName>
    <definedName name="_xlnm.Print_Area" localSheetId="18">'WHT Remittance 2024'!$A$1:$I$13</definedName>
    <definedName name="_xlnm.Print_Area" localSheetId="10">'WHT Schedule 2023'!$A$1:$H$40</definedName>
    <definedName name="_xlnm.Print_Area" localSheetId="11">'WHT Schedule 2024'!$A$1:$H$40</definedName>
    <definedName name="_xlnm.Print_Area" localSheetId="12">'WHT SMRY 2023'!$A$1:$F$32</definedName>
    <definedName name="_xlnm.Print_Area" localSheetId="13">'WHT SMRY 2024'!$A$1:$F$32</definedName>
    <definedName name="_xlnm.Print_Titles" localSheetId="16">#REF!</definedName>
    <definedName name="_xlnm.Print_Titles" localSheetId="14">#REF!</definedName>
    <definedName name="_xlnm.Print_Titles" localSheetId="19">#REF!</definedName>
    <definedName name="_xlnm.Print_Titles" localSheetId="24">#REF!</definedName>
    <definedName name="_xlnm.Print_Titles" localSheetId="0">#REF!</definedName>
    <definedName name="_xlnm.Print_Titles" localSheetId="21">#REF!</definedName>
    <definedName name="_xlnm.Print_Titles" localSheetId="8">#REF!</definedName>
    <definedName name="_xlnm.Print_Titles" localSheetId="6">#REF!</definedName>
    <definedName name="_xlnm.Print_Titles" localSheetId="1">#REF!</definedName>
    <definedName name="_xlnm.Print_Titles" localSheetId="17">#REF!</definedName>
    <definedName name="_xlnm.Print_Titles" localSheetId="10">#REF!</definedName>
    <definedName name="_xlnm.Print_Titles" localSheetId="12">#REF!</definedName>
    <definedName name="_xlnm.Print_Titles">#REF!</definedName>
    <definedName name="printarea">[1]OLDFILE!$A$1:$F$338</definedName>
    <definedName name="Prior_year" localSheetId="16">#REF!</definedName>
    <definedName name="Prior_year" localSheetId="14">#REF!</definedName>
    <definedName name="Prior_year" localSheetId="19">#REF!</definedName>
    <definedName name="Prior_year" localSheetId="24">#REF!</definedName>
    <definedName name="Prior_year" localSheetId="0">#REF!</definedName>
    <definedName name="Prior_year" localSheetId="21">#REF!</definedName>
    <definedName name="Prior_year" localSheetId="8">#REF!</definedName>
    <definedName name="Prior_year" localSheetId="6">#REF!</definedName>
    <definedName name="Prior_year" localSheetId="1">#REF!</definedName>
    <definedName name="Prior_year" localSheetId="25">#REF!</definedName>
    <definedName name="Prior_year" localSheetId="17">#REF!</definedName>
    <definedName name="Prior_year" localSheetId="10">#REF!</definedName>
    <definedName name="Prior_year" localSheetId="12">#REF!</definedName>
    <definedName name="Prior_year">#REF!</definedName>
    <definedName name="PriorMonth" localSheetId="16">#REF!</definedName>
    <definedName name="PriorMonth" localSheetId="14">#REF!</definedName>
    <definedName name="PriorMonth" localSheetId="19">#REF!</definedName>
    <definedName name="PriorMonth" localSheetId="24">#REF!</definedName>
    <definedName name="PriorMonth" localSheetId="21">#REF!</definedName>
    <definedName name="PriorMonth" localSheetId="8">#REF!</definedName>
    <definedName name="PriorMonth" localSheetId="6">#REF!</definedName>
    <definedName name="PriorMonth" localSheetId="25">#REF!</definedName>
    <definedName name="PriorMonth" localSheetId="17">#REF!</definedName>
    <definedName name="PriorMonth" localSheetId="10">#REF!</definedName>
    <definedName name="PriorMonth" localSheetId="12">#REF!</definedName>
    <definedName name="PriorMonth">#REF!</definedName>
    <definedName name="prncpl" localSheetId="16">#REF!</definedName>
    <definedName name="prncpl" localSheetId="14">#REF!</definedName>
    <definedName name="prncpl" localSheetId="19">#REF!</definedName>
    <definedName name="prncpl" localSheetId="24">#REF!</definedName>
    <definedName name="prncpl" localSheetId="21">#REF!</definedName>
    <definedName name="prncpl" localSheetId="8">#REF!</definedName>
    <definedName name="prncpl" localSheetId="6">#REF!</definedName>
    <definedName name="prncpl" localSheetId="25">#REF!</definedName>
    <definedName name="prncpl" localSheetId="17">#REF!</definedName>
    <definedName name="prncpl" localSheetId="10">#REF!</definedName>
    <definedName name="prncpl" localSheetId="12">#REF!</definedName>
    <definedName name="prncpl">#REF!</definedName>
    <definedName name="PROFIT_AND_LOSS_ACCOUNT" localSheetId="16">#REF!</definedName>
    <definedName name="PROFIT_AND_LOSS_ACCOUNT" localSheetId="14">#REF!</definedName>
    <definedName name="PROFIT_AND_LOSS_ACCOUNT" localSheetId="19">#REF!</definedName>
    <definedName name="PROFIT_AND_LOSS_ACCOUNT" localSheetId="24">#REF!</definedName>
    <definedName name="PROFIT_AND_LOSS_ACCOUNT" localSheetId="21">#REF!</definedName>
    <definedName name="PROFIT_AND_LOSS_ACCOUNT" localSheetId="8">#REF!</definedName>
    <definedName name="PROFIT_AND_LOSS_ACCOUNT" localSheetId="6">#REF!</definedName>
    <definedName name="PROFIT_AND_LOSS_ACCOUNT" localSheetId="25">#REF!</definedName>
    <definedName name="PROFIT_AND_LOSS_ACCOUNT" localSheetId="17">#REF!</definedName>
    <definedName name="PROFIT_AND_LOSS_ACCOUNT" localSheetId="10">#REF!</definedName>
    <definedName name="PROFIT_AND_LOSS_ACCOUNT" localSheetId="12">#REF!</definedName>
    <definedName name="PROFIT_AND_LOSS_ACCOUNT">#REF!</definedName>
    <definedName name="pyt" localSheetId="16">#REF!</definedName>
    <definedName name="pyt" localSheetId="14">#REF!</definedName>
    <definedName name="pyt" localSheetId="19">#REF!</definedName>
    <definedName name="pyt" localSheetId="24">#REF!</definedName>
    <definedName name="pyt" localSheetId="21">#REF!</definedName>
    <definedName name="pyt" localSheetId="8">#REF!</definedName>
    <definedName name="pyt" localSheetId="6">#REF!</definedName>
    <definedName name="pyt" localSheetId="25">#REF!</definedName>
    <definedName name="pyt" localSheetId="17">#REF!</definedName>
    <definedName name="pyt" localSheetId="10">#REF!</definedName>
    <definedName name="pyt" localSheetId="12">#REF!</definedName>
    <definedName name="pyt">#REF!</definedName>
    <definedName name="qote" localSheetId="16">[10]LOANS!#REF!</definedName>
    <definedName name="qote" localSheetId="14">[10]LOANS!#REF!</definedName>
    <definedName name="qote" localSheetId="19">[10]LOANS!#REF!</definedName>
    <definedName name="qote" localSheetId="24">[10]LOANS!#REF!</definedName>
    <definedName name="qote" localSheetId="0">[11]LOANS!#REF!</definedName>
    <definedName name="qote" localSheetId="21">[10]LOANS!#REF!</definedName>
    <definedName name="qote" localSheetId="8">[10]LOANS!#REF!</definedName>
    <definedName name="qote" localSheetId="6">[10]LOANS!#REF!</definedName>
    <definedName name="qote" localSheetId="1">[12]LOANS!#REF!</definedName>
    <definedName name="qote" localSheetId="25">[13]LOANS!#REF!</definedName>
    <definedName name="qote" localSheetId="17">[10]LOANS!#REF!</definedName>
    <definedName name="qote" localSheetId="10">[10]LOANS!#REF!</definedName>
    <definedName name="qote" localSheetId="12">[10]LOANS!#REF!</definedName>
    <definedName name="qote">[10]LOANS!#REF!</definedName>
    <definedName name="rate" localSheetId="16">#REF!</definedName>
    <definedName name="rate" localSheetId="14">#REF!</definedName>
    <definedName name="rate" localSheetId="19">#REF!</definedName>
    <definedName name="rate" localSheetId="24">#REF!</definedName>
    <definedName name="rate" localSheetId="0">#REF!</definedName>
    <definedName name="rate" localSheetId="21">#REF!</definedName>
    <definedName name="rate" localSheetId="8">#REF!</definedName>
    <definedName name="rate" localSheetId="6">#REF!</definedName>
    <definedName name="rate" localSheetId="1">#REF!</definedName>
    <definedName name="rate" localSheetId="25">#REF!</definedName>
    <definedName name="rate" localSheetId="17">#REF!</definedName>
    <definedName name="rate" localSheetId="10">#REF!</definedName>
    <definedName name="rate" localSheetId="12">#REF!</definedName>
    <definedName name="rate">#REF!</definedName>
    <definedName name="Rateofexchange" localSheetId="16">#REF!</definedName>
    <definedName name="Rateofexchange" localSheetId="14">#REF!</definedName>
    <definedName name="Rateofexchange" localSheetId="19">#REF!</definedName>
    <definedName name="Rateofexchange" localSheetId="24">#REF!</definedName>
    <definedName name="Rateofexchange" localSheetId="21">#REF!</definedName>
    <definedName name="Rateofexchange" localSheetId="8">#REF!</definedName>
    <definedName name="Rateofexchange" localSheetId="6">#REF!</definedName>
    <definedName name="Rateofexchange" localSheetId="25">#REF!</definedName>
    <definedName name="Rateofexchange" localSheetId="17">#REF!</definedName>
    <definedName name="Rateofexchange" localSheetId="10">#REF!</definedName>
    <definedName name="Rateofexchange" localSheetId="12">#REF!</definedName>
    <definedName name="Rateofexchange">#REF!</definedName>
    <definedName name="RECEIVABLES" localSheetId="16">#REF!</definedName>
    <definedName name="RECEIVABLES" localSheetId="14">#REF!</definedName>
    <definedName name="RECEIVABLES" localSheetId="19">#REF!</definedName>
    <definedName name="RECEIVABLES" localSheetId="24">#REF!</definedName>
    <definedName name="RECEIVABLES" localSheetId="21">#REF!</definedName>
    <definedName name="RECEIVABLES" localSheetId="8">#REF!</definedName>
    <definedName name="RECEIVABLES" localSheetId="6">#REF!</definedName>
    <definedName name="RECEIVABLES" localSheetId="25">#REF!</definedName>
    <definedName name="RECEIVABLES" localSheetId="17">#REF!</definedName>
    <definedName name="RECEIVABLES" localSheetId="10">#REF!</definedName>
    <definedName name="RECEIVABLES" localSheetId="12">#REF!</definedName>
    <definedName name="RECEIVABLES">#REF!</definedName>
    <definedName name="reimbtotal" localSheetId="16">[10]LOANS!#REF!</definedName>
    <definedName name="reimbtotal" localSheetId="14">[10]LOANS!#REF!</definedName>
    <definedName name="reimbtotal" localSheetId="19">[10]LOANS!#REF!</definedName>
    <definedName name="reimbtotal" localSheetId="24">[10]LOANS!#REF!</definedName>
    <definedName name="reimbtotal" localSheetId="0">[11]LOANS!#REF!</definedName>
    <definedName name="reimbtotal" localSheetId="21">[10]LOANS!#REF!</definedName>
    <definedName name="reimbtotal" localSheetId="8">[10]LOANS!#REF!</definedName>
    <definedName name="reimbtotal" localSheetId="6">[10]LOANS!#REF!</definedName>
    <definedName name="reimbtotal" localSheetId="1">[12]LOANS!#REF!</definedName>
    <definedName name="reimbtotal" localSheetId="25">[13]LOANS!#REF!</definedName>
    <definedName name="reimbtotal" localSheetId="17">[10]LOANS!#REF!</definedName>
    <definedName name="reimbtotal" localSheetId="10">[10]LOANS!#REF!</definedName>
    <definedName name="reimbtotal" localSheetId="12">[10]LOANS!#REF!</definedName>
    <definedName name="reimbtotal">[10]LOANS!#REF!</definedName>
    <definedName name="Rel" localSheetId="16">'[10]ANNUAL CTC'!#REF!</definedName>
    <definedName name="Rel" localSheetId="14">'[10]ANNUAL CTC'!#REF!</definedName>
    <definedName name="Rel" localSheetId="19">'[10]ANNUAL CTC'!#REF!</definedName>
    <definedName name="Rel" localSheetId="24">'[10]ANNUAL CTC'!#REF!</definedName>
    <definedName name="Rel" localSheetId="0">'[11]ANNUAL CTC'!#REF!</definedName>
    <definedName name="Rel" localSheetId="21">'[10]ANNUAL CTC'!#REF!</definedName>
    <definedName name="Rel" localSheetId="8">'[10]ANNUAL CTC'!#REF!</definedName>
    <definedName name="Rel" localSheetId="6">'[10]ANNUAL CTC'!#REF!</definedName>
    <definedName name="Rel" localSheetId="1">'[12]ANNUAL CTC'!#REF!</definedName>
    <definedName name="Rel" localSheetId="25">'[13]ANNUAL CTC'!#REF!</definedName>
    <definedName name="Rel" localSheetId="17">'[10]ANNUAL CTC'!#REF!</definedName>
    <definedName name="Rel" localSheetId="10">'[10]ANNUAL CTC'!#REF!</definedName>
    <definedName name="Rel" localSheetId="12">'[10]ANNUAL CTC'!#REF!</definedName>
    <definedName name="Rel">'[10]ANNUAL CTC'!#REF!</definedName>
    <definedName name="Reliefs" localSheetId="16">[10]LOANS!#REF!</definedName>
    <definedName name="Reliefs" localSheetId="14">[10]LOANS!#REF!</definedName>
    <definedName name="Reliefs" localSheetId="19">[10]LOANS!#REF!</definedName>
    <definedName name="Reliefs" localSheetId="24">[10]LOANS!#REF!</definedName>
    <definedName name="Reliefs" localSheetId="0">[11]LOANS!#REF!</definedName>
    <definedName name="Reliefs" localSheetId="21">[10]LOANS!#REF!</definedName>
    <definedName name="Reliefs" localSheetId="8">[10]LOANS!#REF!</definedName>
    <definedName name="Reliefs" localSheetId="6">[10]LOANS!#REF!</definedName>
    <definedName name="Reliefs" localSheetId="1">[12]LOANS!#REF!</definedName>
    <definedName name="Reliefs" localSheetId="25">[13]LOANS!#REF!</definedName>
    <definedName name="Reliefs" localSheetId="17">[10]LOANS!#REF!</definedName>
    <definedName name="Reliefs" localSheetId="10">[10]LOANS!#REF!</definedName>
    <definedName name="Reliefs" localSheetId="12">[10]LOANS!#REF!</definedName>
    <definedName name="Reliefs">[10]LOANS!#REF!</definedName>
    <definedName name="ReliefsAllow" localSheetId="16">[10]LOANS!#REF!</definedName>
    <definedName name="ReliefsAllow" localSheetId="14">[10]LOANS!#REF!</definedName>
    <definedName name="ReliefsAllow" localSheetId="19">[10]LOANS!#REF!</definedName>
    <definedName name="ReliefsAllow" localSheetId="24">[10]LOANS!#REF!</definedName>
    <definedName name="ReliefsAllow" localSheetId="0">[11]LOANS!#REF!</definedName>
    <definedName name="ReliefsAllow" localSheetId="21">[10]LOANS!#REF!</definedName>
    <definedName name="ReliefsAllow" localSheetId="8">[10]LOANS!#REF!</definedName>
    <definedName name="ReliefsAllow" localSheetId="6">[10]LOANS!#REF!</definedName>
    <definedName name="ReliefsAllow" localSheetId="1">[12]LOANS!#REF!</definedName>
    <definedName name="ReliefsAllow" localSheetId="25">[13]LOANS!#REF!</definedName>
    <definedName name="ReliefsAllow" localSheetId="17">[10]LOANS!#REF!</definedName>
    <definedName name="ReliefsAllow" localSheetId="10">[10]LOANS!#REF!</definedName>
    <definedName name="ReliefsAllow" localSheetId="12">[10]LOANS!#REF!</definedName>
    <definedName name="ReliefsAllow">[10]LOANS!#REF!</definedName>
    <definedName name="reliefsp" localSheetId="16">[10]LOANS!#REF!</definedName>
    <definedName name="reliefsp" localSheetId="14">[10]LOANS!#REF!</definedName>
    <definedName name="reliefsp" localSheetId="19">[10]LOANS!#REF!</definedName>
    <definedName name="reliefsp" localSheetId="24">[10]LOANS!#REF!</definedName>
    <definedName name="reliefsp" localSheetId="0">[11]LOANS!#REF!</definedName>
    <definedName name="reliefsp" localSheetId="21">[10]LOANS!#REF!</definedName>
    <definedName name="reliefsp" localSheetId="8">[10]LOANS!#REF!</definedName>
    <definedName name="reliefsp" localSheetId="6">[10]LOANS!#REF!</definedName>
    <definedName name="reliefsp" localSheetId="1">[12]LOANS!#REF!</definedName>
    <definedName name="reliefsp" localSheetId="25">[13]LOANS!#REF!</definedName>
    <definedName name="reliefsp" localSheetId="17">[10]LOANS!#REF!</definedName>
    <definedName name="reliefsp" localSheetId="10">[10]LOANS!#REF!</definedName>
    <definedName name="reliefsp" localSheetId="12">[10]LOANS!#REF!</definedName>
    <definedName name="reliefsp">[10]LOANS!#REF!</definedName>
    <definedName name="Reliefss" localSheetId="16">[10]LOANS!#REF!</definedName>
    <definedName name="Reliefss" localSheetId="14">[10]LOANS!#REF!</definedName>
    <definedName name="Reliefss" localSheetId="19">[10]LOANS!#REF!</definedName>
    <definedName name="Reliefss" localSheetId="24">[10]LOANS!#REF!</definedName>
    <definedName name="Reliefss" localSheetId="0">[11]LOANS!#REF!</definedName>
    <definedName name="Reliefss" localSheetId="21">[10]LOANS!#REF!</definedName>
    <definedName name="Reliefss" localSheetId="8">[10]LOANS!#REF!</definedName>
    <definedName name="Reliefss" localSheetId="6">[10]LOANS!#REF!</definedName>
    <definedName name="Reliefss" localSheetId="1">[12]LOANS!#REF!</definedName>
    <definedName name="Reliefss" localSheetId="25">[13]LOANS!#REF!</definedName>
    <definedName name="Reliefss" localSheetId="17">[10]LOANS!#REF!</definedName>
    <definedName name="Reliefss" localSheetId="10">[10]LOANS!#REF!</definedName>
    <definedName name="Reliefss" localSheetId="12">[10]LOANS!#REF!</definedName>
    <definedName name="Reliefss">[10]LOANS!#REF!</definedName>
    <definedName name="Relieve">[9]DATABANK!$A$77:$E$86</definedName>
    <definedName name="repaymentp" localSheetId="16">[10]LOANS!#REF!</definedName>
    <definedName name="repaymentp" localSheetId="14">[10]LOANS!#REF!</definedName>
    <definedName name="repaymentp" localSheetId="19">[10]LOANS!#REF!</definedName>
    <definedName name="repaymentp" localSheetId="24">[10]LOANS!#REF!</definedName>
    <definedName name="repaymentp" localSheetId="0">[11]LOANS!#REF!</definedName>
    <definedName name="repaymentp" localSheetId="21">[10]LOANS!#REF!</definedName>
    <definedName name="repaymentp" localSheetId="8">[10]LOANS!#REF!</definedName>
    <definedName name="repaymentp" localSheetId="6">[10]LOANS!#REF!</definedName>
    <definedName name="repaymentp" localSheetId="1">[12]LOANS!#REF!</definedName>
    <definedName name="repaymentp" localSheetId="25">[13]LOANS!#REF!</definedName>
    <definedName name="repaymentp" localSheetId="17">[10]LOANS!#REF!</definedName>
    <definedName name="repaymentp" localSheetId="10">[10]LOANS!#REF!</definedName>
    <definedName name="repaymentp" localSheetId="12">[10]LOANS!#REF!</definedName>
    <definedName name="repaymentp">[10]LOANS!#REF!</definedName>
    <definedName name="RESOURCES" localSheetId="16">'[40]ALL TABLES'!#REF!</definedName>
    <definedName name="RESOURCES" localSheetId="14">'[40]ALL TABLES'!#REF!</definedName>
    <definedName name="RESOURCES" localSheetId="19">'[40]ALL TABLES'!#REF!</definedName>
    <definedName name="RESOURCES" localSheetId="24">'[40]ALL TABLES'!#REF!</definedName>
    <definedName name="RESOURCES" localSheetId="21">'[40]ALL TABLES'!#REF!</definedName>
    <definedName name="RESOURCES" localSheetId="8">'[40]ALL TABLES'!#REF!</definedName>
    <definedName name="RESOURCES" localSheetId="6">'[40]ALL TABLES'!#REF!</definedName>
    <definedName name="RESOURCES" localSheetId="1">'[40]ALL TABLES'!#REF!</definedName>
    <definedName name="RESOURCES" localSheetId="17">'[40]ALL TABLES'!#REF!</definedName>
    <definedName name="RESOURCES" localSheetId="10">'[40]ALL TABLES'!#REF!</definedName>
    <definedName name="RESOURCES" localSheetId="12">'[40]ALL TABLES'!#REF!</definedName>
    <definedName name="RESOURCES">'[40]ALL TABLES'!#REF!</definedName>
    <definedName name="RETAIL" localSheetId="25">[32]Sheet11!$C$9</definedName>
    <definedName name="RETAIL">[32]Sheet11!$C$9</definedName>
    <definedName name="retr" localSheetId="16">#REF!</definedName>
    <definedName name="retr" localSheetId="14">#REF!</definedName>
    <definedName name="retr" localSheetId="19">#REF!</definedName>
    <definedName name="retr" localSheetId="24">#REF!</definedName>
    <definedName name="retr" localSheetId="0">#REF!</definedName>
    <definedName name="retr" localSheetId="21">#REF!</definedName>
    <definedName name="retr" localSheetId="8">#REF!</definedName>
    <definedName name="retr" localSheetId="6">#REF!</definedName>
    <definedName name="retr" localSheetId="1">#REF!</definedName>
    <definedName name="retr" localSheetId="25">#REF!</definedName>
    <definedName name="retr" localSheetId="17">#REF!</definedName>
    <definedName name="retr" localSheetId="10">#REF!</definedName>
    <definedName name="retr" localSheetId="12">#REF!</definedName>
    <definedName name="retr">#REF!</definedName>
    <definedName name="RMT" localSheetId="25">[32]Sheet11!$C$8</definedName>
    <definedName name="RMT">[32]Sheet11!$C$8</definedName>
    <definedName name="rrrr" localSheetId="16">[10]LOANS!#REF!</definedName>
    <definedName name="rrrr" localSheetId="14">[10]LOANS!#REF!</definedName>
    <definedName name="rrrr" localSheetId="19">[10]LOANS!#REF!</definedName>
    <definedName name="rrrr" localSheetId="24">[10]LOANS!#REF!</definedName>
    <definedName name="rrrr" localSheetId="0">[11]LOANS!#REF!</definedName>
    <definedName name="rrrr" localSheetId="21">[10]LOANS!#REF!</definedName>
    <definedName name="rrrr" localSheetId="8">[10]LOANS!#REF!</definedName>
    <definedName name="rrrr" localSheetId="6">[10]LOANS!#REF!</definedName>
    <definedName name="rrrr" localSheetId="1">[12]LOANS!#REF!</definedName>
    <definedName name="rrrr" localSheetId="25">[13]LOANS!#REF!</definedName>
    <definedName name="rrrr" localSheetId="17">[10]LOANS!#REF!</definedName>
    <definedName name="rrrr" localSheetId="10">[10]LOANS!#REF!</definedName>
    <definedName name="rrrr" localSheetId="12">[10]LOANS!#REF!</definedName>
    <definedName name="rrrr">[10]LOANS!#REF!</definedName>
    <definedName name="RTL" localSheetId="25">[32]Sheet11!$C$18</definedName>
    <definedName name="RTL">[32]Sheet11!$C$18</definedName>
    <definedName name="S_Adjust_Data" localSheetId="0">[28]Lead!$I$1:$I$523</definedName>
    <definedName name="S_Adjust_Data" localSheetId="1">[29]Lead!$I$1:$I$523</definedName>
    <definedName name="S_Adjust_Data" localSheetId="25">[30]Lead!$I$1:$I$523</definedName>
    <definedName name="S_Adjust_Data">[31]Lead!$I$1:$I$523</definedName>
    <definedName name="S_AJE_Tot_Data" localSheetId="0">[28]Lead!$H$1:$H$523</definedName>
    <definedName name="S_AJE_Tot_Data" localSheetId="1">[29]Lead!$H$1:$H$523</definedName>
    <definedName name="S_AJE_Tot_Data" localSheetId="25">[30]Lead!$H$1:$H$523</definedName>
    <definedName name="S_AJE_Tot_Data">[31]Lead!$H$1:$H$523</definedName>
    <definedName name="S_CY_Beg_Data" localSheetId="0">[28]Lead!$F$1:$F$523</definedName>
    <definedName name="S_CY_Beg_Data" localSheetId="1">[29]Lead!$F$1:$F$523</definedName>
    <definedName name="S_CY_Beg_Data" localSheetId="25">[30]Lead!$F$1:$F$523</definedName>
    <definedName name="S_CY_Beg_Data">[31]Lead!$F$1:$F$523</definedName>
    <definedName name="S_CY_End_Data" localSheetId="0">[28]Lead!$K$1:$K$523</definedName>
    <definedName name="S_CY_End_Data" localSheetId="1">[29]Lead!$K$1:$K$523</definedName>
    <definedName name="S_CY_End_Data" localSheetId="25">[30]Lead!$K$1:$K$523</definedName>
    <definedName name="S_CY_End_Data">[31]Lead!$K$1:$K$523</definedName>
    <definedName name="S_PY_End_Data" localSheetId="0">[28]Lead!$M$1:$M$523</definedName>
    <definedName name="S_PY_End_Data" localSheetId="1">[29]Lead!$M$1:$M$523</definedName>
    <definedName name="S_PY_End_Data" localSheetId="25">[30]Lead!$M$1:$M$523</definedName>
    <definedName name="S_PY_End_Data">[31]Lead!$M$1:$M$523</definedName>
    <definedName name="S_RJE_Tot_Data" localSheetId="0">[28]Lead!$J$1:$J$523</definedName>
    <definedName name="S_RJE_Tot_Data" localSheetId="1">[29]Lead!$J$1:$J$523</definedName>
    <definedName name="S_RJE_Tot_Data" localSheetId="25">[30]Lead!$J$1:$J$523</definedName>
    <definedName name="S_RJE_Tot_Data">[31]Lead!$J$1:$J$523</definedName>
    <definedName name="SalaryArrears" localSheetId="16">[10]LOANS!#REF!</definedName>
    <definedName name="SalaryArrears" localSheetId="14">[10]LOANS!#REF!</definedName>
    <definedName name="SalaryArrears" localSheetId="19">[10]LOANS!#REF!</definedName>
    <definedName name="SalaryArrears" localSheetId="24">[10]LOANS!#REF!</definedName>
    <definedName name="SalaryArrears" localSheetId="0">[11]LOANS!#REF!</definedName>
    <definedName name="SalaryArrears" localSheetId="21">[10]LOANS!#REF!</definedName>
    <definedName name="SalaryArrears" localSheetId="8">[10]LOANS!#REF!</definedName>
    <definedName name="SalaryArrears" localSheetId="6">[10]LOANS!#REF!</definedName>
    <definedName name="SalaryArrears" localSheetId="1">[12]LOANS!#REF!</definedName>
    <definedName name="SalaryArrears" localSheetId="25">[13]LOANS!#REF!</definedName>
    <definedName name="SalaryArrears" localSheetId="17">[10]LOANS!#REF!</definedName>
    <definedName name="SalaryArrears" localSheetId="10">[10]LOANS!#REF!</definedName>
    <definedName name="SalaryArrears" localSheetId="12">[10]LOANS!#REF!</definedName>
    <definedName name="SalaryArrears">[10]LOANS!#REF!</definedName>
    <definedName name="SAPBEXrevision" hidden="1">7</definedName>
    <definedName name="SAPBEXsysID" hidden="1">"FB4"</definedName>
    <definedName name="SAPBEXwbID" hidden="1">"6WMYYDYGVG8D4HJ388TRAAUYH"</definedName>
    <definedName name="score" localSheetId="16">[1]NEWFILE!#REF!</definedName>
    <definedName name="score" localSheetId="14">[1]NEWFILE!#REF!</definedName>
    <definedName name="score" localSheetId="19">[1]NEWFILE!#REF!</definedName>
    <definedName name="score" localSheetId="24">[1]NEWFILE!#REF!</definedName>
    <definedName name="score" localSheetId="0">[1]NEWFILE!#REF!</definedName>
    <definedName name="score" localSheetId="21">[1]NEWFILE!#REF!</definedName>
    <definedName name="score" localSheetId="8">[1]NEWFILE!#REF!</definedName>
    <definedName name="score" localSheetId="6">[1]NEWFILE!#REF!</definedName>
    <definedName name="score" localSheetId="1">[1]NEWFILE!#REF!</definedName>
    <definedName name="score" localSheetId="17">[1]NEWFILE!#REF!</definedName>
    <definedName name="score" localSheetId="10">[1]NEWFILE!#REF!</definedName>
    <definedName name="score" localSheetId="12">[1]NEWFILE!#REF!</definedName>
    <definedName name="score">[1]NEWFILE!#REF!</definedName>
    <definedName name="SerialNumber" localSheetId="16">#REF!</definedName>
    <definedName name="SerialNumber" localSheetId="14">#REF!</definedName>
    <definedName name="SerialNumber" localSheetId="19">#REF!</definedName>
    <definedName name="SerialNumber" localSheetId="24">#REF!</definedName>
    <definedName name="SerialNumber" localSheetId="0">#REF!</definedName>
    <definedName name="SerialNumber" localSheetId="21">#REF!</definedName>
    <definedName name="SerialNumber" localSheetId="8">#REF!</definedName>
    <definedName name="SerialNumber" localSheetId="6">#REF!</definedName>
    <definedName name="SerialNumber" localSheetId="1">#REF!</definedName>
    <definedName name="SerialNumber" localSheetId="25">#REF!</definedName>
    <definedName name="SerialNumber" localSheetId="17">#REF!</definedName>
    <definedName name="SerialNumber" localSheetId="10">#REF!</definedName>
    <definedName name="SerialNumber" localSheetId="12">#REF!</definedName>
    <definedName name="SerialNumber">#REF!</definedName>
    <definedName name="SiteEquipDepr" localSheetId="16">#REF!</definedName>
    <definedName name="SiteEquipDepr" localSheetId="14">#REF!</definedName>
    <definedName name="SiteEquipDepr" localSheetId="19">#REF!</definedName>
    <definedName name="SiteEquipDepr" localSheetId="24">#REF!</definedName>
    <definedName name="SiteEquipDepr" localSheetId="21">#REF!</definedName>
    <definedName name="SiteEquipDepr" localSheetId="8">#REF!</definedName>
    <definedName name="SiteEquipDepr" localSheetId="6">#REF!</definedName>
    <definedName name="SiteEquipDepr" localSheetId="25">#REF!</definedName>
    <definedName name="SiteEquipDepr" localSheetId="17">#REF!</definedName>
    <definedName name="SiteEquipDepr" localSheetId="10">#REF!</definedName>
    <definedName name="SiteEquipDepr" localSheetId="12">#REF!</definedName>
    <definedName name="SiteEquipDepr">#REF!</definedName>
    <definedName name="slipp" localSheetId="16">[10]LOANS!#REF!</definedName>
    <definedName name="slipp" localSheetId="14">[10]LOANS!#REF!</definedName>
    <definedName name="slipp" localSheetId="19">[10]LOANS!#REF!</definedName>
    <definedName name="slipp" localSheetId="24">[10]LOANS!#REF!</definedName>
    <definedName name="slipp" localSheetId="0">[11]LOANS!#REF!</definedName>
    <definedName name="slipp" localSheetId="21">[10]LOANS!#REF!</definedName>
    <definedName name="slipp" localSheetId="8">[10]LOANS!#REF!</definedName>
    <definedName name="slipp" localSheetId="6">[10]LOANS!#REF!</definedName>
    <definedName name="slipp" localSheetId="1">[12]LOANS!#REF!</definedName>
    <definedName name="slipp" localSheetId="25">[13]LOANS!#REF!</definedName>
    <definedName name="slipp" localSheetId="17">[10]LOANS!#REF!</definedName>
    <definedName name="slipp" localSheetId="10">[10]LOANS!#REF!</definedName>
    <definedName name="slipp" localSheetId="12">[10]LOANS!#REF!</definedName>
    <definedName name="slipp">[10]LOANS!#REF!</definedName>
    <definedName name="sore">[9]DATABANK!$A$8:$AI$72</definedName>
    <definedName name="sort">[9]DATABANK!$A$9:$AB$70</definedName>
    <definedName name="sortex">[9]DATABANK!$A$9:$AC$70</definedName>
    <definedName name="Special" localSheetId="16">#REF!</definedName>
    <definedName name="Special" localSheetId="14">#REF!</definedName>
    <definedName name="Special" localSheetId="19">#REF!</definedName>
    <definedName name="Special" localSheetId="24">#REF!</definedName>
    <definedName name="Special" localSheetId="0">#REF!</definedName>
    <definedName name="Special" localSheetId="21">#REF!</definedName>
    <definedName name="Special" localSheetId="8">#REF!</definedName>
    <definedName name="Special" localSheetId="6">#REF!</definedName>
    <definedName name="Special" localSheetId="1">#REF!</definedName>
    <definedName name="Special" localSheetId="25">#REF!</definedName>
    <definedName name="Special" localSheetId="17">#REF!</definedName>
    <definedName name="Special" localSheetId="10">#REF!</definedName>
    <definedName name="Special" localSheetId="12">#REF!</definedName>
    <definedName name="Special">#REF!</definedName>
    <definedName name="specialp" localSheetId="16">[10]LOANS!#REF!</definedName>
    <definedName name="specialp" localSheetId="14">[10]LOANS!#REF!</definedName>
    <definedName name="specialp" localSheetId="19">[10]LOANS!#REF!</definedName>
    <definedName name="specialp" localSheetId="24">[10]LOANS!#REF!</definedName>
    <definedName name="specialp" localSheetId="0">[11]LOANS!#REF!</definedName>
    <definedName name="specialp" localSheetId="21">[10]LOANS!#REF!</definedName>
    <definedName name="specialp" localSheetId="8">[10]LOANS!#REF!</definedName>
    <definedName name="specialp" localSheetId="6">[10]LOANS!#REF!</definedName>
    <definedName name="specialp" localSheetId="1">[12]LOANS!#REF!</definedName>
    <definedName name="specialp" localSheetId="25">[13]LOANS!#REF!</definedName>
    <definedName name="specialp" localSheetId="17">[10]LOANS!#REF!</definedName>
    <definedName name="specialp" localSheetId="10">[10]LOANS!#REF!</definedName>
    <definedName name="specialp" localSheetId="12">[10]LOANS!#REF!</definedName>
    <definedName name="specialp">[10]LOANS!#REF!</definedName>
    <definedName name="StaffStrength" localSheetId="16">#REF!</definedName>
    <definedName name="StaffStrength" localSheetId="14">#REF!</definedName>
    <definedName name="StaffStrength" localSheetId="19">#REF!</definedName>
    <definedName name="StaffStrength" localSheetId="24">#REF!</definedName>
    <definedName name="StaffStrength" localSheetId="0">#REF!</definedName>
    <definedName name="StaffStrength" localSheetId="21">#REF!</definedName>
    <definedName name="StaffStrength" localSheetId="8">#REF!</definedName>
    <definedName name="StaffStrength" localSheetId="6">#REF!</definedName>
    <definedName name="StaffStrength" localSheetId="1">#REF!</definedName>
    <definedName name="StaffStrength" localSheetId="25">#REF!</definedName>
    <definedName name="StaffStrength" localSheetId="17">#REF!</definedName>
    <definedName name="StaffStrength" localSheetId="10">#REF!</definedName>
    <definedName name="StaffStrength" localSheetId="12">#REF!</definedName>
    <definedName name="StaffStrength">#REF!</definedName>
    <definedName name="StartMth" localSheetId="16">#REF!</definedName>
    <definedName name="StartMth" localSheetId="14">#REF!</definedName>
    <definedName name="StartMth" localSheetId="19">#REF!</definedName>
    <definedName name="StartMth" localSheetId="24">#REF!</definedName>
    <definedName name="StartMth" localSheetId="21">#REF!</definedName>
    <definedName name="StartMth" localSheetId="8">#REF!</definedName>
    <definedName name="StartMth" localSheetId="6">#REF!</definedName>
    <definedName name="StartMth" localSheetId="25">#REF!</definedName>
    <definedName name="StartMth" localSheetId="17">#REF!</definedName>
    <definedName name="StartMth" localSheetId="10">#REF!</definedName>
    <definedName name="StartMth" localSheetId="12">#REF!</definedName>
    <definedName name="StartMth">#REF!</definedName>
    <definedName name="Stella_Eze" localSheetId="16">[9]DATABANK!#REF!</definedName>
    <definedName name="Stella_Eze" localSheetId="14">[9]DATABANK!#REF!</definedName>
    <definedName name="Stella_Eze" localSheetId="19">[9]DATABANK!#REF!</definedName>
    <definedName name="Stella_Eze" localSheetId="24">[9]DATABANK!#REF!</definedName>
    <definedName name="Stella_Eze" localSheetId="0">[9]DATABANK!#REF!</definedName>
    <definedName name="Stella_Eze" localSheetId="21">[9]DATABANK!#REF!</definedName>
    <definedName name="Stella_Eze" localSheetId="8">[9]DATABANK!#REF!</definedName>
    <definedName name="Stella_Eze" localSheetId="6">[9]DATABANK!#REF!</definedName>
    <definedName name="Stella_Eze" localSheetId="1">[9]DATABANK!#REF!</definedName>
    <definedName name="Stella_Eze" localSheetId="17">[9]DATABANK!#REF!</definedName>
    <definedName name="Stella_Eze" localSheetId="10">[9]DATABANK!#REF!</definedName>
    <definedName name="Stella_Eze" localSheetId="12">[9]DATABANK!#REF!</definedName>
    <definedName name="Stella_Eze">[9]DATABANK!#REF!</definedName>
    <definedName name="SUPPORT" localSheetId="25">[32]Sheet11!$C$10</definedName>
    <definedName name="SUPPORT">[32]Sheet11!$C$10</definedName>
    <definedName name="SUSP" localSheetId="16">[41]Input!#REF!</definedName>
    <definedName name="SUSP" localSheetId="14">[41]Input!#REF!</definedName>
    <definedName name="SUSP" localSheetId="19">[41]Input!#REF!</definedName>
    <definedName name="SUSP" localSheetId="24">[41]Input!#REF!</definedName>
    <definedName name="SUSP" localSheetId="0">[42]Input!#REF!</definedName>
    <definedName name="SUSP" localSheetId="21">[41]Input!#REF!</definedName>
    <definedName name="SUSP" localSheetId="8">[41]Input!#REF!</definedName>
    <definedName name="SUSP" localSheetId="6">[41]Input!#REF!</definedName>
    <definedName name="SUSP" localSheetId="25">[43]Input!#REF!</definedName>
    <definedName name="SUSP" localSheetId="17">[41]Input!#REF!</definedName>
    <definedName name="SUSP" localSheetId="10">[41]Input!#REF!</definedName>
    <definedName name="SUSP" localSheetId="12">[41]Input!#REF!</definedName>
    <definedName name="SUSP">[41]Input!#REF!</definedName>
    <definedName name="Ta" localSheetId="16">'[10]ANNUAL CTC'!#REF!</definedName>
    <definedName name="Ta" localSheetId="14">'[10]ANNUAL CTC'!#REF!</definedName>
    <definedName name="Ta" localSheetId="19">'[10]ANNUAL CTC'!#REF!</definedName>
    <definedName name="Ta" localSheetId="24">'[10]ANNUAL CTC'!#REF!</definedName>
    <definedName name="Ta" localSheetId="0">'[11]ANNUAL CTC'!#REF!</definedName>
    <definedName name="Ta" localSheetId="21">'[10]ANNUAL CTC'!#REF!</definedName>
    <definedName name="Ta" localSheetId="8">'[10]ANNUAL CTC'!#REF!</definedName>
    <definedName name="Ta" localSheetId="6">'[10]ANNUAL CTC'!#REF!</definedName>
    <definedName name="Ta" localSheetId="1">'[12]ANNUAL CTC'!#REF!</definedName>
    <definedName name="Ta" localSheetId="25">'[13]ANNUAL CTC'!#REF!</definedName>
    <definedName name="Ta" localSheetId="17">'[10]ANNUAL CTC'!#REF!</definedName>
    <definedName name="Ta" localSheetId="10">'[10]ANNUAL CTC'!#REF!</definedName>
    <definedName name="Ta" localSheetId="12">'[10]ANNUAL CTC'!#REF!</definedName>
    <definedName name="Ta">'[10]ANNUAL CTC'!#REF!</definedName>
    <definedName name="Taiwo_Akinlawon" localSheetId="16">[9]DATABANK!#REF!</definedName>
    <definedName name="Taiwo_Akinlawon" localSheetId="14">[9]DATABANK!#REF!</definedName>
    <definedName name="Taiwo_Akinlawon" localSheetId="19">[9]DATABANK!#REF!</definedName>
    <definedName name="Taiwo_Akinlawon" localSheetId="24">[9]DATABANK!#REF!</definedName>
    <definedName name="Taiwo_Akinlawon" localSheetId="0">[9]DATABANK!#REF!</definedName>
    <definedName name="Taiwo_Akinlawon" localSheetId="21">[9]DATABANK!#REF!</definedName>
    <definedName name="Taiwo_Akinlawon" localSheetId="8">[9]DATABANK!#REF!</definedName>
    <definedName name="Taiwo_Akinlawon" localSheetId="6">[9]DATABANK!#REF!</definedName>
    <definedName name="Taiwo_Akinlawon" localSheetId="1">[9]DATABANK!#REF!</definedName>
    <definedName name="Taiwo_Akinlawon" localSheetId="17">[9]DATABANK!#REF!</definedName>
    <definedName name="Taiwo_Akinlawon" localSheetId="10">[9]DATABANK!#REF!</definedName>
    <definedName name="Taiwo_Akinlawon" localSheetId="12">[9]DATABANK!#REF!</definedName>
    <definedName name="Taiwo_Akinlawon">[9]DATABANK!#REF!</definedName>
    <definedName name="Taxable" localSheetId="16">[10]LOANS!#REF!</definedName>
    <definedName name="Taxable" localSheetId="14">[10]LOANS!#REF!</definedName>
    <definedName name="Taxable" localSheetId="19">[10]LOANS!#REF!</definedName>
    <definedName name="Taxable" localSheetId="24">[10]LOANS!#REF!</definedName>
    <definedName name="Taxable" localSheetId="0">[11]LOANS!#REF!</definedName>
    <definedName name="Taxable" localSheetId="21">[10]LOANS!#REF!</definedName>
    <definedName name="Taxable" localSheetId="8">[10]LOANS!#REF!</definedName>
    <definedName name="Taxable" localSheetId="6">[10]LOANS!#REF!</definedName>
    <definedName name="Taxable" localSheetId="1">[12]LOANS!#REF!</definedName>
    <definedName name="Taxable" localSheetId="25">[13]LOANS!#REF!</definedName>
    <definedName name="Taxable" localSheetId="17">[10]LOANS!#REF!</definedName>
    <definedName name="Taxable" localSheetId="10">[10]LOANS!#REF!</definedName>
    <definedName name="Taxable" localSheetId="12">[10]LOANS!#REF!</definedName>
    <definedName name="Taxable">[10]LOANS!#REF!</definedName>
    <definedName name="Taxable2" localSheetId="16">#REF!</definedName>
    <definedName name="Taxable2" localSheetId="14">#REF!</definedName>
    <definedName name="Taxable2" localSheetId="19">#REF!</definedName>
    <definedName name="Taxable2" localSheetId="24">#REF!</definedName>
    <definedName name="Taxable2" localSheetId="0">#REF!</definedName>
    <definedName name="Taxable2" localSheetId="21">#REF!</definedName>
    <definedName name="Taxable2" localSheetId="8">#REF!</definedName>
    <definedName name="Taxable2" localSheetId="6">#REF!</definedName>
    <definedName name="Taxable2" localSheetId="1">#REF!</definedName>
    <definedName name="Taxable2" localSheetId="25">#REF!</definedName>
    <definedName name="Taxable2" localSheetId="17">#REF!</definedName>
    <definedName name="Taxable2" localSheetId="10">#REF!</definedName>
    <definedName name="Taxable2" localSheetId="12">#REF!</definedName>
    <definedName name="Taxable2">#REF!</definedName>
    <definedName name="Taxfreeinyear" localSheetId="16">[10]LOANS!#REF!</definedName>
    <definedName name="Taxfreeinyear" localSheetId="14">[10]LOANS!#REF!</definedName>
    <definedName name="Taxfreeinyear" localSheetId="19">[10]LOANS!#REF!</definedName>
    <definedName name="Taxfreeinyear" localSheetId="24">[10]LOANS!#REF!</definedName>
    <definedName name="Taxfreeinyear" localSheetId="0">[11]LOANS!#REF!</definedName>
    <definedName name="Taxfreeinyear" localSheetId="21">[10]LOANS!#REF!</definedName>
    <definedName name="Taxfreeinyear" localSheetId="8">[10]LOANS!#REF!</definedName>
    <definedName name="Taxfreeinyear" localSheetId="6">[10]LOANS!#REF!</definedName>
    <definedName name="Taxfreeinyear" localSheetId="1">[12]LOANS!#REF!</definedName>
    <definedName name="Taxfreeinyear" localSheetId="25">[13]LOANS!#REF!</definedName>
    <definedName name="Taxfreeinyear" localSheetId="17">[10]LOANS!#REF!</definedName>
    <definedName name="Taxfreeinyear" localSheetId="10">[10]LOANS!#REF!</definedName>
    <definedName name="Taxfreeinyear" localSheetId="12">[10]LOANS!#REF!</definedName>
    <definedName name="Taxfreeinyear">[10]LOANS!#REF!</definedName>
    <definedName name="TaxRate" localSheetId="0">[5]Input!$B$7</definedName>
    <definedName name="TaxRate" localSheetId="1">[6]Input!$B$7</definedName>
    <definedName name="TaxRate" localSheetId="25">[7]Input!$B$7</definedName>
    <definedName name="TaxRate">[8]Input!$B$7</definedName>
    <definedName name="TaxTable" localSheetId="16">#REF!</definedName>
    <definedName name="TaxTable" localSheetId="14">#REF!</definedName>
    <definedName name="TaxTable" localSheetId="19">#REF!</definedName>
    <definedName name="TaxTable" localSheetId="24">#REF!</definedName>
    <definedName name="TaxTable" localSheetId="0">#REF!</definedName>
    <definedName name="TaxTable" localSheetId="21">#REF!</definedName>
    <definedName name="TaxTable" localSheetId="8">#REF!</definedName>
    <definedName name="TaxTable" localSheetId="6">#REF!</definedName>
    <definedName name="TaxTable" localSheetId="1">#REF!</definedName>
    <definedName name="TaxTable" localSheetId="25">#REF!</definedName>
    <definedName name="TaxTable" localSheetId="17">#REF!</definedName>
    <definedName name="TaxTable" localSheetId="10">#REF!</definedName>
    <definedName name="TaxTable" localSheetId="12">#REF!</definedName>
    <definedName name="TaxTable">#REF!</definedName>
    <definedName name="TaxTable2" localSheetId="16">#REF!</definedName>
    <definedName name="TaxTable2" localSheetId="14">#REF!</definedName>
    <definedName name="TaxTable2" localSheetId="19">#REF!</definedName>
    <definedName name="TaxTable2" localSheetId="24">#REF!</definedName>
    <definedName name="TaxTable2" localSheetId="21">#REF!</definedName>
    <definedName name="TaxTable2" localSheetId="8">#REF!</definedName>
    <definedName name="TaxTable2" localSheetId="6">#REF!</definedName>
    <definedName name="TaxTable2" localSheetId="25">#REF!</definedName>
    <definedName name="TaxTable2" localSheetId="17">#REF!</definedName>
    <definedName name="TaxTable2" localSheetId="10">#REF!</definedName>
    <definedName name="TaxTable2" localSheetId="12">#REF!</definedName>
    <definedName name="TaxTable2">#REF!</definedName>
    <definedName name="Taxy">[9]DATABANK!$A$91:$E$98</definedName>
    <definedName name="td" localSheetId="16">[10]LOANS!#REF!</definedName>
    <definedName name="td" localSheetId="14">[10]LOANS!#REF!</definedName>
    <definedName name="td" localSheetId="19">[10]LOANS!#REF!</definedName>
    <definedName name="td" localSheetId="24">[10]LOANS!#REF!</definedName>
    <definedName name="td" localSheetId="0">[11]LOANS!#REF!</definedName>
    <definedName name="td" localSheetId="21">[10]LOANS!#REF!</definedName>
    <definedName name="td" localSheetId="8">[10]LOANS!#REF!</definedName>
    <definedName name="td" localSheetId="6">[10]LOANS!#REF!</definedName>
    <definedName name="td" localSheetId="1">[12]LOANS!#REF!</definedName>
    <definedName name="td" localSheetId="25">[13]LOANS!#REF!</definedName>
    <definedName name="td" localSheetId="17">[10]LOANS!#REF!</definedName>
    <definedName name="td" localSheetId="10">[10]LOANS!#REF!</definedName>
    <definedName name="td" localSheetId="12">[10]LOANS!#REF!</definedName>
    <definedName name="td">[10]LOANS!#REF!</definedName>
    <definedName name="Term" localSheetId="16">#REF!</definedName>
    <definedName name="Term" localSheetId="14">#REF!</definedName>
    <definedName name="Term" localSheetId="19">#REF!</definedName>
    <definedName name="Term" localSheetId="24">#REF!</definedName>
    <definedName name="Term" localSheetId="0">#REF!</definedName>
    <definedName name="Term" localSheetId="21">#REF!</definedName>
    <definedName name="Term" localSheetId="8">#REF!</definedName>
    <definedName name="Term" localSheetId="6">#REF!</definedName>
    <definedName name="Term" localSheetId="1">#REF!</definedName>
    <definedName name="Term" localSheetId="25">#REF!</definedName>
    <definedName name="Term" localSheetId="17">#REF!</definedName>
    <definedName name="Term" localSheetId="10">#REF!</definedName>
    <definedName name="Term" localSheetId="12">#REF!</definedName>
    <definedName name="Term">#REF!</definedName>
    <definedName name="term1" localSheetId="16">#REF!</definedName>
    <definedName name="term1" localSheetId="14">#REF!</definedName>
    <definedName name="term1" localSheetId="19">#REF!</definedName>
    <definedName name="term1" localSheetId="24">#REF!</definedName>
    <definedName name="term1" localSheetId="21">#REF!</definedName>
    <definedName name="term1" localSheetId="8">#REF!</definedName>
    <definedName name="term1" localSheetId="6">#REF!</definedName>
    <definedName name="term1" localSheetId="25">#REF!</definedName>
    <definedName name="term1" localSheetId="17">#REF!</definedName>
    <definedName name="term1" localSheetId="10">#REF!</definedName>
    <definedName name="term1" localSheetId="12">#REF!</definedName>
    <definedName name="term1">#REF!</definedName>
    <definedName name="TEST0" localSheetId="16">#REF!</definedName>
    <definedName name="TEST0" localSheetId="14">#REF!</definedName>
    <definedName name="TEST0" localSheetId="19">#REF!</definedName>
    <definedName name="TEST0" localSheetId="24">#REF!</definedName>
    <definedName name="TEST0" localSheetId="21">#REF!</definedName>
    <definedName name="TEST0" localSheetId="8">#REF!</definedName>
    <definedName name="TEST0" localSheetId="6">#REF!</definedName>
    <definedName name="TEST0" localSheetId="25">#REF!</definedName>
    <definedName name="TEST0" localSheetId="17">#REF!</definedName>
    <definedName name="TEST0" localSheetId="10">#REF!</definedName>
    <definedName name="TEST0" localSheetId="12">#REF!</definedName>
    <definedName name="TEST0">#REF!</definedName>
    <definedName name="TESTHKEY" localSheetId="16">#REF!</definedName>
    <definedName name="TESTHKEY" localSheetId="14">#REF!</definedName>
    <definedName name="TESTHKEY" localSheetId="19">#REF!</definedName>
    <definedName name="TESTHKEY" localSheetId="24">#REF!</definedName>
    <definedName name="TESTHKEY" localSheetId="21">#REF!</definedName>
    <definedName name="TESTHKEY" localSheetId="8">#REF!</definedName>
    <definedName name="TESTHKEY" localSheetId="6">#REF!</definedName>
    <definedName name="TESTHKEY" localSheetId="25">#REF!</definedName>
    <definedName name="TESTHKEY" localSheetId="17">#REF!</definedName>
    <definedName name="TESTHKEY" localSheetId="10">#REF!</definedName>
    <definedName name="TESTHKEY" localSheetId="12">#REF!</definedName>
    <definedName name="TESTHKEY">#REF!</definedName>
    <definedName name="TESTKEYS" localSheetId="16">#REF!</definedName>
    <definedName name="TESTKEYS" localSheetId="14">#REF!</definedName>
    <definedName name="TESTKEYS" localSheetId="19">#REF!</definedName>
    <definedName name="TESTKEYS" localSheetId="24">#REF!</definedName>
    <definedName name="TESTKEYS" localSheetId="21">#REF!</definedName>
    <definedName name="TESTKEYS" localSheetId="8">#REF!</definedName>
    <definedName name="TESTKEYS" localSheetId="6">#REF!</definedName>
    <definedName name="TESTKEYS" localSheetId="25">#REF!</definedName>
    <definedName name="TESTKEYS" localSheetId="17">#REF!</definedName>
    <definedName name="TESTKEYS" localSheetId="10">#REF!</definedName>
    <definedName name="TESTKEYS" localSheetId="12">#REF!</definedName>
    <definedName name="TESTKEYS">#REF!</definedName>
    <definedName name="TESTVKEY" localSheetId="16">#REF!</definedName>
    <definedName name="TESTVKEY" localSheetId="14">#REF!</definedName>
    <definedName name="TESTVKEY" localSheetId="19">#REF!</definedName>
    <definedName name="TESTVKEY" localSheetId="24">#REF!</definedName>
    <definedName name="TESTVKEY" localSheetId="21">#REF!</definedName>
    <definedName name="TESTVKEY" localSheetId="8">#REF!</definedName>
    <definedName name="TESTVKEY" localSheetId="6">#REF!</definedName>
    <definedName name="TESTVKEY" localSheetId="25">#REF!</definedName>
    <definedName name="TESTVKEY" localSheetId="17">#REF!</definedName>
    <definedName name="TESTVKEY" localSheetId="10">#REF!</definedName>
    <definedName name="TESTVKEY" localSheetId="12">#REF!</definedName>
    <definedName name="TESTVKEY">#REF!</definedName>
    <definedName name="TextRefCopy1" localSheetId="16">#REF!</definedName>
    <definedName name="TextRefCopy1" localSheetId="14">#REF!</definedName>
    <definedName name="TextRefCopy1" localSheetId="19">#REF!</definedName>
    <definedName name="TextRefCopy1" localSheetId="24">#REF!</definedName>
    <definedName name="TextRefCopy1" localSheetId="21">#REF!</definedName>
    <definedName name="TextRefCopy1" localSheetId="8">#REF!</definedName>
    <definedName name="TextRefCopy1" localSheetId="6">#REF!</definedName>
    <definedName name="TextRefCopy1" localSheetId="25">#REF!</definedName>
    <definedName name="TextRefCopy1" localSheetId="17">#REF!</definedName>
    <definedName name="TextRefCopy1" localSheetId="10">#REF!</definedName>
    <definedName name="TextRefCopy1" localSheetId="12">#REF!</definedName>
    <definedName name="TextRefCopy1">#REF!</definedName>
    <definedName name="TextRefCopy100" localSheetId="0">[44]PL!$I$29</definedName>
    <definedName name="TextRefCopy100" localSheetId="1">[45]PL!$I$29</definedName>
    <definedName name="TextRefCopy100">[46]PL!$I$29</definedName>
    <definedName name="TextRefCopy11" localSheetId="0">#REF!</definedName>
    <definedName name="TextRefCopy11" localSheetId="1">#REF!</definedName>
    <definedName name="TextRefCopy11" localSheetId="25">'[47]note 4-6'!$G$71</definedName>
    <definedName name="TextRefCopy11">'[47]note 4-6'!$G$71</definedName>
    <definedName name="TextRefCopy14" localSheetId="0">[44]PL!$I$37</definedName>
    <definedName name="TextRefCopy14" localSheetId="1">[45]PL!$I$37</definedName>
    <definedName name="TextRefCopy14">[46]PL!$I$37</definedName>
    <definedName name="TextRefCopy15" localSheetId="0">[44]BS!$J$34</definedName>
    <definedName name="TextRefCopy15" localSheetId="1">[45]BS!$J$34</definedName>
    <definedName name="TextRefCopy15">[46]BS!$J$34</definedName>
    <definedName name="TextRefCopy2" localSheetId="0">[44]BS!$J$11</definedName>
    <definedName name="TextRefCopy2" localSheetId="1">[45]BS!$J$11</definedName>
    <definedName name="TextRefCopy2">[46]BS!$J$11</definedName>
    <definedName name="TextRefCopy3" localSheetId="0">[44]BS!$J$12</definedName>
    <definedName name="TextRefCopy3" localSheetId="1">[45]BS!$J$12</definedName>
    <definedName name="TextRefCopy3">[46]BS!$J$12</definedName>
    <definedName name="TextRefCopy34" localSheetId="0">'[48]note 7-11'!$O$44</definedName>
    <definedName name="TextRefCopy34" localSheetId="1">'[48]note 7-11'!$O$44</definedName>
    <definedName name="TextRefCopy34" localSheetId="25">'[49]note 7-11'!$O$44</definedName>
    <definedName name="TextRefCopy34">'[50]note 7-11'!$O$44</definedName>
    <definedName name="TextRefCopy45" localSheetId="16">#REF!</definedName>
    <definedName name="TextRefCopy45" localSheetId="14">#REF!</definedName>
    <definedName name="TextRefCopy45" localSheetId="19">#REF!</definedName>
    <definedName name="TextRefCopy45" localSheetId="24">#REF!</definedName>
    <definedName name="TextRefCopy45" localSheetId="0">#REF!</definedName>
    <definedName name="TextRefCopy45" localSheetId="21">#REF!</definedName>
    <definedName name="TextRefCopy45" localSheetId="8">#REF!</definedName>
    <definedName name="TextRefCopy45" localSheetId="6">#REF!</definedName>
    <definedName name="TextRefCopy45" localSheetId="1">#REF!</definedName>
    <definedName name="TextRefCopy45" localSheetId="25">#REF!</definedName>
    <definedName name="TextRefCopy45" localSheetId="17">#REF!</definedName>
    <definedName name="TextRefCopy45" localSheetId="10">#REF!</definedName>
    <definedName name="TextRefCopy45" localSheetId="12">#REF!</definedName>
    <definedName name="TextRefCopy45">#REF!</definedName>
    <definedName name="TextRefCopy47" localSheetId="0">[44]PL!$I$19</definedName>
    <definedName name="TextRefCopy47" localSheetId="1">[45]PL!$I$19</definedName>
    <definedName name="TextRefCopy47">[46]PL!$I$19</definedName>
    <definedName name="TextRefCopy48" localSheetId="16">#REF!</definedName>
    <definedName name="TextRefCopy48" localSheetId="14">#REF!</definedName>
    <definedName name="TextRefCopy48" localSheetId="19">#REF!</definedName>
    <definedName name="TextRefCopy48" localSheetId="24">#REF!</definedName>
    <definedName name="TextRefCopy48" localSheetId="0">#REF!</definedName>
    <definedName name="TextRefCopy48" localSheetId="21">#REF!</definedName>
    <definedName name="TextRefCopy48" localSheetId="8">#REF!</definedName>
    <definedName name="TextRefCopy48" localSheetId="6">#REF!</definedName>
    <definedName name="TextRefCopy48" localSheetId="1">#REF!</definedName>
    <definedName name="TextRefCopy48" localSheetId="25">#REF!</definedName>
    <definedName name="TextRefCopy48" localSheetId="17">#REF!</definedName>
    <definedName name="TextRefCopy48" localSheetId="10">#REF!</definedName>
    <definedName name="TextRefCopy48" localSheetId="12">#REF!</definedName>
    <definedName name="TextRefCopy48">#REF!</definedName>
    <definedName name="TextRefCopy49" localSheetId="0">[44]PL!$I$32</definedName>
    <definedName name="TextRefCopy49" localSheetId="1">[45]PL!$I$32</definedName>
    <definedName name="TextRefCopy49">[46]PL!$I$32</definedName>
    <definedName name="TextRefCopy50" localSheetId="0">[44]PL!$I$41</definedName>
    <definedName name="TextRefCopy50" localSheetId="1">[45]PL!$I$41</definedName>
    <definedName name="TextRefCopy50">[46]PL!$I$41</definedName>
    <definedName name="TextRefCopy51" localSheetId="0">[44]PL!$I$16</definedName>
    <definedName name="TextRefCopy51" localSheetId="1">[45]PL!$I$16</definedName>
    <definedName name="TextRefCopy51">[46]PL!$I$16</definedName>
    <definedName name="TextRefCopy52" localSheetId="0">[44]PL!$I$25</definedName>
    <definedName name="TextRefCopy52" localSheetId="1">[45]PL!$I$25</definedName>
    <definedName name="TextRefCopy52">[46]PL!$I$25</definedName>
    <definedName name="TextRefCopy53" localSheetId="0">[44]PL!$I$39</definedName>
    <definedName name="TextRefCopy53" localSheetId="1">[45]PL!$I$39</definedName>
    <definedName name="TextRefCopy53">[46]PL!$I$39</definedName>
    <definedName name="TextRefCopy54" localSheetId="0">[44]PL!$I$38</definedName>
    <definedName name="TextRefCopy54" localSheetId="1">[45]PL!$I$38</definedName>
    <definedName name="TextRefCopy54">[46]PL!$I$38</definedName>
    <definedName name="TextRefCopy55" localSheetId="0">[44]PL!$I$42</definedName>
    <definedName name="TextRefCopy55" localSheetId="1">[45]PL!$I$42</definedName>
    <definedName name="TextRefCopy55">[46]PL!$I$42</definedName>
    <definedName name="TextRefCopy56" localSheetId="16">#REF!</definedName>
    <definedName name="TextRefCopy56" localSheetId="14">#REF!</definedName>
    <definedName name="TextRefCopy56" localSheetId="19">#REF!</definedName>
    <definedName name="TextRefCopy56" localSheetId="24">#REF!</definedName>
    <definedName name="TextRefCopy56" localSheetId="0">#REF!</definedName>
    <definedName name="TextRefCopy56" localSheetId="21">#REF!</definedName>
    <definedName name="TextRefCopy56" localSheetId="8">#REF!</definedName>
    <definedName name="TextRefCopy56" localSheetId="6">#REF!</definedName>
    <definedName name="TextRefCopy56" localSheetId="1">#REF!</definedName>
    <definedName name="TextRefCopy56" localSheetId="25">#REF!</definedName>
    <definedName name="TextRefCopy56" localSheetId="17">#REF!</definedName>
    <definedName name="TextRefCopy56" localSheetId="10">#REF!</definedName>
    <definedName name="TextRefCopy56" localSheetId="12">#REF!</definedName>
    <definedName name="TextRefCopy56">#REF!</definedName>
    <definedName name="TextRefCopy57" localSheetId="0">[44]PL!$I$45</definedName>
    <definedName name="TextRefCopy57" localSheetId="1">[45]PL!$I$45</definedName>
    <definedName name="TextRefCopy57">[46]PL!$I$45</definedName>
    <definedName name="TextRefCopy59" localSheetId="16">#REF!</definedName>
    <definedName name="TextRefCopy59" localSheetId="14">#REF!</definedName>
    <definedName name="TextRefCopy59" localSheetId="19">#REF!</definedName>
    <definedName name="TextRefCopy59" localSheetId="24">#REF!</definedName>
    <definedName name="TextRefCopy59" localSheetId="0">#REF!</definedName>
    <definedName name="TextRefCopy59" localSheetId="21">#REF!</definedName>
    <definedName name="TextRefCopy59" localSheetId="8">#REF!</definedName>
    <definedName name="TextRefCopy59" localSheetId="6">#REF!</definedName>
    <definedName name="TextRefCopy59" localSheetId="1">#REF!</definedName>
    <definedName name="TextRefCopy59" localSheetId="25">#REF!</definedName>
    <definedName name="TextRefCopy59" localSheetId="17">#REF!</definedName>
    <definedName name="TextRefCopy59" localSheetId="10">#REF!</definedName>
    <definedName name="TextRefCopy59" localSheetId="12">#REF!</definedName>
    <definedName name="TextRefCopy59">#REF!</definedName>
    <definedName name="TextRefCopy60" localSheetId="16">#REF!</definedName>
    <definedName name="TextRefCopy60" localSheetId="14">#REF!</definedName>
    <definedName name="TextRefCopy60" localSheetId="19">#REF!</definedName>
    <definedName name="TextRefCopy60" localSheetId="24">#REF!</definedName>
    <definedName name="TextRefCopy60" localSheetId="21">#REF!</definedName>
    <definedName name="TextRefCopy60" localSheetId="8">#REF!</definedName>
    <definedName name="TextRefCopy60" localSheetId="6">#REF!</definedName>
    <definedName name="TextRefCopy60" localSheetId="25">#REF!</definedName>
    <definedName name="TextRefCopy60" localSheetId="17">#REF!</definedName>
    <definedName name="TextRefCopy60" localSheetId="10">#REF!</definedName>
    <definedName name="TextRefCopy60" localSheetId="12">#REF!</definedName>
    <definedName name="TextRefCopy60">#REF!</definedName>
    <definedName name="TextRefCopy61" localSheetId="16">#REF!</definedName>
    <definedName name="TextRefCopy61" localSheetId="14">#REF!</definedName>
    <definedName name="TextRefCopy61" localSheetId="19">#REF!</definedName>
    <definedName name="TextRefCopy61" localSheetId="24">#REF!</definedName>
    <definedName name="TextRefCopy61" localSheetId="21">#REF!</definedName>
    <definedName name="TextRefCopy61" localSheetId="8">#REF!</definedName>
    <definedName name="TextRefCopy61" localSheetId="6">#REF!</definedName>
    <definedName name="TextRefCopy61" localSheetId="25">#REF!</definedName>
    <definedName name="TextRefCopy61" localSheetId="17">#REF!</definedName>
    <definedName name="TextRefCopy61" localSheetId="10">#REF!</definedName>
    <definedName name="TextRefCopy61" localSheetId="12">#REF!</definedName>
    <definedName name="TextRefCopy61">#REF!</definedName>
    <definedName name="TextRefCopy62" localSheetId="16">#REF!</definedName>
    <definedName name="TextRefCopy62" localSheetId="14">#REF!</definedName>
    <definedName name="TextRefCopy62" localSheetId="19">#REF!</definedName>
    <definedName name="TextRefCopy62" localSheetId="24">#REF!</definedName>
    <definedName name="TextRefCopy62" localSheetId="21">#REF!</definedName>
    <definedName name="TextRefCopy62" localSheetId="8">#REF!</definedName>
    <definedName name="TextRefCopy62" localSheetId="6">#REF!</definedName>
    <definedName name="TextRefCopy62" localSheetId="25">#REF!</definedName>
    <definedName name="TextRefCopy62" localSheetId="17">#REF!</definedName>
    <definedName name="TextRefCopy62" localSheetId="10">#REF!</definedName>
    <definedName name="TextRefCopy62" localSheetId="12">#REF!</definedName>
    <definedName name="TextRefCopy62">#REF!</definedName>
    <definedName name="TextRefCopy66" localSheetId="16">#REF!</definedName>
    <definedName name="TextRefCopy66" localSheetId="14">#REF!</definedName>
    <definedName name="TextRefCopy66" localSheetId="19">#REF!</definedName>
    <definedName name="TextRefCopy66" localSheetId="24">#REF!</definedName>
    <definedName name="TextRefCopy66" localSheetId="21">#REF!</definedName>
    <definedName name="TextRefCopy66" localSheetId="8">#REF!</definedName>
    <definedName name="TextRefCopy66" localSheetId="6">#REF!</definedName>
    <definedName name="TextRefCopy66" localSheetId="25">#REF!</definedName>
    <definedName name="TextRefCopy66" localSheetId="17">#REF!</definedName>
    <definedName name="TextRefCopy66" localSheetId="10">#REF!</definedName>
    <definedName name="TextRefCopy66" localSheetId="12">#REF!</definedName>
    <definedName name="TextRefCopy66">#REF!</definedName>
    <definedName name="TextRefCopy67" localSheetId="16">#REF!</definedName>
    <definedName name="TextRefCopy67" localSheetId="14">#REF!</definedName>
    <definedName name="TextRefCopy67" localSheetId="19">#REF!</definedName>
    <definedName name="TextRefCopy67" localSheetId="24">#REF!</definedName>
    <definedName name="TextRefCopy67" localSheetId="21">#REF!</definedName>
    <definedName name="TextRefCopy67" localSheetId="8">#REF!</definedName>
    <definedName name="TextRefCopy67" localSheetId="6">#REF!</definedName>
    <definedName name="TextRefCopy67" localSheetId="25">#REF!</definedName>
    <definedName name="TextRefCopy67" localSheetId="17">#REF!</definedName>
    <definedName name="TextRefCopy67" localSheetId="10">#REF!</definedName>
    <definedName name="TextRefCopy67" localSheetId="12">#REF!</definedName>
    <definedName name="TextRefCopy67">#REF!</definedName>
    <definedName name="TextRefCopy68" localSheetId="16">#REF!</definedName>
    <definedName name="TextRefCopy68" localSheetId="14">#REF!</definedName>
    <definedName name="TextRefCopy68" localSheetId="19">#REF!</definedName>
    <definedName name="TextRefCopy68" localSheetId="24">#REF!</definedName>
    <definedName name="TextRefCopy68" localSheetId="21">#REF!</definedName>
    <definedName name="TextRefCopy68" localSheetId="8">#REF!</definedName>
    <definedName name="TextRefCopy68" localSheetId="6">#REF!</definedName>
    <definedName name="TextRefCopy68" localSheetId="25">#REF!</definedName>
    <definedName name="TextRefCopy68" localSheetId="17">#REF!</definedName>
    <definedName name="TextRefCopy68" localSheetId="10">#REF!</definedName>
    <definedName name="TextRefCopy68" localSheetId="12">#REF!</definedName>
    <definedName name="TextRefCopy68">#REF!</definedName>
    <definedName name="TextRefCopy69" localSheetId="16">#REF!</definedName>
    <definedName name="TextRefCopy69" localSheetId="14">#REF!</definedName>
    <definedName name="TextRefCopy69" localSheetId="19">#REF!</definedName>
    <definedName name="TextRefCopy69" localSheetId="24">#REF!</definedName>
    <definedName name="TextRefCopy69" localSheetId="21">#REF!</definedName>
    <definedName name="TextRefCopy69" localSheetId="8">#REF!</definedName>
    <definedName name="TextRefCopy69" localSheetId="6">#REF!</definedName>
    <definedName name="TextRefCopy69" localSheetId="25">#REF!</definedName>
    <definedName name="TextRefCopy69" localSheetId="17">#REF!</definedName>
    <definedName name="TextRefCopy69" localSheetId="10">#REF!</definedName>
    <definedName name="TextRefCopy69" localSheetId="12">#REF!</definedName>
    <definedName name="TextRefCopy69">#REF!</definedName>
    <definedName name="TextRefCopy70" localSheetId="16">#REF!</definedName>
    <definedName name="TextRefCopy70" localSheetId="14">#REF!</definedName>
    <definedName name="TextRefCopy70" localSheetId="19">#REF!</definedName>
    <definedName name="TextRefCopy70" localSheetId="24">#REF!</definedName>
    <definedName name="TextRefCopy70" localSheetId="21">#REF!</definedName>
    <definedName name="TextRefCopy70" localSheetId="8">#REF!</definedName>
    <definedName name="TextRefCopy70" localSheetId="6">#REF!</definedName>
    <definedName name="TextRefCopy70" localSheetId="25">#REF!</definedName>
    <definedName name="TextRefCopy70" localSheetId="17">#REF!</definedName>
    <definedName name="TextRefCopy70" localSheetId="10">#REF!</definedName>
    <definedName name="TextRefCopy70" localSheetId="12">#REF!</definedName>
    <definedName name="TextRefCopy70">#REF!</definedName>
    <definedName name="TextRefCopy8" localSheetId="0">'[51]N.7-9'!$H$47</definedName>
    <definedName name="TextRefCopy8" localSheetId="1">'[52]N.7-9'!$H$47</definedName>
    <definedName name="TextRefCopy8">'[53]N.7-9'!$H$47</definedName>
    <definedName name="TextRefCopy9" localSheetId="0">[44]BS!$J$27</definedName>
    <definedName name="TextRefCopy9" localSheetId="1">[45]BS!$J$27</definedName>
    <definedName name="TextRefCopy9">[46]BS!$J$27</definedName>
    <definedName name="TextRefCopy97" localSheetId="16">#REF!</definedName>
    <definedName name="TextRefCopy97" localSheetId="14">#REF!</definedName>
    <definedName name="TextRefCopy97" localSheetId="19">#REF!</definedName>
    <definedName name="TextRefCopy97" localSheetId="24">#REF!</definedName>
    <definedName name="TextRefCopy97" localSheetId="0">#REF!</definedName>
    <definedName name="TextRefCopy97" localSheetId="21">#REF!</definedName>
    <definedName name="TextRefCopy97" localSheetId="8">#REF!</definedName>
    <definedName name="TextRefCopy97" localSheetId="6">#REF!</definedName>
    <definedName name="TextRefCopy97" localSheetId="1">#REF!</definedName>
    <definedName name="TextRefCopy97" localSheetId="25">#REF!</definedName>
    <definedName name="TextRefCopy97" localSheetId="17">#REF!</definedName>
    <definedName name="TextRefCopy97" localSheetId="10">#REF!</definedName>
    <definedName name="TextRefCopy97" localSheetId="12">#REF!</definedName>
    <definedName name="TextRefCopy97">#REF!</definedName>
    <definedName name="TextRefCopy98" localSheetId="16">#REF!</definedName>
    <definedName name="TextRefCopy98" localSheetId="14">#REF!</definedName>
    <definedName name="TextRefCopy98" localSheetId="19">#REF!</definedName>
    <definedName name="TextRefCopy98" localSheetId="24">#REF!</definedName>
    <definedName name="TextRefCopy98" localSheetId="21">#REF!</definedName>
    <definedName name="TextRefCopy98" localSheetId="8">#REF!</definedName>
    <definedName name="TextRefCopy98" localSheetId="6">#REF!</definedName>
    <definedName name="TextRefCopy98" localSheetId="25">#REF!</definedName>
    <definedName name="TextRefCopy98" localSheetId="17">#REF!</definedName>
    <definedName name="TextRefCopy98" localSheetId="10">#REF!</definedName>
    <definedName name="TextRefCopy98" localSheetId="12">#REF!</definedName>
    <definedName name="TextRefCopy98">#REF!</definedName>
    <definedName name="TextRefCopy99" localSheetId="16">#REF!</definedName>
    <definedName name="TextRefCopy99" localSheetId="14">#REF!</definedName>
    <definedName name="TextRefCopy99" localSheetId="19">#REF!</definedName>
    <definedName name="TextRefCopy99" localSheetId="24">#REF!</definedName>
    <definedName name="TextRefCopy99" localSheetId="21">#REF!</definedName>
    <definedName name="TextRefCopy99" localSheetId="8">#REF!</definedName>
    <definedName name="TextRefCopy99" localSheetId="6">#REF!</definedName>
    <definedName name="TextRefCopy99" localSheetId="25">#REF!</definedName>
    <definedName name="TextRefCopy99" localSheetId="17">#REF!</definedName>
    <definedName name="TextRefCopy99" localSheetId="10">#REF!</definedName>
    <definedName name="TextRefCopy99" localSheetId="12">#REF!</definedName>
    <definedName name="TextRefCopy99">#REF!</definedName>
    <definedName name="TextRefCopyRangeCount" hidden="1">15</definedName>
    <definedName name="Thirteenth" localSheetId="16">#REF!</definedName>
    <definedName name="Thirteenth" localSheetId="14">#REF!</definedName>
    <definedName name="Thirteenth" localSheetId="19">#REF!</definedName>
    <definedName name="Thirteenth" localSheetId="24">#REF!</definedName>
    <definedName name="Thirteenth" localSheetId="0">#REF!</definedName>
    <definedName name="Thirteenth" localSheetId="21">#REF!</definedName>
    <definedName name="Thirteenth" localSheetId="8">#REF!</definedName>
    <definedName name="Thirteenth" localSheetId="6">#REF!</definedName>
    <definedName name="Thirteenth" localSheetId="1">#REF!</definedName>
    <definedName name="Thirteenth" localSheetId="25">#REF!</definedName>
    <definedName name="Thirteenth" localSheetId="17">#REF!</definedName>
    <definedName name="Thirteenth" localSheetId="10">#REF!</definedName>
    <definedName name="Thirteenth" localSheetId="12">#REF!</definedName>
    <definedName name="Thirteenth">#REF!</definedName>
    <definedName name="TL\SWAP">'[14]BALSHEET TEMPLATE:LCY BALSHEET WKS'!$A$1178:$Q$1272</definedName>
    <definedName name="TRADING" localSheetId="25">[32]Sheet11!$C$7</definedName>
    <definedName name="TRADING">[32]Sheet11!$C$7</definedName>
    <definedName name="transtotal" localSheetId="16">[10]LOANS!#REF!</definedName>
    <definedName name="transtotal" localSheetId="14">[10]LOANS!#REF!</definedName>
    <definedName name="transtotal" localSheetId="19">[10]LOANS!#REF!</definedName>
    <definedName name="transtotal" localSheetId="24">[10]LOANS!#REF!</definedName>
    <definedName name="transtotal" localSheetId="0">[11]LOANS!#REF!</definedName>
    <definedName name="transtotal" localSheetId="21">[10]LOANS!#REF!</definedName>
    <definedName name="transtotal" localSheetId="8">[10]LOANS!#REF!</definedName>
    <definedName name="transtotal" localSheetId="6">[10]LOANS!#REF!</definedName>
    <definedName name="transtotal" localSheetId="1">[12]LOANS!#REF!</definedName>
    <definedName name="transtotal" localSheetId="25">[13]LOANS!#REF!</definedName>
    <definedName name="transtotal" localSheetId="17">[10]LOANS!#REF!</definedName>
    <definedName name="transtotal" localSheetId="10">[10]LOANS!#REF!</definedName>
    <definedName name="transtotal" localSheetId="12">[10]LOANS!#REF!</definedName>
    <definedName name="transtotal">[10]LOANS!#REF!</definedName>
    <definedName name="TYPEA" localSheetId="16">#REF!</definedName>
    <definedName name="TYPEA" localSheetId="14">#REF!</definedName>
    <definedName name="TYPEA" localSheetId="19">#REF!</definedName>
    <definedName name="TYPEA" localSheetId="24">#REF!</definedName>
    <definedName name="TYPEA" localSheetId="0">#REF!</definedName>
    <definedName name="TYPEA" localSheetId="21">#REF!</definedName>
    <definedName name="TYPEA" localSheetId="8">#REF!</definedName>
    <definedName name="TYPEA" localSheetId="6">#REF!</definedName>
    <definedName name="TYPEA" localSheetId="1">#REF!</definedName>
    <definedName name="TYPEA" localSheetId="25">#REF!</definedName>
    <definedName name="TYPEA" localSheetId="17">#REF!</definedName>
    <definedName name="TYPEA" localSheetId="10">#REF!</definedName>
    <definedName name="TYPEA" localSheetId="12">#REF!</definedName>
    <definedName name="TYPEA">#REF!</definedName>
    <definedName name="TYPEB" localSheetId="16">#REF!</definedName>
    <definedName name="TYPEB" localSheetId="14">#REF!</definedName>
    <definedName name="TYPEB" localSheetId="19">#REF!</definedName>
    <definedName name="TYPEB" localSheetId="24">#REF!</definedName>
    <definedName name="TYPEB" localSheetId="21">#REF!</definedName>
    <definedName name="TYPEB" localSheetId="8">#REF!</definedName>
    <definedName name="TYPEB" localSheetId="6">#REF!</definedName>
    <definedName name="TYPEB" localSheetId="25">#REF!</definedName>
    <definedName name="TYPEB" localSheetId="17">#REF!</definedName>
    <definedName name="TYPEB" localSheetId="10">#REF!</definedName>
    <definedName name="TYPEB" localSheetId="12">#REF!</definedName>
    <definedName name="TYPEB">#REF!</definedName>
    <definedName name="TYPEC" localSheetId="16">#REF!</definedName>
    <definedName name="TYPEC" localSheetId="14">#REF!</definedName>
    <definedName name="TYPEC" localSheetId="19">#REF!</definedName>
    <definedName name="TYPEC" localSheetId="24">#REF!</definedName>
    <definedName name="TYPEC" localSheetId="21">#REF!</definedName>
    <definedName name="TYPEC" localSheetId="8">#REF!</definedName>
    <definedName name="TYPEC" localSheetId="6">#REF!</definedName>
    <definedName name="TYPEC" localSheetId="25">#REF!</definedName>
    <definedName name="TYPEC" localSheetId="17">#REF!</definedName>
    <definedName name="TYPEC" localSheetId="10">#REF!</definedName>
    <definedName name="TYPEC" localSheetId="12">#REF!</definedName>
    <definedName name="TYPEC">#REF!</definedName>
    <definedName name="Unit" localSheetId="25">'[18]N-Client Information'!$D$9</definedName>
    <definedName name="Unit">'[19]N-Client Information'!$D$9</definedName>
    <definedName name="upfrontp" localSheetId="16">[10]LOANS!#REF!</definedName>
    <definedName name="upfrontp" localSheetId="14">[10]LOANS!#REF!</definedName>
    <definedName name="upfrontp" localSheetId="19">[10]LOANS!#REF!</definedName>
    <definedName name="upfrontp" localSheetId="24">[10]LOANS!#REF!</definedName>
    <definedName name="upfrontp" localSheetId="0">[11]LOANS!#REF!</definedName>
    <definedName name="upfrontp" localSheetId="21">[10]LOANS!#REF!</definedName>
    <definedName name="upfrontp" localSheetId="8">[10]LOANS!#REF!</definedName>
    <definedName name="upfrontp" localSheetId="6">[10]LOANS!#REF!</definedName>
    <definedName name="upfrontp" localSheetId="1">[12]LOANS!#REF!</definedName>
    <definedName name="upfrontp" localSheetId="25">[13]LOANS!#REF!</definedName>
    <definedName name="upfrontp" localSheetId="17">[10]LOANS!#REF!</definedName>
    <definedName name="upfrontp" localSheetId="10">[10]LOANS!#REF!</definedName>
    <definedName name="upfrontp" localSheetId="12">[10]LOANS!#REF!</definedName>
    <definedName name="upfrontp">[10]LOANS!#REF!</definedName>
    <definedName name="utiltotal" localSheetId="16">[10]LOANS!#REF!</definedName>
    <definedName name="utiltotal" localSheetId="14">[10]LOANS!#REF!</definedName>
    <definedName name="utiltotal" localSheetId="19">[10]LOANS!#REF!</definedName>
    <definedName name="utiltotal" localSheetId="24">[10]LOANS!#REF!</definedName>
    <definedName name="utiltotal" localSheetId="0">[11]LOANS!#REF!</definedName>
    <definedName name="utiltotal" localSheetId="21">[10]LOANS!#REF!</definedName>
    <definedName name="utiltotal" localSheetId="8">[10]LOANS!#REF!</definedName>
    <definedName name="utiltotal" localSheetId="6">[10]LOANS!#REF!</definedName>
    <definedName name="utiltotal" localSheetId="1">[12]LOANS!#REF!</definedName>
    <definedName name="utiltotal" localSheetId="25">[13]LOANS!#REF!</definedName>
    <definedName name="utiltotal" localSheetId="17">[10]LOANS!#REF!</definedName>
    <definedName name="utiltotal" localSheetId="10">[10]LOANS!#REF!</definedName>
    <definedName name="utiltotal" localSheetId="12">[10]LOANS!#REF!</definedName>
    <definedName name="utiltotal">[10]LOANS!#REF!</definedName>
    <definedName name="VDep" localSheetId="16">'[20]Fixed Assets Schedule'!#REF!</definedName>
    <definedName name="VDep" localSheetId="14">'[20]Fixed Assets Schedule'!#REF!</definedName>
    <definedName name="VDep" localSheetId="19">'[20]Fixed Assets Schedule'!#REF!</definedName>
    <definedName name="VDep" localSheetId="24">'[20]Fixed Assets Schedule'!#REF!</definedName>
    <definedName name="VDep" localSheetId="0">'[21]Fixed Assets Schedule'!#REF!</definedName>
    <definedName name="VDep" localSheetId="21">'[20]Fixed Assets Schedule'!#REF!</definedName>
    <definedName name="VDep" localSheetId="8">'[20]Fixed Assets Schedule'!#REF!</definedName>
    <definedName name="VDep" localSheetId="6">'[20]Fixed Assets Schedule'!#REF!</definedName>
    <definedName name="VDep" localSheetId="1">'[22]Fixed Assets Schedule'!#REF!</definedName>
    <definedName name="VDep" localSheetId="25">'[23]Fixed Assets Schedule'!#REF!</definedName>
    <definedName name="VDep" localSheetId="17">'[20]Fixed Assets Schedule'!#REF!</definedName>
    <definedName name="VDep" localSheetId="10">'[20]Fixed Assets Schedule'!#REF!</definedName>
    <definedName name="VDep" localSheetId="12">'[20]Fixed Assets Schedule'!#REF!</definedName>
    <definedName name="VDep">'[20]Fixed Assets Schedule'!#REF!</definedName>
    <definedName name="ViewforAnnualTax" localSheetId="16">[10]LOANS!#REF!</definedName>
    <definedName name="ViewforAnnualTax" localSheetId="14">[10]LOANS!#REF!</definedName>
    <definedName name="ViewforAnnualTax" localSheetId="19">[10]LOANS!#REF!</definedName>
    <definedName name="ViewforAnnualTax" localSheetId="24">[10]LOANS!#REF!</definedName>
    <definedName name="ViewforAnnualTax" localSheetId="0">[11]LOANS!#REF!</definedName>
    <definedName name="ViewforAnnualTax" localSheetId="21">[10]LOANS!#REF!</definedName>
    <definedName name="ViewforAnnualTax" localSheetId="8">[10]LOANS!#REF!</definedName>
    <definedName name="ViewforAnnualTax" localSheetId="6">[10]LOANS!#REF!</definedName>
    <definedName name="ViewforAnnualTax" localSheetId="1">[12]LOANS!#REF!</definedName>
    <definedName name="ViewforAnnualTax" localSheetId="25">[13]LOANS!#REF!</definedName>
    <definedName name="ViewforAnnualTax" localSheetId="17">[10]LOANS!#REF!</definedName>
    <definedName name="ViewforAnnualTax" localSheetId="10">[10]LOANS!#REF!</definedName>
    <definedName name="ViewforAnnualTax" localSheetId="12">[10]LOANS!#REF!</definedName>
    <definedName name="ViewforAnnualTax">[10]LOANS!#REF!</definedName>
    <definedName name="wi" localSheetId="16">[1]OLDFILE!#REF!</definedName>
    <definedName name="wi" localSheetId="14">[1]OLDFILE!#REF!</definedName>
    <definedName name="wi" localSheetId="19">[1]OLDFILE!#REF!</definedName>
    <definedName name="wi" localSheetId="24">[1]OLDFILE!#REF!</definedName>
    <definedName name="wi" localSheetId="21">[1]OLDFILE!#REF!</definedName>
    <definedName name="wi" localSheetId="8">[1]OLDFILE!#REF!</definedName>
    <definedName name="wi" localSheetId="6">[1]OLDFILE!#REF!</definedName>
    <definedName name="wi" localSheetId="17">[1]OLDFILE!#REF!</definedName>
    <definedName name="wi" localSheetId="10">[1]OLDFILE!#REF!</definedName>
    <definedName name="wi" localSheetId="12">[1]OLDFILE!#REF!</definedName>
    <definedName name="wi">[1]OLDFILE!#REF!</definedName>
    <definedName name="XRefColumnsCount" hidden="1">1</definedName>
    <definedName name="XRefCopy1" localSheetId="16" hidden="1">#REF!</definedName>
    <definedName name="XRefCopy1" localSheetId="14" hidden="1">#REF!</definedName>
    <definedName name="XRefCopy1" localSheetId="19" hidden="1">#REF!</definedName>
    <definedName name="XRefCopy1" localSheetId="24" hidden="1">#REF!</definedName>
    <definedName name="XRefCopy1" localSheetId="0" hidden="1">#REF!</definedName>
    <definedName name="XRefCopy1" localSheetId="21" hidden="1">#REF!</definedName>
    <definedName name="XRefCopy1" localSheetId="8" hidden="1">#REF!</definedName>
    <definedName name="XRefCopy1" localSheetId="6" hidden="1">#REF!</definedName>
    <definedName name="XRefCopy1" localSheetId="1" hidden="1">#REF!</definedName>
    <definedName name="XRefCopy1" localSheetId="25" hidden="1">#REF!</definedName>
    <definedName name="XRefCopy1" localSheetId="17" hidden="1">#REF!</definedName>
    <definedName name="XRefCopy1" localSheetId="10" hidden="1">#REF!</definedName>
    <definedName name="XRefCopy1" localSheetId="12" hidden="1">#REF!</definedName>
    <definedName name="XRefCopy1" hidden="1">#REF!</definedName>
    <definedName name="XRefCopyRangeCount" hidden="1">1</definedName>
    <definedName name="XRefPasteRangeCount" hidden="1">1</definedName>
    <definedName name="YE" localSheetId="25">'[18]N-Client Information'!$D$8</definedName>
    <definedName name="YE">'[19]N-Client Information'!$D$8</definedName>
    <definedName name="YearTax" localSheetId="16">[10]LOANS!#REF!</definedName>
    <definedName name="YearTax" localSheetId="14">[10]LOANS!#REF!</definedName>
    <definedName name="YearTax" localSheetId="19">[10]LOANS!#REF!</definedName>
    <definedName name="YearTax" localSheetId="24">[10]LOANS!#REF!</definedName>
    <definedName name="YearTax" localSheetId="0">[11]LOANS!#REF!</definedName>
    <definedName name="YearTax" localSheetId="21">[10]LOANS!#REF!</definedName>
    <definedName name="YearTax" localSheetId="8">[10]LOANS!#REF!</definedName>
    <definedName name="YearTax" localSheetId="6">[10]LOANS!#REF!</definedName>
    <definedName name="YearTax" localSheetId="1">[12]LOANS!#REF!</definedName>
    <definedName name="YearTax" localSheetId="25">[13]LOANS!#REF!</definedName>
    <definedName name="YearTax" localSheetId="17">[10]LOANS!#REF!</definedName>
    <definedName name="YearTax" localSheetId="10">[10]LOANS!#REF!</definedName>
    <definedName name="YearTax" localSheetId="12">[10]LOANS!#REF!</definedName>
    <definedName name="YearTax">[10]LOANS!#REF!</definedName>
    <definedName name="YesNo">'[54]Input sheet'!$A$1:$A$2</definedName>
    <definedName name="Yfive" localSheetId="16">[10]LOANS!#REF!</definedName>
    <definedName name="Yfive" localSheetId="14">[10]LOANS!#REF!</definedName>
    <definedName name="Yfive" localSheetId="19">[10]LOANS!#REF!</definedName>
    <definedName name="Yfive" localSheetId="24">[10]LOANS!#REF!</definedName>
    <definedName name="Yfive" localSheetId="0">[11]LOANS!#REF!</definedName>
    <definedName name="Yfive" localSheetId="21">[10]LOANS!#REF!</definedName>
    <definedName name="Yfive" localSheetId="8">[10]LOANS!#REF!</definedName>
    <definedName name="Yfive" localSheetId="6">[10]LOANS!#REF!</definedName>
    <definedName name="Yfive" localSheetId="1">[12]LOANS!#REF!</definedName>
    <definedName name="Yfive" localSheetId="25">[13]LOANS!#REF!</definedName>
    <definedName name="Yfive" localSheetId="17">[10]LOANS!#REF!</definedName>
    <definedName name="Yfive" localSheetId="10">[10]LOANS!#REF!</definedName>
    <definedName name="Yfive" localSheetId="12">[10]LOANS!#REF!</definedName>
    <definedName name="Yfive">[10]LOANS!#REF!</definedName>
    <definedName name="Yfour" localSheetId="16">[10]LOANS!#REF!</definedName>
    <definedName name="Yfour" localSheetId="14">[10]LOANS!#REF!</definedName>
    <definedName name="Yfour" localSheetId="19">[10]LOANS!#REF!</definedName>
    <definedName name="Yfour" localSheetId="24">[10]LOANS!#REF!</definedName>
    <definedName name="Yfour" localSheetId="0">[11]LOANS!#REF!</definedName>
    <definedName name="Yfour" localSheetId="21">[10]LOANS!#REF!</definedName>
    <definedName name="Yfour" localSheetId="8">[10]LOANS!#REF!</definedName>
    <definedName name="Yfour" localSheetId="6">[10]LOANS!#REF!</definedName>
    <definedName name="Yfour" localSheetId="1">[12]LOANS!#REF!</definedName>
    <definedName name="Yfour" localSheetId="25">[13]LOANS!#REF!</definedName>
    <definedName name="Yfour" localSheetId="17">[10]LOANS!#REF!</definedName>
    <definedName name="Yfour" localSheetId="10">[10]LOANS!#REF!</definedName>
    <definedName name="Yfour" localSheetId="12">[10]LOANS!#REF!</definedName>
    <definedName name="Yfour">[10]LOANS!#REF!</definedName>
    <definedName name="Yone" localSheetId="16">[10]LOANS!#REF!</definedName>
    <definedName name="Yone" localSheetId="14">[10]LOANS!#REF!</definedName>
    <definedName name="Yone" localSheetId="19">[10]LOANS!#REF!</definedName>
    <definedName name="Yone" localSheetId="24">[10]LOANS!#REF!</definedName>
    <definedName name="Yone" localSheetId="0">[11]LOANS!#REF!</definedName>
    <definedName name="Yone" localSheetId="21">[10]LOANS!#REF!</definedName>
    <definedName name="Yone" localSheetId="8">[10]LOANS!#REF!</definedName>
    <definedName name="Yone" localSheetId="6">[10]LOANS!#REF!</definedName>
    <definedName name="Yone" localSheetId="1">[12]LOANS!#REF!</definedName>
    <definedName name="Yone" localSheetId="25">[13]LOANS!#REF!</definedName>
    <definedName name="Yone" localSheetId="17">[10]LOANS!#REF!</definedName>
    <definedName name="Yone" localSheetId="10">[10]LOANS!#REF!</definedName>
    <definedName name="Yone" localSheetId="12">[10]LOANS!#REF!</definedName>
    <definedName name="Yone">[10]LOANS!#REF!</definedName>
    <definedName name="Yr" localSheetId="16">'[10]ANNUAL CTC'!#REF!</definedName>
    <definedName name="Yr" localSheetId="14">'[10]ANNUAL CTC'!#REF!</definedName>
    <definedName name="Yr" localSheetId="19">'[10]ANNUAL CTC'!#REF!</definedName>
    <definedName name="Yr" localSheetId="24">'[10]ANNUAL CTC'!#REF!</definedName>
    <definedName name="Yr" localSheetId="0">'[11]ANNUAL CTC'!#REF!</definedName>
    <definedName name="Yr" localSheetId="21">'[10]ANNUAL CTC'!#REF!</definedName>
    <definedName name="Yr" localSheetId="8">'[10]ANNUAL CTC'!#REF!</definedName>
    <definedName name="Yr" localSheetId="6">'[10]ANNUAL CTC'!#REF!</definedName>
    <definedName name="Yr" localSheetId="1">'[12]ANNUAL CTC'!#REF!</definedName>
    <definedName name="Yr" localSheetId="25">'[13]ANNUAL CTC'!#REF!</definedName>
    <definedName name="Yr" localSheetId="17">'[10]ANNUAL CTC'!#REF!</definedName>
    <definedName name="Yr" localSheetId="10">'[10]ANNUAL CTC'!#REF!</definedName>
    <definedName name="Yr" localSheetId="12">'[10]ANNUAL CTC'!#REF!</definedName>
    <definedName name="Yr">'[10]ANNUAL CTC'!#REF!</definedName>
    <definedName name="YTD" localSheetId="16">[10]LOANS!#REF!</definedName>
    <definedName name="YTD" localSheetId="14">[10]LOANS!#REF!</definedName>
    <definedName name="YTD" localSheetId="19">[10]LOANS!#REF!</definedName>
    <definedName name="YTD" localSheetId="24">[10]LOANS!#REF!</definedName>
    <definedName name="YTD" localSheetId="0">[11]LOANS!#REF!</definedName>
    <definedName name="YTD" localSheetId="21">[10]LOANS!#REF!</definedName>
    <definedName name="YTD" localSheetId="8">[10]LOANS!#REF!</definedName>
    <definedName name="YTD" localSheetId="6">[10]LOANS!#REF!</definedName>
    <definedName name="YTD" localSheetId="1">[12]LOANS!#REF!</definedName>
    <definedName name="YTD" localSheetId="25">[13]LOANS!#REF!</definedName>
    <definedName name="YTD" localSheetId="17">[10]LOANS!#REF!</definedName>
    <definedName name="YTD" localSheetId="10">[10]LOANS!#REF!</definedName>
    <definedName name="YTD" localSheetId="12">[10]LOANS!#REF!</definedName>
    <definedName name="YTD">[10]LOANS!#REF!</definedName>
    <definedName name="YTD1" localSheetId="16">[10]LOANS!#REF!</definedName>
    <definedName name="YTD1" localSheetId="14">[10]LOANS!#REF!</definedName>
    <definedName name="YTD1" localSheetId="19">[10]LOANS!#REF!</definedName>
    <definedName name="YTD1" localSheetId="24">[10]LOANS!#REF!</definedName>
    <definedName name="YTD1" localSheetId="0">[11]LOANS!#REF!</definedName>
    <definedName name="YTD1" localSheetId="21">[10]LOANS!#REF!</definedName>
    <definedName name="YTD1" localSheetId="8">[10]LOANS!#REF!</definedName>
    <definedName name="YTD1" localSheetId="6">[10]LOANS!#REF!</definedName>
    <definedName name="YTD1" localSheetId="1">[12]LOANS!#REF!</definedName>
    <definedName name="YTD1" localSheetId="25">[13]LOANS!#REF!</definedName>
    <definedName name="YTD1" localSheetId="17">[10]LOANS!#REF!</definedName>
    <definedName name="YTD1" localSheetId="10">[10]LOANS!#REF!</definedName>
    <definedName name="YTD1" localSheetId="12">[10]LOANS!#REF!</definedName>
    <definedName name="YTD1">[10]LOANS!#REF!</definedName>
    <definedName name="Ythree" localSheetId="16">[10]LOANS!#REF!</definedName>
    <definedName name="Ythree" localSheetId="14">[10]LOANS!#REF!</definedName>
    <definedName name="Ythree" localSheetId="19">[10]LOANS!#REF!</definedName>
    <definedName name="Ythree" localSheetId="24">[10]LOANS!#REF!</definedName>
    <definedName name="Ythree" localSheetId="0">[11]LOANS!#REF!</definedName>
    <definedName name="Ythree" localSheetId="21">[10]LOANS!#REF!</definedName>
    <definedName name="Ythree" localSheetId="8">[10]LOANS!#REF!</definedName>
    <definedName name="Ythree" localSheetId="6">[10]LOANS!#REF!</definedName>
    <definedName name="Ythree" localSheetId="1">[12]LOANS!#REF!</definedName>
    <definedName name="Ythree" localSheetId="25">[13]LOANS!#REF!</definedName>
    <definedName name="Ythree" localSheetId="17">[10]LOANS!#REF!</definedName>
    <definedName name="Ythree" localSheetId="10">[10]LOANS!#REF!</definedName>
    <definedName name="Ythree" localSheetId="12">[10]LOANS!#REF!</definedName>
    <definedName name="Ythree">[10]LOANS!#REF!</definedName>
    <definedName name="Ytodate" localSheetId="16">[10]LOANS!#REF!</definedName>
    <definedName name="Ytodate" localSheetId="14">[10]LOANS!#REF!</definedName>
    <definedName name="Ytodate" localSheetId="19">[10]LOANS!#REF!</definedName>
    <definedName name="Ytodate" localSheetId="24">[10]LOANS!#REF!</definedName>
    <definedName name="Ytodate" localSheetId="0">[11]LOANS!#REF!</definedName>
    <definedName name="Ytodate" localSheetId="21">[10]LOANS!#REF!</definedName>
    <definedName name="Ytodate" localSheetId="8">[10]LOANS!#REF!</definedName>
    <definedName name="Ytodate" localSheetId="6">[10]LOANS!#REF!</definedName>
    <definedName name="Ytodate" localSheetId="1">[12]LOANS!#REF!</definedName>
    <definedName name="Ytodate" localSheetId="25">[13]LOANS!#REF!</definedName>
    <definedName name="Ytodate" localSheetId="17">[10]LOANS!#REF!</definedName>
    <definedName name="Ytodate" localSheetId="10">[10]LOANS!#REF!</definedName>
    <definedName name="Ytodate" localSheetId="12">[10]LOANS!#REF!</definedName>
    <definedName name="Ytodate">[10]LOANS!#REF!</definedName>
    <definedName name="Ytwo" localSheetId="16">[10]LOANS!#REF!</definedName>
    <definedName name="Ytwo" localSheetId="14">[10]LOANS!#REF!</definedName>
    <definedName name="Ytwo" localSheetId="19">[10]LOANS!#REF!</definedName>
    <definedName name="Ytwo" localSheetId="24">[10]LOANS!#REF!</definedName>
    <definedName name="Ytwo" localSheetId="0">[11]LOANS!#REF!</definedName>
    <definedName name="Ytwo" localSheetId="21">[10]LOANS!#REF!</definedName>
    <definedName name="Ytwo" localSheetId="8">[10]LOANS!#REF!</definedName>
    <definedName name="Ytwo" localSheetId="6">[10]LOANS!#REF!</definedName>
    <definedName name="Ytwo" localSheetId="1">[12]LOANS!#REF!</definedName>
    <definedName name="Ytwo" localSheetId="25">[13]LOANS!#REF!</definedName>
    <definedName name="Ytwo" localSheetId="17">[10]LOANS!#REF!</definedName>
    <definedName name="Ytwo" localSheetId="10">[10]LOANS!#REF!</definedName>
    <definedName name="Ytwo" localSheetId="12">[10]LOANS!#REF!</definedName>
    <definedName name="Ytwo">[10]LOANS!#REF!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7" i="64" l="1"/>
  <c r="M71" i="63"/>
  <c r="L72" i="64"/>
  <c r="C33" i="69"/>
  <c r="D33" i="69"/>
  <c r="E33" i="69"/>
  <c r="A12" i="69"/>
  <c r="A13" i="69"/>
  <c r="A14" i="69"/>
  <c r="A15" i="69"/>
  <c r="A16" i="69"/>
  <c r="A17" i="69"/>
  <c r="A18" i="69"/>
  <c r="A19" i="69"/>
  <c r="C23" i="68"/>
  <c r="A12" i="68"/>
  <c r="A13" i="68"/>
  <c r="A14" i="68"/>
  <c r="A15" i="68"/>
  <c r="A16" i="68"/>
  <c r="A17" i="68"/>
  <c r="A18" i="68"/>
  <c r="A19" i="68"/>
  <c r="A20" i="68"/>
  <c r="A21" i="68"/>
  <c r="A22" i="68"/>
  <c r="G128" i="64"/>
  <c r="M4" i="63"/>
  <c r="M5" i="63"/>
  <c r="M6" i="63"/>
  <c r="M7" i="63"/>
  <c r="M8" i="63"/>
  <c r="M9" i="63"/>
  <c r="M10" i="63"/>
  <c r="M11" i="63"/>
  <c r="M12" i="63"/>
  <c r="M13" i="63"/>
  <c r="M14" i="63"/>
  <c r="M15" i="63"/>
  <c r="M16" i="63"/>
  <c r="M17" i="63"/>
  <c r="M18" i="63"/>
  <c r="M19" i="63"/>
  <c r="M20" i="63"/>
  <c r="M21" i="63"/>
  <c r="M22" i="63"/>
  <c r="M23" i="63"/>
  <c r="M24" i="63"/>
  <c r="M25" i="63"/>
  <c r="M26" i="63"/>
  <c r="M27" i="63"/>
  <c r="M28" i="63"/>
  <c r="M29" i="63"/>
  <c r="M30" i="63"/>
  <c r="M31" i="63"/>
  <c r="M32" i="63"/>
  <c r="M33" i="63"/>
  <c r="M34" i="63"/>
  <c r="M35" i="63"/>
  <c r="M36" i="63"/>
  <c r="M37" i="63"/>
  <c r="M38" i="63"/>
  <c r="M39" i="63"/>
  <c r="M40" i="63"/>
  <c r="M41" i="63"/>
  <c r="M42" i="63"/>
  <c r="M43" i="63"/>
  <c r="M44" i="63"/>
  <c r="M45" i="63"/>
  <c r="M46" i="63"/>
  <c r="M47" i="63"/>
  <c r="M48" i="63"/>
  <c r="M49" i="63"/>
  <c r="M50" i="63"/>
  <c r="M51" i="63"/>
  <c r="M52" i="63"/>
  <c r="M53" i="63"/>
  <c r="M54" i="63"/>
  <c r="M55" i="63"/>
  <c r="M56" i="63"/>
  <c r="M57" i="63"/>
  <c r="M58" i="63"/>
  <c r="M59" i="63"/>
  <c r="M60" i="63"/>
  <c r="M61" i="63"/>
  <c r="M62" i="63"/>
  <c r="M63" i="63"/>
  <c r="M64" i="63"/>
  <c r="M65" i="63"/>
  <c r="M66" i="63"/>
  <c r="M67" i="63"/>
  <c r="M68" i="63"/>
  <c r="M69" i="63"/>
  <c r="M70" i="63"/>
  <c r="M72" i="63"/>
  <c r="M73" i="63"/>
  <c r="M74" i="63"/>
  <c r="M75" i="63"/>
  <c r="M76" i="63"/>
  <c r="M77" i="63"/>
  <c r="M78" i="63"/>
  <c r="M79" i="63"/>
  <c r="M80" i="63"/>
  <c r="M81" i="63"/>
  <c r="M82" i="63"/>
  <c r="M83" i="63"/>
  <c r="M84" i="63"/>
  <c r="M85" i="63"/>
  <c r="M86" i="63"/>
  <c r="M87" i="63"/>
  <c r="M88" i="63"/>
  <c r="M89" i="63"/>
  <c r="M90" i="63"/>
  <c r="M91" i="63"/>
  <c r="M92" i="63"/>
  <c r="M93" i="63"/>
  <c r="M94" i="63"/>
  <c r="M95" i="63"/>
  <c r="M96" i="63"/>
  <c r="M97" i="63"/>
  <c r="M98" i="63"/>
  <c r="M99" i="63"/>
  <c r="M100" i="63"/>
  <c r="M101" i="63"/>
  <c r="M102" i="63"/>
  <c r="M103" i="63"/>
  <c r="M104" i="63"/>
  <c r="M105" i="63"/>
  <c r="M106" i="63"/>
  <c r="M107" i="63"/>
  <c r="M108" i="63"/>
  <c r="M109" i="63"/>
  <c r="M110" i="63"/>
  <c r="M111" i="63"/>
  <c r="M112" i="63"/>
  <c r="M113" i="63"/>
  <c r="M114" i="63"/>
  <c r="M115" i="63"/>
  <c r="M116" i="63"/>
  <c r="M117" i="63"/>
  <c r="M118" i="63"/>
  <c r="M119" i="63"/>
  <c r="M120" i="63"/>
  <c r="M121" i="63"/>
  <c r="M122" i="63"/>
  <c r="M123" i="63"/>
  <c r="M124" i="63"/>
  <c r="M125" i="63"/>
  <c r="M127" i="63"/>
  <c r="I15" i="47"/>
  <c r="C20" i="62"/>
  <c r="E20" i="62"/>
  <c r="E19" i="47"/>
  <c r="D21" i="62"/>
  <c r="I19" i="47"/>
  <c r="C21" i="62"/>
  <c r="I27" i="47"/>
  <c r="D18" i="62"/>
  <c r="C13" i="20"/>
  <c r="E27" i="47"/>
  <c r="C18" i="62"/>
  <c r="E18" i="62"/>
  <c r="D26" i="62"/>
  <c r="C26" i="62"/>
  <c r="E26" i="62"/>
  <c r="C27" i="47"/>
  <c r="G27" i="47"/>
  <c r="G31" i="47"/>
  <c r="I29" i="47"/>
  <c r="I25" i="47"/>
  <c r="I23" i="47"/>
  <c r="I21" i="47"/>
  <c r="I17" i="47"/>
  <c r="I13" i="47"/>
  <c r="I31" i="47"/>
  <c r="S127" i="64"/>
  <c r="S126" i="64"/>
  <c r="L126" i="64"/>
  <c r="S125" i="64"/>
  <c r="L125" i="64"/>
  <c r="S124" i="64"/>
  <c r="L124" i="64"/>
  <c r="S123" i="64"/>
  <c r="L123" i="64"/>
  <c r="S122" i="64"/>
  <c r="L122" i="64"/>
  <c r="S121" i="64"/>
  <c r="L121" i="64"/>
  <c r="S120" i="64"/>
  <c r="L120" i="64"/>
  <c r="S119" i="64"/>
  <c r="L119" i="64"/>
  <c r="S118" i="64"/>
  <c r="L118" i="64"/>
  <c r="S117" i="64"/>
  <c r="L117" i="64"/>
  <c r="S116" i="64"/>
  <c r="L116" i="64"/>
  <c r="S115" i="64"/>
  <c r="L115" i="64"/>
  <c r="S114" i="64"/>
  <c r="L114" i="64"/>
  <c r="S113" i="64"/>
  <c r="L113" i="64"/>
  <c r="S112" i="64"/>
  <c r="L112" i="64"/>
  <c r="S111" i="64"/>
  <c r="L111" i="64"/>
  <c r="S110" i="64"/>
  <c r="L110" i="64"/>
  <c r="S109" i="64"/>
  <c r="L109" i="64"/>
  <c r="S108" i="64"/>
  <c r="L108" i="64"/>
  <c r="S107" i="64"/>
  <c r="L107" i="64"/>
  <c r="S106" i="64"/>
  <c r="L106" i="64"/>
  <c r="S105" i="64"/>
  <c r="L105" i="64"/>
  <c r="S104" i="64"/>
  <c r="L104" i="64"/>
  <c r="S103" i="64"/>
  <c r="L103" i="64"/>
  <c r="S102" i="64"/>
  <c r="L102" i="64"/>
  <c r="S101" i="64"/>
  <c r="L101" i="64"/>
  <c r="S100" i="64"/>
  <c r="L100" i="64"/>
  <c r="S99" i="64"/>
  <c r="L99" i="64"/>
  <c r="S98" i="64"/>
  <c r="L98" i="64"/>
  <c r="S97" i="64"/>
  <c r="L97" i="64"/>
  <c r="S96" i="64"/>
  <c r="L96" i="64"/>
  <c r="S95" i="64"/>
  <c r="L95" i="64"/>
  <c r="S94" i="64"/>
  <c r="L94" i="64"/>
  <c r="S93" i="64"/>
  <c r="L93" i="64"/>
  <c r="S92" i="64"/>
  <c r="L92" i="64"/>
  <c r="S91" i="64"/>
  <c r="L91" i="64"/>
  <c r="S90" i="64"/>
  <c r="L90" i="64"/>
  <c r="S89" i="64"/>
  <c r="L89" i="64"/>
  <c r="S88" i="64"/>
  <c r="L88" i="64"/>
  <c r="S87" i="64"/>
  <c r="L87" i="64"/>
  <c r="S86" i="64"/>
  <c r="L86" i="64"/>
  <c r="S85" i="64"/>
  <c r="L85" i="64"/>
  <c r="S84" i="64"/>
  <c r="L84" i="64"/>
  <c r="S83" i="64"/>
  <c r="L83" i="64"/>
  <c r="S82" i="64"/>
  <c r="L82" i="64"/>
  <c r="S81" i="64"/>
  <c r="L81" i="64"/>
  <c r="S80" i="64"/>
  <c r="L80" i="64"/>
  <c r="S79" i="64"/>
  <c r="L79" i="64"/>
  <c r="S78" i="64"/>
  <c r="L78" i="64"/>
  <c r="S77" i="64"/>
  <c r="L77" i="64"/>
  <c r="S76" i="64"/>
  <c r="L76" i="64"/>
  <c r="S75" i="64"/>
  <c r="L75" i="64"/>
  <c r="S74" i="64"/>
  <c r="L74" i="64"/>
  <c r="S73" i="64"/>
  <c r="L73" i="64"/>
  <c r="S72" i="64"/>
  <c r="S71" i="64"/>
  <c r="L71" i="64"/>
  <c r="S70" i="64"/>
  <c r="L70" i="64"/>
  <c r="S69" i="64"/>
  <c r="L69" i="64"/>
  <c r="S68" i="64"/>
  <c r="L68" i="64"/>
  <c r="S67" i="64"/>
  <c r="L67" i="64"/>
  <c r="S66" i="64"/>
  <c r="L66" i="64"/>
  <c r="S65" i="64"/>
  <c r="L65" i="64"/>
  <c r="S64" i="64"/>
  <c r="L64" i="64"/>
  <c r="S63" i="64"/>
  <c r="L63" i="64"/>
  <c r="S62" i="64"/>
  <c r="L62" i="64"/>
  <c r="S61" i="64"/>
  <c r="L61" i="64"/>
  <c r="S60" i="64"/>
  <c r="L60" i="64"/>
  <c r="S59" i="64"/>
  <c r="L59" i="64"/>
  <c r="S58" i="64"/>
  <c r="L58" i="64"/>
  <c r="S57" i="64"/>
  <c r="L57" i="64"/>
  <c r="S56" i="64"/>
  <c r="L56" i="64"/>
  <c r="S55" i="64"/>
  <c r="L55" i="64"/>
  <c r="S54" i="64"/>
  <c r="L54" i="64"/>
  <c r="S53" i="64"/>
  <c r="L53" i="64"/>
  <c r="S52" i="64"/>
  <c r="L52" i="64"/>
  <c r="S51" i="64"/>
  <c r="L51" i="64"/>
  <c r="S50" i="64"/>
  <c r="L50" i="64"/>
  <c r="S49" i="64"/>
  <c r="L49" i="64"/>
  <c r="S48" i="64"/>
  <c r="L48" i="64"/>
  <c r="S47" i="64"/>
  <c r="L47" i="64"/>
  <c r="S46" i="64"/>
  <c r="L46" i="64"/>
  <c r="S45" i="64"/>
  <c r="L45" i="64"/>
  <c r="S44" i="64"/>
  <c r="L44" i="64"/>
  <c r="S43" i="64"/>
  <c r="L43" i="64"/>
  <c r="S42" i="64"/>
  <c r="L42" i="64"/>
  <c r="S41" i="64"/>
  <c r="L41" i="64"/>
  <c r="S40" i="64"/>
  <c r="L40" i="64"/>
  <c r="S39" i="64"/>
  <c r="L39" i="64"/>
  <c r="S38" i="64"/>
  <c r="L38" i="64"/>
  <c r="S37" i="64"/>
  <c r="L37" i="64"/>
  <c r="S36" i="64"/>
  <c r="L36" i="64"/>
  <c r="S35" i="64"/>
  <c r="L35" i="64"/>
  <c r="S34" i="64"/>
  <c r="L34" i="64"/>
  <c r="S33" i="64"/>
  <c r="L33" i="64"/>
  <c r="S32" i="64"/>
  <c r="L32" i="64"/>
  <c r="S31" i="64"/>
  <c r="L31" i="64"/>
  <c r="S30" i="64"/>
  <c r="L30" i="64"/>
  <c r="S29" i="64"/>
  <c r="L29" i="64"/>
  <c r="S28" i="64"/>
  <c r="L28" i="64"/>
  <c r="S27" i="64"/>
  <c r="L27" i="64"/>
  <c r="S26" i="64"/>
  <c r="L26" i="64"/>
  <c r="S25" i="64"/>
  <c r="L25" i="64"/>
  <c r="S24" i="64"/>
  <c r="L24" i="64"/>
  <c r="S23" i="64"/>
  <c r="L23" i="64"/>
  <c r="S22" i="64"/>
  <c r="L22" i="64"/>
  <c r="S21" i="64"/>
  <c r="L21" i="64"/>
  <c r="S20" i="64"/>
  <c r="L20" i="64"/>
  <c r="S19" i="64"/>
  <c r="L19" i="64"/>
  <c r="S18" i="64"/>
  <c r="L18" i="64"/>
  <c r="S17" i="64"/>
  <c r="L17" i="64"/>
  <c r="S16" i="64"/>
  <c r="L16" i="64"/>
  <c r="S15" i="64"/>
  <c r="L15" i="64"/>
  <c r="S14" i="64"/>
  <c r="L14" i="64"/>
  <c r="S13" i="64"/>
  <c r="L13" i="64"/>
  <c r="S12" i="64"/>
  <c r="L12" i="64"/>
  <c r="S11" i="64"/>
  <c r="L11" i="64"/>
  <c r="S10" i="64"/>
  <c r="L10" i="64"/>
  <c r="S9" i="64"/>
  <c r="L9" i="64"/>
  <c r="S8" i="64"/>
  <c r="L8" i="64"/>
  <c r="S7" i="64"/>
  <c r="L7" i="64"/>
  <c r="S6" i="64"/>
  <c r="L6" i="64"/>
  <c r="S5" i="64"/>
  <c r="L5" i="64"/>
  <c r="T126" i="63"/>
  <c r="T125" i="63"/>
  <c r="T124" i="63"/>
  <c r="T123" i="63"/>
  <c r="T122" i="63"/>
  <c r="T121" i="63"/>
  <c r="T120" i="63"/>
  <c r="T119" i="63"/>
  <c r="T118" i="63"/>
  <c r="T117" i="63"/>
  <c r="T116" i="63"/>
  <c r="T115" i="63"/>
  <c r="T114" i="63"/>
  <c r="T113" i="63"/>
  <c r="T112" i="63"/>
  <c r="T111" i="63"/>
  <c r="T110" i="63"/>
  <c r="T109" i="63"/>
  <c r="T108" i="63"/>
  <c r="T107" i="63"/>
  <c r="T106" i="63"/>
  <c r="T105" i="63"/>
  <c r="T104" i="63"/>
  <c r="T103" i="63"/>
  <c r="T102" i="63"/>
  <c r="T101" i="63"/>
  <c r="T100" i="63"/>
  <c r="T99" i="63"/>
  <c r="T98" i="63"/>
  <c r="T97" i="63"/>
  <c r="T96" i="63"/>
  <c r="T95" i="63"/>
  <c r="T94" i="63"/>
  <c r="T93" i="63"/>
  <c r="T92" i="63"/>
  <c r="T91" i="63"/>
  <c r="T90" i="63"/>
  <c r="T89" i="63"/>
  <c r="T88" i="63"/>
  <c r="T87" i="63"/>
  <c r="T86" i="63"/>
  <c r="T85" i="63"/>
  <c r="T84" i="63"/>
  <c r="T83" i="63"/>
  <c r="T82" i="63"/>
  <c r="T81" i="63"/>
  <c r="T80" i="63"/>
  <c r="T79" i="63"/>
  <c r="T78" i="63"/>
  <c r="T77" i="63"/>
  <c r="T76" i="63"/>
  <c r="T75" i="63"/>
  <c r="T74" i="63"/>
  <c r="T73" i="63"/>
  <c r="T72" i="63"/>
  <c r="T71" i="63"/>
  <c r="T70" i="63"/>
  <c r="T69" i="63"/>
  <c r="T68" i="63"/>
  <c r="T67" i="63"/>
  <c r="T66" i="63"/>
  <c r="T65" i="63"/>
  <c r="T64" i="63"/>
  <c r="T63" i="63"/>
  <c r="T62" i="63"/>
  <c r="T61" i="63"/>
  <c r="T60" i="63"/>
  <c r="T59" i="63"/>
  <c r="T58" i="63"/>
  <c r="T57" i="63"/>
  <c r="T56" i="63"/>
  <c r="T55" i="63"/>
  <c r="T54" i="63"/>
  <c r="T53" i="63"/>
  <c r="T52" i="63"/>
  <c r="T51" i="63"/>
  <c r="T50" i="63"/>
  <c r="T49" i="63"/>
  <c r="T48" i="63"/>
  <c r="T47" i="63"/>
  <c r="T46" i="63"/>
  <c r="T45" i="63"/>
  <c r="T44" i="63"/>
  <c r="T43" i="63"/>
  <c r="T42" i="63"/>
  <c r="T41" i="63"/>
  <c r="T40" i="63"/>
  <c r="T39" i="63"/>
  <c r="T38" i="63"/>
  <c r="T37" i="63"/>
  <c r="T36" i="63"/>
  <c r="T35" i="63"/>
  <c r="T34" i="63"/>
  <c r="T33" i="63"/>
  <c r="T32" i="63"/>
  <c r="T31" i="63"/>
  <c r="T30" i="63"/>
  <c r="T29" i="63"/>
  <c r="T28" i="63"/>
  <c r="T27" i="63"/>
  <c r="T26" i="63"/>
  <c r="T25" i="63"/>
  <c r="T24" i="63"/>
  <c r="T23" i="63"/>
  <c r="T22" i="63"/>
  <c r="T21" i="63"/>
  <c r="T20" i="63"/>
  <c r="T19" i="63"/>
  <c r="T18" i="63"/>
  <c r="T17" i="63"/>
  <c r="T16" i="63"/>
  <c r="T15" i="63"/>
  <c r="T14" i="63"/>
  <c r="T13" i="63"/>
  <c r="T12" i="63"/>
  <c r="T11" i="63"/>
  <c r="T10" i="63"/>
  <c r="T9" i="63"/>
  <c r="T8" i="63"/>
  <c r="T7" i="63"/>
  <c r="T6" i="63"/>
  <c r="T5" i="63"/>
  <c r="T4" i="63"/>
  <c r="N4" i="63"/>
  <c r="O4" i="63"/>
  <c r="P4" i="63"/>
  <c r="P7" i="66"/>
  <c r="L7" i="66"/>
  <c r="P6" i="66"/>
  <c r="L6" i="66"/>
  <c r="P5" i="66"/>
  <c r="L5" i="66"/>
  <c r="P4" i="66"/>
  <c r="L4" i="66"/>
  <c r="P3" i="66"/>
  <c r="L3" i="66"/>
  <c r="L8" i="65"/>
  <c r="Q7" i="65"/>
  <c r="M7" i="65"/>
  <c r="Q6" i="65"/>
  <c r="M6" i="65"/>
  <c r="Q5" i="65"/>
  <c r="M5" i="65"/>
  <c r="Q4" i="65"/>
  <c r="M4" i="65"/>
  <c r="Q3" i="65"/>
  <c r="G8" i="65"/>
  <c r="M3" i="65"/>
  <c r="J8" i="66"/>
  <c r="I8" i="66"/>
  <c r="H8" i="66"/>
  <c r="G8" i="66"/>
  <c r="E8" i="66"/>
  <c r="K8" i="65"/>
  <c r="J8" i="65"/>
  <c r="I8" i="65"/>
  <c r="H8" i="65"/>
  <c r="E31" i="62"/>
  <c r="E30" i="62"/>
  <c r="E28" i="62"/>
  <c r="D24" i="62"/>
  <c r="C24" i="62"/>
  <c r="E23" i="62"/>
  <c r="E22" i="62"/>
  <c r="E21" i="62"/>
  <c r="E19" i="62"/>
  <c r="D25" i="62"/>
  <c r="D27" i="62"/>
  <c r="D35" i="62"/>
  <c r="D12" i="62"/>
  <c r="C31" i="57"/>
  <c r="E29" i="57"/>
  <c r="E27" i="57"/>
  <c r="E25" i="57"/>
  <c r="E23" i="57"/>
  <c r="E21" i="57"/>
  <c r="E19" i="57"/>
  <c r="E17" i="57"/>
  <c r="E15" i="57"/>
  <c r="E13" i="57"/>
  <c r="E31" i="57"/>
  <c r="N110" i="54"/>
  <c r="Y110" i="54"/>
  <c r="N109" i="54"/>
  <c r="N108" i="54"/>
  <c r="N107" i="54"/>
  <c r="Y107" i="54"/>
  <c r="N106" i="54"/>
  <c r="Y106" i="54"/>
  <c r="N105" i="54"/>
  <c r="N104" i="54"/>
  <c r="N103" i="54"/>
  <c r="Y103" i="54"/>
  <c r="N102" i="54"/>
  <c r="Y102" i="54"/>
  <c r="N101" i="54"/>
  <c r="N100" i="54"/>
  <c r="N99" i="54"/>
  <c r="Y99" i="54"/>
  <c r="N98" i="54"/>
  <c r="Y98" i="54"/>
  <c r="N97" i="54"/>
  <c r="N96" i="54"/>
  <c r="N95" i="54"/>
  <c r="Y95" i="54"/>
  <c r="N94" i="54"/>
  <c r="Y94" i="54"/>
  <c r="N93" i="54"/>
  <c r="N92" i="54"/>
  <c r="N91" i="54"/>
  <c r="Y91" i="54"/>
  <c r="N90" i="54"/>
  <c r="Y90" i="54"/>
  <c r="N89" i="54"/>
  <c r="N88" i="54"/>
  <c r="N87" i="54"/>
  <c r="Y87" i="54"/>
  <c r="N86" i="54"/>
  <c r="Y86" i="54"/>
  <c r="N85" i="54"/>
  <c r="N84" i="54"/>
  <c r="N83" i="54"/>
  <c r="Y83" i="54"/>
  <c r="N82" i="54"/>
  <c r="Y82" i="54"/>
  <c r="N81" i="54"/>
  <c r="N80" i="54"/>
  <c r="N79" i="54"/>
  <c r="Y79" i="54"/>
  <c r="N78" i="54"/>
  <c r="Y78" i="54"/>
  <c r="N77" i="54"/>
  <c r="N76" i="54"/>
  <c r="N75" i="54"/>
  <c r="Y75" i="54"/>
  <c r="N74" i="54"/>
  <c r="Y74" i="54"/>
  <c r="N73" i="54"/>
  <c r="N72" i="54"/>
  <c r="N71" i="54"/>
  <c r="Y71" i="54"/>
  <c r="N70" i="54"/>
  <c r="Y70" i="54"/>
  <c r="N69" i="54"/>
  <c r="N68" i="54"/>
  <c r="N67" i="54"/>
  <c r="Y67" i="54"/>
  <c r="N66" i="54"/>
  <c r="Y66" i="54"/>
  <c r="N65" i="54"/>
  <c r="N64" i="54"/>
  <c r="N63" i="54"/>
  <c r="Y63" i="54"/>
  <c r="N62" i="54"/>
  <c r="Y62" i="54"/>
  <c r="N61" i="54"/>
  <c r="N60" i="54"/>
  <c r="N59" i="54"/>
  <c r="Y59" i="54"/>
  <c r="N58" i="54"/>
  <c r="Y58" i="54"/>
  <c r="N57" i="54"/>
  <c r="N56" i="54"/>
  <c r="N55" i="54"/>
  <c r="Y55" i="54"/>
  <c r="N54" i="54"/>
  <c r="Y54" i="54"/>
  <c r="N53" i="54"/>
  <c r="N52" i="54"/>
  <c r="N51" i="54"/>
  <c r="Y51" i="54"/>
  <c r="N50" i="54"/>
  <c r="Y50" i="54"/>
  <c r="N49" i="54"/>
  <c r="N48" i="54"/>
  <c r="N47" i="54"/>
  <c r="Y47" i="54"/>
  <c r="N46" i="54"/>
  <c r="Y46" i="54"/>
  <c r="N45" i="54"/>
  <c r="N44" i="54"/>
  <c r="N43" i="54"/>
  <c r="Y43" i="54"/>
  <c r="N42" i="54"/>
  <c r="Y42" i="54"/>
  <c r="N41" i="54"/>
  <c r="N40" i="54"/>
  <c r="N39" i="54"/>
  <c r="Y39" i="54"/>
  <c r="N38" i="54"/>
  <c r="Y38" i="54"/>
  <c r="N37" i="54"/>
  <c r="N36" i="54"/>
  <c r="N35" i="54"/>
  <c r="Y35" i="54"/>
  <c r="N34" i="54"/>
  <c r="Y34" i="54"/>
  <c r="N33" i="54"/>
  <c r="N32" i="54"/>
  <c r="N31" i="54"/>
  <c r="Y31" i="54"/>
  <c r="N30" i="54"/>
  <c r="Y30" i="54"/>
  <c r="N29" i="54"/>
  <c r="N28" i="54"/>
  <c r="N27" i="54"/>
  <c r="Y27" i="54"/>
  <c r="N26" i="54"/>
  <c r="Y26" i="54"/>
  <c r="N25" i="54"/>
  <c r="N24" i="54"/>
  <c r="N23" i="54"/>
  <c r="N22" i="54"/>
  <c r="N21" i="54"/>
  <c r="N20" i="54"/>
  <c r="N19" i="54"/>
  <c r="N18" i="54"/>
  <c r="N17" i="54"/>
  <c r="N16" i="54"/>
  <c r="N15" i="54"/>
  <c r="N14" i="54"/>
  <c r="N13" i="54"/>
  <c r="N12" i="54"/>
  <c r="N11" i="54"/>
  <c r="N10" i="54"/>
  <c r="N9" i="54"/>
  <c r="N8" i="54"/>
  <c r="N7" i="54"/>
  <c r="E24" i="62"/>
  <c r="M6" i="64"/>
  <c r="N6" i="64"/>
  <c r="O6" i="64"/>
  <c r="M7" i="64"/>
  <c r="N7" i="64"/>
  <c r="O7" i="64"/>
  <c r="M8" i="64"/>
  <c r="N8" i="64"/>
  <c r="O8" i="64"/>
  <c r="M9" i="64"/>
  <c r="N9" i="64"/>
  <c r="O9" i="64"/>
  <c r="M10" i="64"/>
  <c r="N10" i="64"/>
  <c r="O10" i="64"/>
  <c r="M11" i="64"/>
  <c r="N11" i="64"/>
  <c r="O11" i="64"/>
  <c r="M12" i="64"/>
  <c r="N12" i="64"/>
  <c r="O12" i="64"/>
  <c r="M13" i="64"/>
  <c r="N13" i="64"/>
  <c r="O13" i="64"/>
  <c r="M14" i="64"/>
  <c r="N14" i="64"/>
  <c r="O14" i="64"/>
  <c r="M15" i="64"/>
  <c r="N15" i="64"/>
  <c r="O15" i="64"/>
  <c r="M16" i="64"/>
  <c r="N16" i="64"/>
  <c r="O16" i="64"/>
  <c r="M17" i="64"/>
  <c r="N17" i="64"/>
  <c r="O17" i="64"/>
  <c r="M18" i="64"/>
  <c r="N18" i="64"/>
  <c r="O18" i="64"/>
  <c r="M19" i="64"/>
  <c r="N19" i="64"/>
  <c r="O19" i="64"/>
  <c r="M20" i="64"/>
  <c r="N20" i="64"/>
  <c r="O20" i="64"/>
  <c r="M21" i="64"/>
  <c r="N21" i="64"/>
  <c r="O21" i="64"/>
  <c r="M22" i="64"/>
  <c r="N22" i="64"/>
  <c r="O22" i="64"/>
  <c r="M23" i="64"/>
  <c r="N23" i="64"/>
  <c r="O23" i="64"/>
  <c r="M24" i="64"/>
  <c r="N24" i="64"/>
  <c r="O24" i="64"/>
  <c r="M25" i="64"/>
  <c r="N25" i="64"/>
  <c r="O25" i="64"/>
  <c r="M26" i="64"/>
  <c r="N26" i="64"/>
  <c r="O26" i="64"/>
  <c r="M27" i="64"/>
  <c r="N27" i="64"/>
  <c r="O27" i="64"/>
  <c r="M28" i="64"/>
  <c r="N28" i="64"/>
  <c r="O28" i="64"/>
  <c r="M29" i="64"/>
  <c r="N29" i="64"/>
  <c r="O29" i="64"/>
  <c r="M30" i="64"/>
  <c r="N30" i="64"/>
  <c r="O30" i="64"/>
  <c r="M31" i="64"/>
  <c r="N31" i="64"/>
  <c r="O31" i="64"/>
  <c r="M32" i="64"/>
  <c r="N32" i="64"/>
  <c r="O32" i="64"/>
  <c r="M33" i="64"/>
  <c r="N33" i="64"/>
  <c r="O33" i="64"/>
  <c r="M34" i="64"/>
  <c r="N34" i="64"/>
  <c r="O34" i="64"/>
  <c r="M35" i="64"/>
  <c r="N35" i="64"/>
  <c r="O35" i="64"/>
  <c r="M36" i="64"/>
  <c r="N36" i="64"/>
  <c r="O36" i="64"/>
  <c r="M37" i="64"/>
  <c r="N37" i="64"/>
  <c r="O37" i="64"/>
  <c r="M38" i="64"/>
  <c r="N38" i="64"/>
  <c r="O38" i="64"/>
  <c r="M39" i="64"/>
  <c r="N39" i="64"/>
  <c r="O39" i="64"/>
  <c r="M40" i="64"/>
  <c r="N40" i="64"/>
  <c r="O40" i="64"/>
  <c r="M41" i="64"/>
  <c r="N41" i="64"/>
  <c r="O41" i="64"/>
  <c r="M42" i="64"/>
  <c r="N42" i="64"/>
  <c r="O42" i="64"/>
  <c r="M43" i="64"/>
  <c r="N43" i="64"/>
  <c r="O43" i="64"/>
  <c r="M44" i="64"/>
  <c r="N44" i="64"/>
  <c r="O44" i="64"/>
  <c r="M45" i="64"/>
  <c r="N45" i="64"/>
  <c r="O45" i="64"/>
  <c r="M46" i="64"/>
  <c r="N46" i="64"/>
  <c r="O46" i="64"/>
  <c r="M47" i="64"/>
  <c r="N47" i="64"/>
  <c r="O47" i="64"/>
  <c r="M48" i="64"/>
  <c r="N48" i="64"/>
  <c r="O48" i="64"/>
  <c r="M49" i="64"/>
  <c r="N49" i="64"/>
  <c r="O49" i="64"/>
  <c r="M50" i="64"/>
  <c r="N50" i="64"/>
  <c r="O50" i="64"/>
  <c r="M51" i="64"/>
  <c r="N51" i="64"/>
  <c r="O51" i="64"/>
  <c r="M52" i="64"/>
  <c r="N52" i="64"/>
  <c r="O52" i="64"/>
  <c r="M53" i="64"/>
  <c r="N53" i="64"/>
  <c r="O53" i="64"/>
  <c r="M54" i="64"/>
  <c r="N54" i="64"/>
  <c r="O54" i="64"/>
  <c r="M55" i="64"/>
  <c r="N55" i="64"/>
  <c r="O55" i="64"/>
  <c r="M56" i="64"/>
  <c r="N56" i="64"/>
  <c r="O56" i="64"/>
  <c r="M57" i="64"/>
  <c r="N57" i="64"/>
  <c r="O57" i="64"/>
  <c r="M58" i="64"/>
  <c r="N58" i="64"/>
  <c r="O58" i="64"/>
  <c r="M59" i="64"/>
  <c r="N59" i="64"/>
  <c r="O59" i="64"/>
  <c r="M60" i="64"/>
  <c r="N60" i="64"/>
  <c r="O60" i="64"/>
  <c r="M61" i="64"/>
  <c r="N61" i="64"/>
  <c r="O61" i="64"/>
  <c r="M62" i="64"/>
  <c r="N62" i="64"/>
  <c r="O62" i="64"/>
  <c r="M63" i="64"/>
  <c r="N63" i="64"/>
  <c r="O63" i="64"/>
  <c r="M64" i="64"/>
  <c r="N64" i="64"/>
  <c r="O64" i="64"/>
  <c r="M65" i="64"/>
  <c r="N65" i="64"/>
  <c r="O65" i="64"/>
  <c r="M66" i="64"/>
  <c r="N66" i="64"/>
  <c r="O66" i="64"/>
  <c r="M67" i="64"/>
  <c r="N67" i="64"/>
  <c r="O67" i="64"/>
  <c r="M68" i="64"/>
  <c r="N68" i="64"/>
  <c r="O68" i="64"/>
  <c r="M69" i="64"/>
  <c r="N69" i="64"/>
  <c r="O69" i="64"/>
  <c r="M70" i="64"/>
  <c r="N70" i="64"/>
  <c r="O70" i="64"/>
  <c r="M71" i="64"/>
  <c r="N71" i="64"/>
  <c r="O71" i="64"/>
  <c r="M72" i="64"/>
  <c r="N72" i="64"/>
  <c r="O72" i="64"/>
  <c r="M73" i="64"/>
  <c r="N73" i="64"/>
  <c r="O73" i="64"/>
  <c r="M74" i="64"/>
  <c r="N74" i="64"/>
  <c r="O74" i="64"/>
  <c r="M75" i="64"/>
  <c r="N75" i="64"/>
  <c r="O75" i="64"/>
  <c r="M76" i="64"/>
  <c r="N76" i="64"/>
  <c r="O76" i="64"/>
  <c r="M77" i="64"/>
  <c r="N77" i="64"/>
  <c r="O77" i="64"/>
  <c r="M78" i="64"/>
  <c r="N78" i="64"/>
  <c r="O78" i="64"/>
  <c r="M79" i="64"/>
  <c r="N79" i="64"/>
  <c r="O79" i="64"/>
  <c r="M80" i="64"/>
  <c r="N80" i="64"/>
  <c r="O80" i="64"/>
  <c r="M81" i="64"/>
  <c r="N81" i="64"/>
  <c r="O81" i="64"/>
  <c r="M82" i="64"/>
  <c r="N82" i="64"/>
  <c r="O82" i="64"/>
  <c r="M83" i="64"/>
  <c r="N83" i="64"/>
  <c r="O83" i="64"/>
  <c r="M84" i="64"/>
  <c r="N84" i="64"/>
  <c r="O84" i="64"/>
  <c r="M85" i="64"/>
  <c r="N85" i="64"/>
  <c r="O85" i="64"/>
  <c r="M86" i="64"/>
  <c r="N86" i="64"/>
  <c r="O86" i="64"/>
  <c r="M87" i="64"/>
  <c r="N87" i="64"/>
  <c r="O87" i="64"/>
  <c r="M88" i="64"/>
  <c r="N88" i="64"/>
  <c r="O88" i="64"/>
  <c r="M89" i="64"/>
  <c r="N89" i="64"/>
  <c r="O89" i="64"/>
  <c r="M90" i="64"/>
  <c r="N90" i="64"/>
  <c r="O90" i="64"/>
  <c r="M91" i="64"/>
  <c r="N91" i="64"/>
  <c r="O91" i="64"/>
  <c r="M92" i="64"/>
  <c r="N92" i="64"/>
  <c r="O92" i="64"/>
  <c r="M93" i="64"/>
  <c r="N93" i="64"/>
  <c r="O93" i="64"/>
  <c r="M94" i="64"/>
  <c r="N94" i="64"/>
  <c r="O94" i="64"/>
  <c r="M95" i="64"/>
  <c r="N95" i="64"/>
  <c r="O95" i="64"/>
  <c r="M96" i="64"/>
  <c r="N96" i="64"/>
  <c r="O96" i="64"/>
  <c r="M97" i="64"/>
  <c r="N97" i="64"/>
  <c r="O97" i="64"/>
  <c r="M98" i="64"/>
  <c r="N98" i="64"/>
  <c r="O98" i="64"/>
  <c r="M99" i="64"/>
  <c r="N99" i="64"/>
  <c r="O99" i="64"/>
  <c r="M100" i="64"/>
  <c r="N100" i="64"/>
  <c r="O100" i="64"/>
  <c r="M101" i="64"/>
  <c r="N101" i="64"/>
  <c r="O101" i="64"/>
  <c r="M102" i="64"/>
  <c r="N102" i="64"/>
  <c r="O102" i="64"/>
  <c r="M103" i="64"/>
  <c r="N103" i="64"/>
  <c r="O103" i="64"/>
  <c r="M104" i="64"/>
  <c r="N104" i="64"/>
  <c r="O104" i="64"/>
  <c r="M105" i="64"/>
  <c r="N105" i="64"/>
  <c r="O105" i="64"/>
  <c r="M106" i="64"/>
  <c r="N106" i="64"/>
  <c r="O106" i="64"/>
  <c r="M107" i="64"/>
  <c r="N107" i="64"/>
  <c r="O107" i="64"/>
  <c r="M108" i="64"/>
  <c r="N108" i="64"/>
  <c r="O108" i="64"/>
  <c r="M109" i="64"/>
  <c r="N109" i="64"/>
  <c r="O109" i="64"/>
  <c r="M110" i="64"/>
  <c r="N110" i="64"/>
  <c r="O110" i="64"/>
  <c r="M111" i="64"/>
  <c r="N111" i="64"/>
  <c r="O111" i="64"/>
  <c r="M112" i="64"/>
  <c r="N112" i="64"/>
  <c r="O112" i="64"/>
  <c r="M113" i="64"/>
  <c r="N113" i="64"/>
  <c r="O113" i="64"/>
  <c r="M114" i="64"/>
  <c r="N114" i="64"/>
  <c r="O114" i="64"/>
  <c r="M115" i="64"/>
  <c r="N115" i="64"/>
  <c r="O115" i="64"/>
  <c r="M116" i="64"/>
  <c r="N116" i="64"/>
  <c r="O116" i="64"/>
  <c r="M117" i="64"/>
  <c r="N117" i="64"/>
  <c r="O117" i="64"/>
  <c r="M118" i="64"/>
  <c r="N118" i="64"/>
  <c r="O118" i="64"/>
  <c r="M119" i="64"/>
  <c r="N119" i="64"/>
  <c r="O119" i="64"/>
  <c r="M120" i="64"/>
  <c r="N120" i="64"/>
  <c r="O120" i="64"/>
  <c r="M121" i="64"/>
  <c r="N121" i="64"/>
  <c r="O121" i="64"/>
  <c r="M122" i="64"/>
  <c r="N122" i="64"/>
  <c r="O122" i="64"/>
  <c r="M123" i="64"/>
  <c r="N123" i="64"/>
  <c r="O123" i="64"/>
  <c r="M124" i="64"/>
  <c r="N124" i="64"/>
  <c r="O124" i="64"/>
  <c r="M125" i="64"/>
  <c r="N125" i="64"/>
  <c r="O125" i="64"/>
  <c r="M126" i="64"/>
  <c r="N126" i="64"/>
  <c r="O126" i="64"/>
  <c r="M127" i="64"/>
  <c r="N127" i="64"/>
  <c r="O127" i="64"/>
  <c r="M5" i="64"/>
  <c r="N5" i="64"/>
  <c r="O5" i="64"/>
  <c r="N5" i="63"/>
  <c r="O5" i="63"/>
  <c r="P5" i="63"/>
  <c r="N6" i="63"/>
  <c r="O6" i="63"/>
  <c r="P6" i="63"/>
  <c r="N7" i="63"/>
  <c r="O7" i="63"/>
  <c r="P7" i="63"/>
  <c r="N8" i="63"/>
  <c r="O8" i="63"/>
  <c r="P8" i="63"/>
  <c r="N9" i="63"/>
  <c r="O9" i="63"/>
  <c r="P9" i="63"/>
  <c r="N10" i="63"/>
  <c r="O10" i="63"/>
  <c r="P10" i="63"/>
  <c r="N11" i="63"/>
  <c r="O11" i="63"/>
  <c r="P11" i="63"/>
  <c r="N12" i="63"/>
  <c r="O12" i="63"/>
  <c r="P12" i="63"/>
  <c r="N13" i="63"/>
  <c r="O13" i="63"/>
  <c r="P13" i="63"/>
  <c r="N14" i="63"/>
  <c r="O14" i="63"/>
  <c r="P14" i="63"/>
  <c r="N15" i="63"/>
  <c r="O15" i="63"/>
  <c r="P15" i="63"/>
  <c r="N16" i="63"/>
  <c r="O16" i="63"/>
  <c r="P16" i="63"/>
  <c r="N17" i="63"/>
  <c r="O17" i="63"/>
  <c r="P17" i="63"/>
  <c r="N18" i="63"/>
  <c r="O18" i="63"/>
  <c r="P18" i="63"/>
  <c r="N19" i="63"/>
  <c r="O19" i="63"/>
  <c r="P19" i="63"/>
  <c r="N20" i="63"/>
  <c r="O20" i="63"/>
  <c r="P20" i="63"/>
  <c r="N21" i="63"/>
  <c r="O21" i="63"/>
  <c r="P21" i="63"/>
  <c r="N22" i="63"/>
  <c r="O22" i="63"/>
  <c r="P22" i="63"/>
  <c r="N23" i="63"/>
  <c r="O23" i="63"/>
  <c r="P23" i="63"/>
  <c r="N24" i="63"/>
  <c r="O24" i="63"/>
  <c r="P24" i="63"/>
  <c r="N25" i="63"/>
  <c r="O25" i="63"/>
  <c r="P25" i="63"/>
  <c r="N26" i="63"/>
  <c r="O26" i="63"/>
  <c r="P26" i="63"/>
  <c r="N27" i="63"/>
  <c r="O27" i="63"/>
  <c r="P27" i="63"/>
  <c r="N28" i="63"/>
  <c r="O28" i="63"/>
  <c r="P28" i="63"/>
  <c r="N29" i="63"/>
  <c r="O29" i="63"/>
  <c r="P29" i="63"/>
  <c r="N30" i="63"/>
  <c r="O30" i="63"/>
  <c r="P30" i="63"/>
  <c r="N31" i="63"/>
  <c r="O31" i="63"/>
  <c r="P31" i="63"/>
  <c r="N32" i="63"/>
  <c r="O32" i="63"/>
  <c r="P32" i="63"/>
  <c r="N33" i="63"/>
  <c r="O33" i="63"/>
  <c r="P33" i="63"/>
  <c r="N34" i="63"/>
  <c r="O34" i="63"/>
  <c r="P34" i="63"/>
  <c r="N35" i="63"/>
  <c r="O35" i="63"/>
  <c r="P35" i="63"/>
  <c r="N36" i="63"/>
  <c r="O36" i="63"/>
  <c r="P36" i="63"/>
  <c r="N37" i="63"/>
  <c r="O37" i="63"/>
  <c r="P37" i="63"/>
  <c r="N38" i="63"/>
  <c r="O38" i="63"/>
  <c r="P38" i="63"/>
  <c r="N39" i="63"/>
  <c r="O39" i="63"/>
  <c r="P39" i="63"/>
  <c r="N40" i="63"/>
  <c r="O40" i="63"/>
  <c r="P40" i="63"/>
  <c r="N41" i="63"/>
  <c r="O41" i="63"/>
  <c r="P41" i="63"/>
  <c r="N42" i="63"/>
  <c r="O42" i="63"/>
  <c r="P42" i="63"/>
  <c r="N43" i="63"/>
  <c r="O43" i="63"/>
  <c r="P43" i="63"/>
  <c r="N44" i="63"/>
  <c r="O44" i="63"/>
  <c r="P44" i="63"/>
  <c r="N45" i="63"/>
  <c r="O45" i="63"/>
  <c r="P45" i="63"/>
  <c r="N46" i="63"/>
  <c r="O46" i="63"/>
  <c r="P46" i="63"/>
  <c r="N47" i="63"/>
  <c r="O47" i="63"/>
  <c r="P47" i="63"/>
  <c r="N48" i="63"/>
  <c r="O48" i="63"/>
  <c r="P48" i="63"/>
  <c r="N49" i="63"/>
  <c r="O49" i="63"/>
  <c r="P49" i="63"/>
  <c r="N50" i="63"/>
  <c r="O50" i="63"/>
  <c r="P50" i="63"/>
  <c r="N51" i="63"/>
  <c r="O51" i="63"/>
  <c r="P51" i="63"/>
  <c r="N52" i="63"/>
  <c r="O52" i="63"/>
  <c r="P52" i="63"/>
  <c r="N53" i="63"/>
  <c r="O53" i="63"/>
  <c r="P53" i="63"/>
  <c r="N54" i="63"/>
  <c r="O54" i="63"/>
  <c r="P54" i="63"/>
  <c r="N55" i="63"/>
  <c r="O55" i="63"/>
  <c r="P55" i="63"/>
  <c r="N56" i="63"/>
  <c r="O56" i="63"/>
  <c r="P56" i="63"/>
  <c r="N57" i="63"/>
  <c r="O57" i="63"/>
  <c r="P57" i="63"/>
  <c r="N58" i="63"/>
  <c r="O58" i="63"/>
  <c r="P58" i="63"/>
  <c r="N59" i="63"/>
  <c r="O59" i="63"/>
  <c r="P59" i="63"/>
  <c r="N60" i="63"/>
  <c r="O60" i="63"/>
  <c r="P60" i="63"/>
  <c r="N61" i="63"/>
  <c r="O61" i="63"/>
  <c r="P61" i="63"/>
  <c r="N62" i="63"/>
  <c r="O62" i="63"/>
  <c r="P62" i="63"/>
  <c r="N63" i="63"/>
  <c r="O63" i="63"/>
  <c r="P63" i="63"/>
  <c r="N64" i="63"/>
  <c r="O64" i="63"/>
  <c r="P64" i="63"/>
  <c r="N65" i="63"/>
  <c r="O65" i="63"/>
  <c r="P65" i="63"/>
  <c r="N66" i="63"/>
  <c r="O66" i="63"/>
  <c r="P66" i="63"/>
  <c r="N67" i="63"/>
  <c r="O67" i="63"/>
  <c r="P67" i="63"/>
  <c r="N68" i="63"/>
  <c r="O68" i="63"/>
  <c r="P68" i="63"/>
  <c r="N69" i="63"/>
  <c r="O69" i="63"/>
  <c r="P69" i="63"/>
  <c r="N70" i="63"/>
  <c r="O70" i="63"/>
  <c r="P70" i="63"/>
  <c r="N71" i="63"/>
  <c r="O71" i="63"/>
  <c r="P71" i="63"/>
  <c r="N72" i="63"/>
  <c r="O72" i="63"/>
  <c r="P72" i="63"/>
  <c r="N73" i="63"/>
  <c r="O73" i="63"/>
  <c r="P73" i="63"/>
  <c r="N74" i="63"/>
  <c r="O74" i="63"/>
  <c r="P74" i="63"/>
  <c r="N75" i="63"/>
  <c r="O75" i="63"/>
  <c r="P75" i="63"/>
  <c r="N76" i="63"/>
  <c r="O76" i="63"/>
  <c r="P76" i="63"/>
  <c r="N77" i="63"/>
  <c r="O77" i="63"/>
  <c r="P77" i="63"/>
  <c r="N78" i="63"/>
  <c r="O78" i="63"/>
  <c r="P78" i="63"/>
  <c r="N79" i="63"/>
  <c r="O79" i="63"/>
  <c r="P79" i="63"/>
  <c r="N80" i="63"/>
  <c r="O80" i="63"/>
  <c r="P80" i="63"/>
  <c r="N81" i="63"/>
  <c r="O81" i="63"/>
  <c r="P81" i="63"/>
  <c r="N82" i="63"/>
  <c r="O82" i="63"/>
  <c r="P82" i="63"/>
  <c r="N83" i="63"/>
  <c r="O83" i="63"/>
  <c r="P83" i="63"/>
  <c r="N84" i="63"/>
  <c r="O84" i="63"/>
  <c r="P84" i="63"/>
  <c r="N85" i="63"/>
  <c r="O85" i="63"/>
  <c r="P85" i="63"/>
  <c r="N86" i="63"/>
  <c r="O86" i="63"/>
  <c r="P86" i="63"/>
  <c r="N87" i="63"/>
  <c r="O87" i="63"/>
  <c r="P87" i="63"/>
  <c r="N88" i="63"/>
  <c r="O88" i="63"/>
  <c r="P88" i="63"/>
  <c r="N89" i="63"/>
  <c r="O89" i="63"/>
  <c r="P89" i="63"/>
  <c r="N90" i="63"/>
  <c r="O90" i="63"/>
  <c r="P90" i="63"/>
  <c r="N91" i="63"/>
  <c r="O91" i="63"/>
  <c r="P91" i="63"/>
  <c r="N92" i="63"/>
  <c r="O92" i="63"/>
  <c r="P92" i="63"/>
  <c r="N93" i="63"/>
  <c r="O93" i="63"/>
  <c r="P93" i="63"/>
  <c r="N94" i="63"/>
  <c r="O94" i="63"/>
  <c r="P94" i="63"/>
  <c r="N95" i="63"/>
  <c r="O95" i="63"/>
  <c r="P95" i="63"/>
  <c r="N96" i="63"/>
  <c r="O96" i="63"/>
  <c r="P96" i="63"/>
  <c r="N97" i="63"/>
  <c r="O97" i="63"/>
  <c r="P97" i="63"/>
  <c r="N98" i="63"/>
  <c r="O98" i="63"/>
  <c r="P98" i="63"/>
  <c r="N99" i="63"/>
  <c r="O99" i="63"/>
  <c r="P99" i="63"/>
  <c r="N100" i="63"/>
  <c r="O100" i="63"/>
  <c r="P100" i="63"/>
  <c r="N101" i="63"/>
  <c r="O101" i="63"/>
  <c r="P101" i="63"/>
  <c r="N102" i="63"/>
  <c r="O102" i="63"/>
  <c r="P102" i="63"/>
  <c r="N103" i="63"/>
  <c r="O103" i="63"/>
  <c r="P103" i="63"/>
  <c r="N104" i="63"/>
  <c r="O104" i="63"/>
  <c r="P104" i="63"/>
  <c r="N105" i="63"/>
  <c r="O105" i="63"/>
  <c r="P105" i="63"/>
  <c r="N106" i="63"/>
  <c r="O106" i="63"/>
  <c r="P106" i="63"/>
  <c r="N107" i="63"/>
  <c r="O107" i="63"/>
  <c r="P107" i="63"/>
  <c r="N108" i="63"/>
  <c r="O108" i="63"/>
  <c r="P108" i="63"/>
  <c r="N109" i="63"/>
  <c r="O109" i="63"/>
  <c r="P109" i="63"/>
  <c r="N110" i="63"/>
  <c r="O110" i="63"/>
  <c r="P110" i="63"/>
  <c r="N111" i="63"/>
  <c r="O111" i="63"/>
  <c r="P111" i="63"/>
  <c r="N112" i="63"/>
  <c r="O112" i="63"/>
  <c r="P112" i="63"/>
  <c r="N113" i="63"/>
  <c r="O113" i="63"/>
  <c r="P113" i="63"/>
  <c r="N114" i="63"/>
  <c r="O114" i="63"/>
  <c r="P114" i="63"/>
  <c r="N115" i="63"/>
  <c r="O115" i="63"/>
  <c r="P115" i="63"/>
  <c r="N116" i="63"/>
  <c r="O116" i="63"/>
  <c r="P116" i="63"/>
  <c r="N117" i="63"/>
  <c r="O117" i="63"/>
  <c r="P117" i="63"/>
  <c r="N118" i="63"/>
  <c r="O118" i="63"/>
  <c r="P118" i="63"/>
  <c r="N119" i="63"/>
  <c r="O119" i="63"/>
  <c r="P119" i="63"/>
  <c r="N120" i="63"/>
  <c r="O120" i="63"/>
  <c r="P120" i="63"/>
  <c r="N121" i="63"/>
  <c r="O121" i="63"/>
  <c r="P121" i="63"/>
  <c r="N122" i="63"/>
  <c r="O122" i="63"/>
  <c r="P122" i="63"/>
  <c r="N123" i="63"/>
  <c r="O123" i="63"/>
  <c r="P123" i="63"/>
  <c r="N124" i="63"/>
  <c r="O124" i="63"/>
  <c r="P124" i="63"/>
  <c r="N125" i="63"/>
  <c r="O125" i="63"/>
  <c r="P125" i="63"/>
  <c r="O126" i="63"/>
  <c r="P126" i="63"/>
  <c r="Q4" i="63"/>
  <c r="R4" i="63"/>
  <c r="S4" i="63"/>
  <c r="U4" i="63"/>
  <c r="M8" i="65"/>
  <c r="M4" i="66"/>
  <c r="N4" i="66"/>
  <c r="O4" i="66"/>
  <c r="Q4" i="66"/>
  <c r="M5" i="66"/>
  <c r="N5" i="66"/>
  <c r="O5" i="66"/>
  <c r="Q5" i="66"/>
  <c r="M6" i="66"/>
  <c r="N6" i="66"/>
  <c r="O6" i="66"/>
  <c r="Q6" i="66"/>
  <c r="M7" i="66"/>
  <c r="N7" i="66"/>
  <c r="O7" i="66"/>
  <c r="Q7" i="66"/>
  <c r="M3" i="66"/>
  <c r="N3" i="66"/>
  <c r="O3" i="66"/>
  <c r="Q3" i="66"/>
  <c r="Q8" i="66"/>
  <c r="D7" i="62"/>
  <c r="N4" i="65"/>
  <c r="O4" i="65"/>
  <c r="P4" i="65"/>
  <c r="R4" i="65"/>
  <c r="N5" i="65"/>
  <c r="O5" i="65"/>
  <c r="P5" i="65"/>
  <c r="R5" i="65"/>
  <c r="N6" i="65"/>
  <c r="O6" i="65"/>
  <c r="P6" i="65"/>
  <c r="R6" i="65"/>
  <c r="N7" i="65"/>
  <c r="O7" i="65"/>
  <c r="P7" i="65"/>
  <c r="R7" i="65"/>
  <c r="N3" i="65"/>
  <c r="O3" i="65"/>
  <c r="P3" i="65"/>
  <c r="R3" i="65"/>
  <c r="C12" i="62"/>
  <c r="E12" i="62"/>
  <c r="E11" i="62"/>
  <c r="C25" i="62"/>
  <c r="E17" i="62"/>
  <c r="W7" i="54"/>
  <c r="Y7" i="54"/>
  <c r="W8" i="54"/>
  <c r="Y8" i="54"/>
  <c r="W9" i="54"/>
  <c r="Y9" i="54"/>
  <c r="W10" i="54"/>
  <c r="Y10" i="54"/>
  <c r="W11" i="54"/>
  <c r="Y11" i="54"/>
  <c r="W12" i="54"/>
  <c r="Y12" i="54"/>
  <c r="W13" i="54"/>
  <c r="Y13" i="54"/>
  <c r="W14" i="54"/>
  <c r="Y14" i="54"/>
  <c r="W15" i="54"/>
  <c r="Y15" i="54"/>
  <c r="W16" i="54"/>
  <c r="Y16" i="54"/>
  <c r="W17" i="54"/>
  <c r="Y17" i="54"/>
  <c r="W18" i="54"/>
  <c r="Y18" i="54"/>
  <c r="W19" i="54"/>
  <c r="Y19" i="54"/>
  <c r="W20" i="54"/>
  <c r="Y20" i="54"/>
  <c r="W21" i="54"/>
  <c r="Y21" i="54"/>
  <c r="W22" i="54"/>
  <c r="Y22" i="54"/>
  <c r="W23" i="54"/>
  <c r="Y23" i="54"/>
  <c r="W24" i="54"/>
  <c r="Y24" i="54"/>
  <c r="W25" i="54"/>
  <c r="Y25" i="54"/>
  <c r="Y28" i="54"/>
  <c r="W28" i="54"/>
  <c r="V28" i="54"/>
  <c r="Y29" i="54"/>
  <c r="W29" i="54"/>
  <c r="Y32" i="54"/>
  <c r="W32" i="54"/>
  <c r="V32" i="54"/>
  <c r="Y33" i="54"/>
  <c r="W33" i="54"/>
  <c r="Y36" i="54"/>
  <c r="W36" i="54"/>
  <c r="V36" i="54"/>
  <c r="Y37" i="54"/>
  <c r="W37" i="54"/>
  <c r="Y40" i="54"/>
  <c r="W40" i="54"/>
  <c r="V40" i="54"/>
  <c r="Y41" i="54"/>
  <c r="W41" i="54"/>
  <c r="Y44" i="54"/>
  <c r="W44" i="54"/>
  <c r="V44" i="54"/>
  <c r="Y45" i="54"/>
  <c r="W45" i="54"/>
  <c r="Y48" i="54"/>
  <c r="W48" i="54"/>
  <c r="V48" i="54"/>
  <c r="Y49" i="54"/>
  <c r="W49" i="54"/>
  <c r="Y52" i="54"/>
  <c r="W52" i="54"/>
  <c r="V52" i="54"/>
  <c r="Y53" i="54"/>
  <c r="W53" i="54"/>
  <c r="Y56" i="54"/>
  <c r="W56" i="54"/>
  <c r="V56" i="54"/>
  <c r="Y57" i="54"/>
  <c r="W57" i="54"/>
  <c r="Y60" i="54"/>
  <c r="W60" i="54"/>
  <c r="V60" i="54"/>
  <c r="Y61" i="54"/>
  <c r="W61" i="54"/>
  <c r="Y64" i="54"/>
  <c r="W64" i="54"/>
  <c r="V64" i="54"/>
  <c r="Y65" i="54"/>
  <c r="W65" i="54"/>
  <c r="Y68" i="54"/>
  <c r="W68" i="54"/>
  <c r="V68" i="54"/>
  <c r="Y69" i="54"/>
  <c r="W69" i="54"/>
  <c r="Y72" i="54"/>
  <c r="W72" i="54"/>
  <c r="V72" i="54"/>
  <c r="Y73" i="54"/>
  <c r="W73" i="54"/>
  <c r="Y76" i="54"/>
  <c r="W76" i="54"/>
  <c r="V76" i="54"/>
  <c r="Y77" i="54"/>
  <c r="W77" i="54"/>
  <c r="Y80" i="54"/>
  <c r="W80" i="54"/>
  <c r="V80" i="54"/>
  <c r="Y81" i="54"/>
  <c r="W81" i="54"/>
  <c r="Y84" i="54"/>
  <c r="W84" i="54"/>
  <c r="V84" i="54"/>
  <c r="Y85" i="54"/>
  <c r="W85" i="54"/>
  <c r="Y88" i="54"/>
  <c r="W88" i="54"/>
  <c r="V88" i="54"/>
  <c r="Y89" i="54"/>
  <c r="W89" i="54"/>
  <c r="Y92" i="54"/>
  <c r="W92" i="54"/>
  <c r="V92" i="54"/>
  <c r="Y93" i="54"/>
  <c r="W93" i="54"/>
  <c r="Y96" i="54"/>
  <c r="W96" i="54"/>
  <c r="V96" i="54"/>
  <c r="Y97" i="54"/>
  <c r="W97" i="54"/>
  <c r="Y100" i="54"/>
  <c r="W100" i="54"/>
  <c r="V100" i="54"/>
  <c r="Y101" i="54"/>
  <c r="W101" i="54"/>
  <c r="Y104" i="54"/>
  <c r="W104" i="54"/>
  <c r="V104" i="54"/>
  <c r="Y105" i="54"/>
  <c r="W105" i="54"/>
  <c r="Y108" i="54"/>
  <c r="W108" i="54"/>
  <c r="V108" i="54"/>
  <c r="Y109" i="54"/>
  <c r="W109" i="54"/>
  <c r="V27" i="54"/>
  <c r="V31" i="54"/>
  <c r="V35" i="54"/>
  <c r="V39" i="54"/>
  <c r="V43" i="54"/>
  <c r="V47" i="54"/>
  <c r="V51" i="54"/>
  <c r="V55" i="54"/>
  <c r="V59" i="54"/>
  <c r="V63" i="54"/>
  <c r="V67" i="54"/>
  <c r="V71" i="54"/>
  <c r="V75" i="54"/>
  <c r="V79" i="54"/>
  <c r="V83" i="54"/>
  <c r="V87" i="54"/>
  <c r="V91" i="54"/>
  <c r="V95" i="54"/>
  <c r="V99" i="54"/>
  <c r="V103" i="54"/>
  <c r="V107" i="54"/>
  <c r="V7" i="54"/>
  <c r="V8" i="54"/>
  <c r="V9" i="54"/>
  <c r="V10" i="54"/>
  <c r="V11" i="54"/>
  <c r="V12" i="54"/>
  <c r="V13" i="54"/>
  <c r="V14" i="54"/>
  <c r="V15" i="54"/>
  <c r="V16" i="54"/>
  <c r="V17" i="54"/>
  <c r="V18" i="54"/>
  <c r="V19" i="54"/>
  <c r="V20" i="54"/>
  <c r="V21" i="54"/>
  <c r="V22" i="54"/>
  <c r="V23" i="54"/>
  <c r="V24" i="54"/>
  <c r="V25" i="54"/>
  <c r="V26" i="54"/>
  <c r="W27" i="54"/>
  <c r="V30" i="54"/>
  <c r="W31" i="54"/>
  <c r="V34" i="54"/>
  <c r="W35" i="54"/>
  <c r="V38" i="54"/>
  <c r="W39" i="54"/>
  <c r="V42" i="54"/>
  <c r="W43" i="54"/>
  <c r="V46" i="54"/>
  <c r="W47" i="54"/>
  <c r="V50" i="54"/>
  <c r="W51" i="54"/>
  <c r="V54" i="54"/>
  <c r="W55" i="54"/>
  <c r="V58" i="54"/>
  <c r="W59" i="54"/>
  <c r="V62" i="54"/>
  <c r="W63" i="54"/>
  <c r="V66" i="54"/>
  <c r="W67" i="54"/>
  <c r="V70" i="54"/>
  <c r="W71" i="54"/>
  <c r="V74" i="54"/>
  <c r="W75" i="54"/>
  <c r="V78" i="54"/>
  <c r="W79" i="54"/>
  <c r="V82" i="54"/>
  <c r="W83" i="54"/>
  <c r="V86" i="54"/>
  <c r="W87" i="54"/>
  <c r="V90" i="54"/>
  <c r="W91" i="54"/>
  <c r="V94" i="54"/>
  <c r="W95" i="54"/>
  <c r="V98" i="54"/>
  <c r="W99" i="54"/>
  <c r="V102" i="54"/>
  <c r="W103" i="54"/>
  <c r="V106" i="54"/>
  <c r="W107" i="54"/>
  <c r="V110" i="54"/>
  <c r="W26" i="54"/>
  <c r="V29" i="54"/>
  <c r="W30" i="54"/>
  <c r="V33" i="54"/>
  <c r="W34" i="54"/>
  <c r="V37" i="54"/>
  <c r="W38" i="54"/>
  <c r="V41" i="54"/>
  <c r="W42" i="54"/>
  <c r="V45" i="54"/>
  <c r="W46" i="54"/>
  <c r="V49" i="54"/>
  <c r="W50" i="54"/>
  <c r="V53" i="54"/>
  <c r="W54" i="54"/>
  <c r="V57" i="54"/>
  <c r="W58" i="54"/>
  <c r="V61" i="54"/>
  <c r="W62" i="54"/>
  <c r="V65" i="54"/>
  <c r="W66" i="54"/>
  <c r="V69" i="54"/>
  <c r="W70" i="54"/>
  <c r="V73" i="54"/>
  <c r="W74" i="54"/>
  <c r="V77" i="54"/>
  <c r="W78" i="54"/>
  <c r="V81" i="54"/>
  <c r="W82" i="54"/>
  <c r="V85" i="54"/>
  <c r="W86" i="54"/>
  <c r="V89" i="54"/>
  <c r="W90" i="54"/>
  <c r="V93" i="54"/>
  <c r="W94" i="54"/>
  <c r="V97" i="54"/>
  <c r="W98" i="54"/>
  <c r="V101" i="54"/>
  <c r="W102" i="54"/>
  <c r="V105" i="54"/>
  <c r="W106" i="54"/>
  <c r="V109" i="54"/>
  <c r="W110" i="54"/>
  <c r="P127" i="64"/>
  <c r="Q127" i="64"/>
  <c r="R127" i="64"/>
  <c r="T127" i="64"/>
  <c r="P126" i="64"/>
  <c r="Q126" i="64"/>
  <c r="R126" i="64"/>
  <c r="T126" i="64"/>
  <c r="P125" i="64"/>
  <c r="Q125" i="64"/>
  <c r="R125" i="64"/>
  <c r="T125" i="64"/>
  <c r="P124" i="64"/>
  <c r="Q124" i="64"/>
  <c r="R124" i="64"/>
  <c r="T124" i="64"/>
  <c r="P123" i="64"/>
  <c r="Q123" i="64"/>
  <c r="R123" i="64"/>
  <c r="T123" i="64"/>
  <c r="P122" i="64"/>
  <c r="Q122" i="64"/>
  <c r="R122" i="64"/>
  <c r="T122" i="64"/>
  <c r="P121" i="64"/>
  <c r="Q121" i="64"/>
  <c r="R121" i="64"/>
  <c r="T121" i="64"/>
  <c r="P120" i="64"/>
  <c r="Q120" i="64"/>
  <c r="R120" i="64"/>
  <c r="T120" i="64"/>
  <c r="P119" i="64"/>
  <c r="Q119" i="64"/>
  <c r="R119" i="64"/>
  <c r="T119" i="64"/>
  <c r="P118" i="64"/>
  <c r="Q118" i="64"/>
  <c r="R118" i="64"/>
  <c r="T118" i="64"/>
  <c r="P117" i="64"/>
  <c r="Q117" i="64"/>
  <c r="R117" i="64"/>
  <c r="T117" i="64"/>
  <c r="P116" i="64"/>
  <c r="Q116" i="64"/>
  <c r="R116" i="64"/>
  <c r="T116" i="64"/>
  <c r="P115" i="64"/>
  <c r="Q115" i="64"/>
  <c r="R115" i="64"/>
  <c r="T115" i="64"/>
  <c r="P114" i="64"/>
  <c r="Q114" i="64"/>
  <c r="R114" i="64"/>
  <c r="T114" i="64"/>
  <c r="P113" i="64"/>
  <c r="Q113" i="64"/>
  <c r="R113" i="64"/>
  <c r="T113" i="64"/>
  <c r="P112" i="64"/>
  <c r="Q112" i="64"/>
  <c r="R112" i="64"/>
  <c r="T112" i="64"/>
  <c r="P111" i="64"/>
  <c r="Q111" i="64"/>
  <c r="R111" i="64"/>
  <c r="T111" i="64"/>
  <c r="P110" i="64"/>
  <c r="Q110" i="64"/>
  <c r="R110" i="64"/>
  <c r="T110" i="64"/>
  <c r="P109" i="64"/>
  <c r="Q109" i="64"/>
  <c r="R109" i="64"/>
  <c r="T109" i="64"/>
  <c r="P108" i="64"/>
  <c r="Q108" i="64"/>
  <c r="R108" i="64"/>
  <c r="T108" i="64"/>
  <c r="P107" i="64"/>
  <c r="Q107" i="64"/>
  <c r="R107" i="64"/>
  <c r="T107" i="64"/>
  <c r="P106" i="64"/>
  <c r="Q106" i="64"/>
  <c r="R106" i="64"/>
  <c r="T106" i="64"/>
  <c r="P105" i="64"/>
  <c r="Q105" i="64"/>
  <c r="R105" i="64"/>
  <c r="T105" i="64"/>
  <c r="P104" i="64"/>
  <c r="Q104" i="64"/>
  <c r="R104" i="64"/>
  <c r="T104" i="64"/>
  <c r="P103" i="64"/>
  <c r="Q103" i="64"/>
  <c r="R103" i="64"/>
  <c r="T103" i="64"/>
  <c r="P102" i="64"/>
  <c r="Q102" i="64"/>
  <c r="R102" i="64"/>
  <c r="T102" i="64"/>
  <c r="P101" i="64"/>
  <c r="Q101" i="64"/>
  <c r="R101" i="64"/>
  <c r="T101" i="64"/>
  <c r="P100" i="64"/>
  <c r="Q100" i="64"/>
  <c r="R100" i="64"/>
  <c r="T100" i="64"/>
  <c r="P99" i="64"/>
  <c r="Q99" i="64"/>
  <c r="R99" i="64"/>
  <c r="T99" i="64"/>
  <c r="P98" i="64"/>
  <c r="Q98" i="64"/>
  <c r="R98" i="64"/>
  <c r="T98" i="64"/>
  <c r="P97" i="64"/>
  <c r="Q97" i="64"/>
  <c r="R97" i="64"/>
  <c r="T97" i="64"/>
  <c r="P96" i="64"/>
  <c r="Q96" i="64"/>
  <c r="R96" i="64"/>
  <c r="T96" i="64"/>
  <c r="P95" i="64"/>
  <c r="Q95" i="64"/>
  <c r="R95" i="64"/>
  <c r="T95" i="64"/>
  <c r="P94" i="64"/>
  <c r="Q94" i="64"/>
  <c r="R94" i="64"/>
  <c r="T94" i="64"/>
  <c r="P93" i="64"/>
  <c r="Q93" i="64"/>
  <c r="R93" i="64"/>
  <c r="T93" i="64"/>
  <c r="P92" i="64"/>
  <c r="Q92" i="64"/>
  <c r="R92" i="64"/>
  <c r="T92" i="64"/>
  <c r="P91" i="64"/>
  <c r="Q91" i="64"/>
  <c r="R91" i="64"/>
  <c r="T91" i="64"/>
  <c r="P90" i="64"/>
  <c r="Q90" i="64"/>
  <c r="R90" i="64"/>
  <c r="T90" i="64"/>
  <c r="P89" i="64"/>
  <c r="Q89" i="64"/>
  <c r="R89" i="64"/>
  <c r="T89" i="64"/>
  <c r="P88" i="64"/>
  <c r="Q88" i="64"/>
  <c r="R88" i="64"/>
  <c r="T88" i="64"/>
  <c r="P87" i="64"/>
  <c r="Q87" i="64"/>
  <c r="R87" i="64"/>
  <c r="T87" i="64"/>
  <c r="P86" i="64"/>
  <c r="Q86" i="64"/>
  <c r="R86" i="64"/>
  <c r="T86" i="64"/>
  <c r="P85" i="64"/>
  <c r="Q85" i="64"/>
  <c r="R85" i="64"/>
  <c r="T85" i="64"/>
  <c r="P84" i="64"/>
  <c r="Q84" i="64"/>
  <c r="R84" i="64"/>
  <c r="T84" i="64"/>
  <c r="P83" i="64"/>
  <c r="Q83" i="64"/>
  <c r="R83" i="64"/>
  <c r="T83" i="64"/>
  <c r="P82" i="64"/>
  <c r="Q82" i="64"/>
  <c r="R82" i="64"/>
  <c r="T82" i="64"/>
  <c r="P81" i="64"/>
  <c r="Q81" i="64"/>
  <c r="R81" i="64"/>
  <c r="T81" i="64"/>
  <c r="P80" i="64"/>
  <c r="Q80" i="64"/>
  <c r="R80" i="64"/>
  <c r="T80" i="64"/>
  <c r="P79" i="64"/>
  <c r="Q79" i="64"/>
  <c r="R79" i="64"/>
  <c r="T79" i="64"/>
  <c r="P78" i="64"/>
  <c r="Q78" i="64"/>
  <c r="R78" i="64"/>
  <c r="T78" i="64"/>
  <c r="P77" i="64"/>
  <c r="Q77" i="64"/>
  <c r="R77" i="64"/>
  <c r="T77" i="64"/>
  <c r="P76" i="64"/>
  <c r="Q76" i="64"/>
  <c r="R76" i="64"/>
  <c r="T76" i="64"/>
  <c r="P75" i="64"/>
  <c r="Q75" i="64"/>
  <c r="R75" i="64"/>
  <c r="T75" i="64"/>
  <c r="P74" i="64"/>
  <c r="Q74" i="64"/>
  <c r="R74" i="64"/>
  <c r="T74" i="64"/>
  <c r="P73" i="64"/>
  <c r="Q73" i="64"/>
  <c r="R73" i="64"/>
  <c r="T73" i="64"/>
  <c r="P72" i="64"/>
  <c r="Q72" i="64"/>
  <c r="R72" i="64"/>
  <c r="T72" i="64"/>
  <c r="P71" i="64"/>
  <c r="Q71" i="64"/>
  <c r="R71" i="64"/>
  <c r="T71" i="64"/>
  <c r="P70" i="64"/>
  <c r="Q70" i="64"/>
  <c r="R70" i="64"/>
  <c r="T70" i="64"/>
  <c r="P69" i="64"/>
  <c r="Q69" i="64"/>
  <c r="R69" i="64"/>
  <c r="T69" i="64"/>
  <c r="P68" i="64"/>
  <c r="Q68" i="64"/>
  <c r="R68" i="64"/>
  <c r="T68" i="64"/>
  <c r="P67" i="64"/>
  <c r="Q67" i="64"/>
  <c r="R67" i="64"/>
  <c r="T67" i="64"/>
  <c r="P66" i="64"/>
  <c r="Q66" i="64"/>
  <c r="R66" i="64"/>
  <c r="T66" i="64"/>
  <c r="P65" i="64"/>
  <c r="Q65" i="64"/>
  <c r="R65" i="64"/>
  <c r="T65" i="64"/>
  <c r="P64" i="64"/>
  <c r="Q64" i="64"/>
  <c r="R64" i="64"/>
  <c r="T64" i="64"/>
  <c r="P63" i="64"/>
  <c r="Q63" i="64"/>
  <c r="R63" i="64"/>
  <c r="T63" i="64"/>
  <c r="P62" i="64"/>
  <c r="Q62" i="64"/>
  <c r="R62" i="64"/>
  <c r="T62" i="64"/>
  <c r="P61" i="64"/>
  <c r="Q61" i="64"/>
  <c r="R61" i="64"/>
  <c r="T61" i="64"/>
  <c r="P60" i="64"/>
  <c r="Q60" i="64"/>
  <c r="R60" i="64"/>
  <c r="T60" i="64"/>
  <c r="P59" i="64"/>
  <c r="Q59" i="64"/>
  <c r="R59" i="64"/>
  <c r="T59" i="64"/>
  <c r="P58" i="64"/>
  <c r="Q58" i="64"/>
  <c r="R58" i="64"/>
  <c r="T58" i="64"/>
  <c r="P57" i="64"/>
  <c r="Q57" i="64"/>
  <c r="R57" i="64"/>
  <c r="T57" i="64"/>
  <c r="P56" i="64"/>
  <c r="Q56" i="64"/>
  <c r="R56" i="64"/>
  <c r="T56" i="64"/>
  <c r="P55" i="64"/>
  <c r="Q55" i="64"/>
  <c r="R55" i="64"/>
  <c r="T55" i="64"/>
  <c r="P54" i="64"/>
  <c r="Q54" i="64"/>
  <c r="R54" i="64"/>
  <c r="T54" i="64"/>
  <c r="P53" i="64"/>
  <c r="Q53" i="64"/>
  <c r="R53" i="64"/>
  <c r="T53" i="64"/>
  <c r="P52" i="64"/>
  <c r="Q52" i="64"/>
  <c r="R52" i="64"/>
  <c r="T52" i="64"/>
  <c r="P51" i="64"/>
  <c r="Q51" i="64"/>
  <c r="R51" i="64"/>
  <c r="T51" i="64"/>
  <c r="P50" i="64"/>
  <c r="Q50" i="64"/>
  <c r="R50" i="64"/>
  <c r="T50" i="64"/>
  <c r="P49" i="64"/>
  <c r="Q49" i="64"/>
  <c r="R49" i="64"/>
  <c r="T49" i="64"/>
  <c r="P48" i="64"/>
  <c r="Q48" i="64"/>
  <c r="R48" i="64"/>
  <c r="T48" i="64"/>
  <c r="P47" i="64"/>
  <c r="Q47" i="64"/>
  <c r="R47" i="64"/>
  <c r="T47" i="64"/>
  <c r="P46" i="64"/>
  <c r="Q46" i="64"/>
  <c r="R46" i="64"/>
  <c r="T46" i="64"/>
  <c r="P45" i="64"/>
  <c r="Q45" i="64"/>
  <c r="R45" i="64"/>
  <c r="T45" i="64"/>
  <c r="P44" i="64"/>
  <c r="Q44" i="64"/>
  <c r="R44" i="64"/>
  <c r="T44" i="64"/>
  <c r="P43" i="64"/>
  <c r="Q43" i="64"/>
  <c r="R43" i="64"/>
  <c r="T43" i="64"/>
  <c r="P42" i="64"/>
  <c r="Q42" i="64"/>
  <c r="R42" i="64"/>
  <c r="T42" i="64"/>
  <c r="P41" i="64"/>
  <c r="Q41" i="64"/>
  <c r="R41" i="64"/>
  <c r="T41" i="64"/>
  <c r="P40" i="64"/>
  <c r="Q40" i="64"/>
  <c r="R40" i="64"/>
  <c r="T40" i="64"/>
  <c r="P39" i="64"/>
  <c r="Q39" i="64"/>
  <c r="R39" i="64"/>
  <c r="T39" i="64"/>
  <c r="P38" i="64"/>
  <c r="Q38" i="64"/>
  <c r="R38" i="64"/>
  <c r="T38" i="64"/>
  <c r="P37" i="64"/>
  <c r="Q37" i="64"/>
  <c r="R37" i="64"/>
  <c r="T37" i="64"/>
  <c r="P36" i="64"/>
  <c r="Q36" i="64"/>
  <c r="R36" i="64"/>
  <c r="T36" i="64"/>
  <c r="P35" i="64"/>
  <c r="Q35" i="64"/>
  <c r="R35" i="64"/>
  <c r="T35" i="64"/>
  <c r="P34" i="64"/>
  <c r="Q34" i="64"/>
  <c r="R34" i="64"/>
  <c r="T34" i="64"/>
  <c r="P33" i="64"/>
  <c r="Q33" i="64"/>
  <c r="R33" i="64"/>
  <c r="T33" i="64"/>
  <c r="P32" i="64"/>
  <c r="Q32" i="64"/>
  <c r="R32" i="64"/>
  <c r="T32" i="64"/>
  <c r="P31" i="64"/>
  <c r="Q31" i="64"/>
  <c r="R31" i="64"/>
  <c r="T31" i="64"/>
  <c r="P30" i="64"/>
  <c r="Q30" i="64"/>
  <c r="R30" i="64"/>
  <c r="T30" i="64"/>
  <c r="P29" i="64"/>
  <c r="Q29" i="64"/>
  <c r="R29" i="64"/>
  <c r="T29" i="64"/>
  <c r="P28" i="64"/>
  <c r="Q28" i="64"/>
  <c r="R28" i="64"/>
  <c r="T28" i="64"/>
  <c r="P27" i="64"/>
  <c r="Q27" i="64"/>
  <c r="R27" i="64"/>
  <c r="T27" i="64"/>
  <c r="P26" i="64"/>
  <c r="Q26" i="64"/>
  <c r="R26" i="64"/>
  <c r="T26" i="64"/>
  <c r="P25" i="64"/>
  <c r="Q25" i="64"/>
  <c r="R25" i="64"/>
  <c r="T25" i="64"/>
  <c r="P24" i="64"/>
  <c r="Q24" i="64"/>
  <c r="R24" i="64"/>
  <c r="T24" i="64"/>
  <c r="P23" i="64"/>
  <c r="Q23" i="64"/>
  <c r="R23" i="64"/>
  <c r="T23" i="64"/>
  <c r="P22" i="64"/>
  <c r="Q22" i="64"/>
  <c r="R22" i="64"/>
  <c r="T22" i="64"/>
  <c r="P21" i="64"/>
  <c r="Q21" i="64"/>
  <c r="R21" i="64"/>
  <c r="T21" i="64"/>
  <c r="P20" i="64"/>
  <c r="Q20" i="64"/>
  <c r="R20" i="64"/>
  <c r="T20" i="64"/>
  <c r="P19" i="64"/>
  <c r="Q19" i="64"/>
  <c r="R19" i="64"/>
  <c r="T19" i="64"/>
  <c r="P18" i="64"/>
  <c r="Q18" i="64"/>
  <c r="R18" i="64"/>
  <c r="T18" i="64"/>
  <c r="P17" i="64"/>
  <c r="Q17" i="64"/>
  <c r="R17" i="64"/>
  <c r="T17" i="64"/>
  <c r="P16" i="64"/>
  <c r="Q16" i="64"/>
  <c r="R16" i="64"/>
  <c r="T16" i="64"/>
  <c r="P15" i="64"/>
  <c r="Q15" i="64"/>
  <c r="R15" i="64"/>
  <c r="T15" i="64"/>
  <c r="P14" i="64"/>
  <c r="Q14" i="64"/>
  <c r="R14" i="64"/>
  <c r="T14" i="64"/>
  <c r="P13" i="64"/>
  <c r="Q13" i="64"/>
  <c r="R13" i="64"/>
  <c r="T13" i="64"/>
  <c r="P12" i="64"/>
  <c r="Q12" i="64"/>
  <c r="R12" i="64"/>
  <c r="T12" i="64"/>
  <c r="P11" i="64"/>
  <c r="Q11" i="64"/>
  <c r="R11" i="64"/>
  <c r="T11" i="64"/>
  <c r="P10" i="64"/>
  <c r="Q10" i="64"/>
  <c r="R10" i="64"/>
  <c r="T10" i="64"/>
  <c r="P9" i="64"/>
  <c r="Q9" i="64"/>
  <c r="R9" i="64"/>
  <c r="T9" i="64"/>
  <c r="P8" i="64"/>
  <c r="Q8" i="64"/>
  <c r="R8" i="64"/>
  <c r="T8" i="64"/>
  <c r="P7" i="64"/>
  <c r="Q7" i="64"/>
  <c r="R7" i="64"/>
  <c r="T7" i="64"/>
  <c r="P6" i="64"/>
  <c r="Q6" i="64"/>
  <c r="R6" i="64"/>
  <c r="T6" i="64"/>
  <c r="P5" i="64"/>
  <c r="Q5" i="64"/>
  <c r="R5" i="64"/>
  <c r="T5" i="64"/>
  <c r="Q126" i="63"/>
  <c r="R126" i="63"/>
  <c r="S126" i="63"/>
  <c r="U126" i="63"/>
  <c r="Q125" i="63"/>
  <c r="R125" i="63"/>
  <c r="S125" i="63"/>
  <c r="U125" i="63"/>
  <c r="Q124" i="63"/>
  <c r="R124" i="63"/>
  <c r="S124" i="63"/>
  <c r="U124" i="63"/>
  <c r="Q123" i="63"/>
  <c r="R123" i="63"/>
  <c r="S123" i="63"/>
  <c r="U123" i="63"/>
  <c r="Q122" i="63"/>
  <c r="R122" i="63"/>
  <c r="S122" i="63"/>
  <c r="U122" i="63"/>
  <c r="Q121" i="63"/>
  <c r="R121" i="63"/>
  <c r="S121" i="63"/>
  <c r="U121" i="63"/>
  <c r="Q120" i="63"/>
  <c r="R120" i="63"/>
  <c r="S120" i="63"/>
  <c r="U120" i="63"/>
  <c r="Q119" i="63"/>
  <c r="R119" i="63"/>
  <c r="S119" i="63"/>
  <c r="U119" i="63"/>
  <c r="Q118" i="63"/>
  <c r="R118" i="63"/>
  <c r="S118" i="63"/>
  <c r="U118" i="63"/>
  <c r="Q117" i="63"/>
  <c r="R117" i="63"/>
  <c r="S117" i="63"/>
  <c r="U117" i="63"/>
  <c r="Q116" i="63"/>
  <c r="R116" i="63"/>
  <c r="S116" i="63"/>
  <c r="U116" i="63"/>
  <c r="Q115" i="63"/>
  <c r="R115" i="63"/>
  <c r="S115" i="63"/>
  <c r="U115" i="63"/>
  <c r="Q114" i="63"/>
  <c r="R114" i="63"/>
  <c r="S114" i="63"/>
  <c r="U114" i="63"/>
  <c r="Q113" i="63"/>
  <c r="R113" i="63"/>
  <c r="S113" i="63"/>
  <c r="U113" i="63"/>
  <c r="Q112" i="63"/>
  <c r="R112" i="63"/>
  <c r="S112" i="63"/>
  <c r="U112" i="63"/>
  <c r="Q111" i="63"/>
  <c r="R111" i="63"/>
  <c r="S111" i="63"/>
  <c r="U111" i="63"/>
  <c r="Q110" i="63"/>
  <c r="R110" i="63"/>
  <c r="S110" i="63"/>
  <c r="U110" i="63"/>
  <c r="Q109" i="63"/>
  <c r="R109" i="63"/>
  <c r="S109" i="63"/>
  <c r="U109" i="63"/>
  <c r="Q108" i="63"/>
  <c r="R108" i="63"/>
  <c r="S108" i="63"/>
  <c r="U108" i="63"/>
  <c r="Q107" i="63"/>
  <c r="R107" i="63"/>
  <c r="S107" i="63"/>
  <c r="U107" i="63"/>
  <c r="Q106" i="63"/>
  <c r="R106" i="63"/>
  <c r="S106" i="63"/>
  <c r="U106" i="63"/>
  <c r="Q105" i="63"/>
  <c r="R105" i="63"/>
  <c r="S105" i="63"/>
  <c r="U105" i="63"/>
  <c r="Q104" i="63"/>
  <c r="R104" i="63"/>
  <c r="S104" i="63"/>
  <c r="U104" i="63"/>
  <c r="Q103" i="63"/>
  <c r="R103" i="63"/>
  <c r="S103" i="63"/>
  <c r="U103" i="63"/>
  <c r="Q102" i="63"/>
  <c r="R102" i="63"/>
  <c r="S102" i="63"/>
  <c r="U102" i="63"/>
  <c r="Q101" i="63"/>
  <c r="R101" i="63"/>
  <c r="S101" i="63"/>
  <c r="U101" i="63"/>
  <c r="Q100" i="63"/>
  <c r="R100" i="63"/>
  <c r="S100" i="63"/>
  <c r="U100" i="63"/>
  <c r="Q99" i="63"/>
  <c r="R99" i="63"/>
  <c r="S99" i="63"/>
  <c r="U99" i="63"/>
  <c r="Q98" i="63"/>
  <c r="R98" i="63"/>
  <c r="S98" i="63"/>
  <c r="U98" i="63"/>
  <c r="Q97" i="63"/>
  <c r="R97" i="63"/>
  <c r="S97" i="63"/>
  <c r="U97" i="63"/>
  <c r="Q96" i="63"/>
  <c r="R96" i="63"/>
  <c r="S96" i="63"/>
  <c r="U96" i="63"/>
  <c r="Q95" i="63"/>
  <c r="R95" i="63"/>
  <c r="S95" i="63"/>
  <c r="U95" i="63"/>
  <c r="Q94" i="63"/>
  <c r="R94" i="63"/>
  <c r="S94" i="63"/>
  <c r="U94" i="63"/>
  <c r="Q93" i="63"/>
  <c r="R93" i="63"/>
  <c r="S93" i="63"/>
  <c r="U93" i="63"/>
  <c r="Q92" i="63"/>
  <c r="R92" i="63"/>
  <c r="S92" i="63"/>
  <c r="U92" i="63"/>
  <c r="Q91" i="63"/>
  <c r="R91" i="63"/>
  <c r="S91" i="63"/>
  <c r="U91" i="63"/>
  <c r="Q90" i="63"/>
  <c r="R90" i="63"/>
  <c r="S90" i="63"/>
  <c r="U90" i="63"/>
  <c r="Q89" i="63"/>
  <c r="R89" i="63"/>
  <c r="S89" i="63"/>
  <c r="U89" i="63"/>
  <c r="Q88" i="63"/>
  <c r="R88" i="63"/>
  <c r="S88" i="63"/>
  <c r="U88" i="63"/>
  <c r="Q87" i="63"/>
  <c r="R87" i="63"/>
  <c r="S87" i="63"/>
  <c r="U87" i="63"/>
  <c r="Q86" i="63"/>
  <c r="R86" i="63"/>
  <c r="S86" i="63"/>
  <c r="U86" i="63"/>
  <c r="Q85" i="63"/>
  <c r="R85" i="63"/>
  <c r="S85" i="63"/>
  <c r="U85" i="63"/>
  <c r="Q84" i="63"/>
  <c r="R84" i="63"/>
  <c r="S84" i="63"/>
  <c r="U84" i="63"/>
  <c r="Q83" i="63"/>
  <c r="R83" i="63"/>
  <c r="S83" i="63"/>
  <c r="U83" i="63"/>
  <c r="Q82" i="63"/>
  <c r="R82" i="63"/>
  <c r="S82" i="63"/>
  <c r="U82" i="63"/>
  <c r="Q81" i="63"/>
  <c r="R81" i="63"/>
  <c r="S81" i="63"/>
  <c r="U81" i="63"/>
  <c r="Q80" i="63"/>
  <c r="R80" i="63"/>
  <c r="S80" i="63"/>
  <c r="U80" i="63"/>
  <c r="Q79" i="63"/>
  <c r="R79" i="63"/>
  <c r="S79" i="63"/>
  <c r="U79" i="63"/>
  <c r="Q78" i="63"/>
  <c r="R78" i="63"/>
  <c r="S78" i="63"/>
  <c r="U78" i="63"/>
  <c r="Q77" i="63"/>
  <c r="R77" i="63"/>
  <c r="S77" i="63"/>
  <c r="U77" i="63"/>
  <c r="Q76" i="63"/>
  <c r="R76" i="63"/>
  <c r="S76" i="63"/>
  <c r="U76" i="63"/>
  <c r="Q75" i="63"/>
  <c r="R75" i="63"/>
  <c r="S75" i="63"/>
  <c r="U75" i="63"/>
  <c r="Q74" i="63"/>
  <c r="R74" i="63"/>
  <c r="S74" i="63"/>
  <c r="U74" i="63"/>
  <c r="Q73" i="63"/>
  <c r="R73" i="63"/>
  <c r="S73" i="63"/>
  <c r="U73" i="63"/>
  <c r="Q72" i="63"/>
  <c r="R72" i="63"/>
  <c r="S72" i="63"/>
  <c r="U72" i="63"/>
  <c r="Q71" i="63"/>
  <c r="R71" i="63"/>
  <c r="S71" i="63"/>
  <c r="U71" i="63"/>
  <c r="Q70" i="63"/>
  <c r="R70" i="63"/>
  <c r="S70" i="63"/>
  <c r="U70" i="63"/>
  <c r="Q69" i="63"/>
  <c r="R69" i="63"/>
  <c r="S69" i="63"/>
  <c r="U69" i="63"/>
  <c r="Q68" i="63"/>
  <c r="R68" i="63"/>
  <c r="S68" i="63"/>
  <c r="U68" i="63"/>
  <c r="Q67" i="63"/>
  <c r="R67" i="63"/>
  <c r="S67" i="63"/>
  <c r="U67" i="63"/>
  <c r="Q66" i="63"/>
  <c r="R66" i="63"/>
  <c r="S66" i="63"/>
  <c r="U66" i="63"/>
  <c r="Q65" i="63"/>
  <c r="R65" i="63"/>
  <c r="S65" i="63"/>
  <c r="U65" i="63"/>
  <c r="Q64" i="63"/>
  <c r="R64" i="63"/>
  <c r="S64" i="63"/>
  <c r="U64" i="63"/>
  <c r="Q63" i="63"/>
  <c r="R63" i="63"/>
  <c r="S63" i="63"/>
  <c r="U63" i="63"/>
  <c r="Q62" i="63"/>
  <c r="R62" i="63"/>
  <c r="S62" i="63"/>
  <c r="U62" i="63"/>
  <c r="Q61" i="63"/>
  <c r="R61" i="63"/>
  <c r="S61" i="63"/>
  <c r="U61" i="63"/>
  <c r="Q60" i="63"/>
  <c r="R60" i="63"/>
  <c r="S60" i="63"/>
  <c r="U60" i="63"/>
  <c r="Q59" i="63"/>
  <c r="R59" i="63"/>
  <c r="S59" i="63"/>
  <c r="U59" i="63"/>
  <c r="Q58" i="63"/>
  <c r="R58" i="63"/>
  <c r="S58" i="63"/>
  <c r="U58" i="63"/>
  <c r="Q57" i="63"/>
  <c r="R57" i="63"/>
  <c r="S57" i="63"/>
  <c r="U57" i="63"/>
  <c r="Q56" i="63"/>
  <c r="R56" i="63"/>
  <c r="S56" i="63"/>
  <c r="U56" i="63"/>
  <c r="Q55" i="63"/>
  <c r="R55" i="63"/>
  <c r="S55" i="63"/>
  <c r="U55" i="63"/>
  <c r="Q54" i="63"/>
  <c r="R54" i="63"/>
  <c r="S54" i="63"/>
  <c r="U54" i="63"/>
  <c r="Q53" i="63"/>
  <c r="R53" i="63"/>
  <c r="S53" i="63"/>
  <c r="U53" i="63"/>
  <c r="Q52" i="63"/>
  <c r="R52" i="63"/>
  <c r="S52" i="63"/>
  <c r="U52" i="63"/>
  <c r="Q51" i="63"/>
  <c r="R51" i="63"/>
  <c r="S51" i="63"/>
  <c r="U51" i="63"/>
  <c r="Q50" i="63"/>
  <c r="R50" i="63"/>
  <c r="S50" i="63"/>
  <c r="U50" i="63"/>
  <c r="Q49" i="63"/>
  <c r="R49" i="63"/>
  <c r="S49" i="63"/>
  <c r="U49" i="63"/>
  <c r="Q48" i="63"/>
  <c r="R48" i="63"/>
  <c r="S48" i="63"/>
  <c r="U48" i="63"/>
  <c r="Q47" i="63"/>
  <c r="R47" i="63"/>
  <c r="S47" i="63"/>
  <c r="U47" i="63"/>
  <c r="Q46" i="63"/>
  <c r="R46" i="63"/>
  <c r="S46" i="63"/>
  <c r="U46" i="63"/>
  <c r="Q45" i="63"/>
  <c r="R45" i="63"/>
  <c r="S45" i="63"/>
  <c r="U45" i="63"/>
  <c r="Q44" i="63"/>
  <c r="R44" i="63"/>
  <c r="S44" i="63"/>
  <c r="U44" i="63"/>
  <c r="Q43" i="63"/>
  <c r="R43" i="63"/>
  <c r="S43" i="63"/>
  <c r="U43" i="63"/>
  <c r="Q42" i="63"/>
  <c r="R42" i="63"/>
  <c r="S42" i="63"/>
  <c r="U42" i="63"/>
  <c r="Q41" i="63"/>
  <c r="R41" i="63"/>
  <c r="S41" i="63"/>
  <c r="U41" i="63"/>
  <c r="Q40" i="63"/>
  <c r="R40" i="63"/>
  <c r="S40" i="63"/>
  <c r="U40" i="63"/>
  <c r="Q39" i="63"/>
  <c r="R39" i="63"/>
  <c r="S39" i="63"/>
  <c r="U39" i="63"/>
  <c r="Q38" i="63"/>
  <c r="R38" i="63"/>
  <c r="S38" i="63"/>
  <c r="U38" i="63"/>
  <c r="Q37" i="63"/>
  <c r="R37" i="63"/>
  <c r="S37" i="63"/>
  <c r="U37" i="63"/>
  <c r="Q36" i="63"/>
  <c r="R36" i="63"/>
  <c r="S36" i="63"/>
  <c r="U36" i="63"/>
  <c r="Q35" i="63"/>
  <c r="R35" i="63"/>
  <c r="S35" i="63"/>
  <c r="U35" i="63"/>
  <c r="Q34" i="63"/>
  <c r="R34" i="63"/>
  <c r="S34" i="63"/>
  <c r="U34" i="63"/>
  <c r="Q33" i="63"/>
  <c r="R33" i="63"/>
  <c r="S33" i="63"/>
  <c r="U33" i="63"/>
  <c r="Q32" i="63"/>
  <c r="R32" i="63"/>
  <c r="S32" i="63"/>
  <c r="U32" i="63"/>
  <c r="Q31" i="63"/>
  <c r="R31" i="63"/>
  <c r="S31" i="63"/>
  <c r="U31" i="63"/>
  <c r="Q30" i="63"/>
  <c r="R30" i="63"/>
  <c r="S30" i="63"/>
  <c r="U30" i="63"/>
  <c r="Q29" i="63"/>
  <c r="R29" i="63"/>
  <c r="S29" i="63"/>
  <c r="U29" i="63"/>
  <c r="Q28" i="63"/>
  <c r="R28" i="63"/>
  <c r="S28" i="63"/>
  <c r="U28" i="63"/>
  <c r="Q27" i="63"/>
  <c r="R27" i="63"/>
  <c r="S27" i="63"/>
  <c r="U27" i="63"/>
  <c r="Q26" i="63"/>
  <c r="R26" i="63"/>
  <c r="S26" i="63"/>
  <c r="U26" i="63"/>
  <c r="Q25" i="63"/>
  <c r="R25" i="63"/>
  <c r="S25" i="63"/>
  <c r="U25" i="63"/>
  <c r="Q24" i="63"/>
  <c r="R24" i="63"/>
  <c r="S24" i="63"/>
  <c r="U24" i="63"/>
  <c r="Q23" i="63"/>
  <c r="R23" i="63"/>
  <c r="S23" i="63"/>
  <c r="U23" i="63"/>
  <c r="Q22" i="63"/>
  <c r="R22" i="63"/>
  <c r="S22" i="63"/>
  <c r="U22" i="63"/>
  <c r="Q21" i="63"/>
  <c r="R21" i="63"/>
  <c r="S21" i="63"/>
  <c r="U21" i="63"/>
  <c r="Q20" i="63"/>
  <c r="R20" i="63"/>
  <c r="S20" i="63"/>
  <c r="U20" i="63"/>
  <c r="Q19" i="63"/>
  <c r="R19" i="63"/>
  <c r="S19" i="63"/>
  <c r="U19" i="63"/>
  <c r="Q18" i="63"/>
  <c r="R18" i="63"/>
  <c r="S18" i="63"/>
  <c r="U18" i="63"/>
  <c r="Q17" i="63"/>
  <c r="R17" i="63"/>
  <c r="S17" i="63"/>
  <c r="U17" i="63"/>
  <c r="Q16" i="63"/>
  <c r="R16" i="63"/>
  <c r="S16" i="63"/>
  <c r="U16" i="63"/>
  <c r="Q15" i="63"/>
  <c r="R15" i="63"/>
  <c r="S15" i="63"/>
  <c r="U15" i="63"/>
  <c r="Q14" i="63"/>
  <c r="R14" i="63"/>
  <c r="S14" i="63"/>
  <c r="U14" i="63"/>
  <c r="Q13" i="63"/>
  <c r="R13" i="63"/>
  <c r="S13" i="63"/>
  <c r="U13" i="63"/>
  <c r="Q12" i="63"/>
  <c r="R12" i="63"/>
  <c r="S12" i="63"/>
  <c r="U12" i="63"/>
  <c r="Q11" i="63"/>
  <c r="R11" i="63"/>
  <c r="S11" i="63"/>
  <c r="U11" i="63"/>
  <c r="Q10" i="63"/>
  <c r="R10" i="63"/>
  <c r="S10" i="63"/>
  <c r="U10" i="63"/>
  <c r="Q9" i="63"/>
  <c r="R9" i="63"/>
  <c r="S9" i="63"/>
  <c r="U9" i="63"/>
  <c r="Q8" i="63"/>
  <c r="R8" i="63"/>
  <c r="S8" i="63"/>
  <c r="U8" i="63"/>
  <c r="Q7" i="63"/>
  <c r="R7" i="63"/>
  <c r="S7" i="63"/>
  <c r="U7" i="63"/>
  <c r="Q6" i="63"/>
  <c r="R6" i="63"/>
  <c r="S6" i="63"/>
  <c r="U6" i="63"/>
  <c r="Q5" i="63"/>
  <c r="R5" i="63"/>
  <c r="S5" i="63"/>
  <c r="U5" i="63"/>
  <c r="N8" i="65"/>
  <c r="C27" i="62"/>
  <c r="E25" i="62"/>
  <c r="E21" i="47"/>
  <c r="T128" i="64"/>
  <c r="D6" i="62"/>
  <c r="D8" i="62"/>
  <c r="D14" i="62"/>
  <c r="U127" i="63"/>
  <c r="C6" i="62"/>
  <c r="E6" i="62"/>
  <c r="D36" i="62"/>
  <c r="D29" i="62"/>
  <c r="D32" i="62"/>
  <c r="D33" i="62"/>
  <c r="D34" i="62"/>
  <c r="D37" i="62"/>
  <c r="O8" i="65"/>
  <c r="C35" i="62"/>
  <c r="E35" i="62"/>
  <c r="E27" i="62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7" i="7"/>
  <c r="R8" i="65"/>
  <c r="C7" i="62"/>
  <c r="P8" i="65"/>
  <c r="W7" i="7"/>
  <c r="Y7" i="7"/>
  <c r="V7" i="7"/>
  <c r="Y110" i="7"/>
  <c r="W110" i="7"/>
  <c r="V110" i="7"/>
  <c r="Y109" i="7"/>
  <c r="W109" i="7"/>
  <c r="V109" i="7"/>
  <c r="Y108" i="7"/>
  <c r="W108" i="7"/>
  <c r="V108" i="7"/>
  <c r="Y107" i="7"/>
  <c r="W107" i="7"/>
  <c r="V107" i="7"/>
  <c r="Y106" i="7"/>
  <c r="W106" i="7"/>
  <c r="V106" i="7"/>
  <c r="Y105" i="7"/>
  <c r="W105" i="7"/>
  <c r="V105" i="7"/>
  <c r="Y104" i="7"/>
  <c r="W104" i="7"/>
  <c r="V104" i="7"/>
  <c r="Y103" i="7"/>
  <c r="W103" i="7"/>
  <c r="V103" i="7"/>
  <c r="Y102" i="7"/>
  <c r="W102" i="7"/>
  <c r="V102" i="7"/>
  <c r="Y101" i="7"/>
  <c r="W101" i="7"/>
  <c r="V101" i="7"/>
  <c r="Y100" i="7"/>
  <c r="W100" i="7"/>
  <c r="V100" i="7"/>
  <c r="Y99" i="7"/>
  <c r="W99" i="7"/>
  <c r="V99" i="7"/>
  <c r="Y98" i="7"/>
  <c r="W98" i="7"/>
  <c r="V98" i="7"/>
  <c r="Y97" i="7"/>
  <c r="W97" i="7"/>
  <c r="V97" i="7"/>
  <c r="Y96" i="7"/>
  <c r="W96" i="7"/>
  <c r="V96" i="7"/>
  <c r="Y95" i="7"/>
  <c r="W95" i="7"/>
  <c r="V95" i="7"/>
  <c r="Y94" i="7"/>
  <c r="W94" i="7"/>
  <c r="V94" i="7"/>
  <c r="Y93" i="7"/>
  <c r="W93" i="7"/>
  <c r="V93" i="7"/>
  <c r="Y92" i="7"/>
  <c r="W92" i="7"/>
  <c r="V92" i="7"/>
  <c r="Y91" i="7"/>
  <c r="W91" i="7"/>
  <c r="V91" i="7"/>
  <c r="Y90" i="7"/>
  <c r="W90" i="7"/>
  <c r="V90" i="7"/>
  <c r="Y89" i="7"/>
  <c r="W89" i="7"/>
  <c r="V89" i="7"/>
  <c r="Y88" i="7"/>
  <c r="W88" i="7"/>
  <c r="V88" i="7"/>
  <c r="Y87" i="7"/>
  <c r="W87" i="7"/>
  <c r="V87" i="7"/>
  <c r="Y86" i="7"/>
  <c r="W86" i="7"/>
  <c r="V86" i="7"/>
  <c r="Y85" i="7"/>
  <c r="W85" i="7"/>
  <c r="V85" i="7"/>
  <c r="Y84" i="7"/>
  <c r="W84" i="7"/>
  <c r="V84" i="7"/>
  <c r="Y83" i="7"/>
  <c r="W83" i="7"/>
  <c r="V83" i="7"/>
  <c r="Y82" i="7"/>
  <c r="W82" i="7"/>
  <c r="V82" i="7"/>
  <c r="Y81" i="7"/>
  <c r="W81" i="7"/>
  <c r="V81" i="7"/>
  <c r="Y80" i="7"/>
  <c r="W80" i="7"/>
  <c r="V80" i="7"/>
  <c r="Y79" i="7"/>
  <c r="W79" i="7"/>
  <c r="V79" i="7"/>
  <c r="Y78" i="7"/>
  <c r="W78" i="7"/>
  <c r="V78" i="7"/>
  <c r="Y77" i="7"/>
  <c r="W77" i="7"/>
  <c r="V77" i="7"/>
  <c r="Y76" i="7"/>
  <c r="W76" i="7"/>
  <c r="V76" i="7"/>
  <c r="Y75" i="7"/>
  <c r="W75" i="7"/>
  <c r="V75" i="7"/>
  <c r="Y74" i="7"/>
  <c r="W74" i="7"/>
  <c r="V74" i="7"/>
  <c r="Y73" i="7"/>
  <c r="W73" i="7"/>
  <c r="V73" i="7"/>
  <c r="Y72" i="7"/>
  <c r="W72" i="7"/>
  <c r="V72" i="7"/>
  <c r="Y71" i="7"/>
  <c r="W71" i="7"/>
  <c r="V71" i="7"/>
  <c r="Y70" i="7"/>
  <c r="W70" i="7"/>
  <c r="V70" i="7"/>
  <c r="Y69" i="7"/>
  <c r="W69" i="7"/>
  <c r="V69" i="7"/>
  <c r="Y68" i="7"/>
  <c r="W68" i="7"/>
  <c r="V68" i="7"/>
  <c r="Y67" i="7"/>
  <c r="W67" i="7"/>
  <c r="V67" i="7"/>
  <c r="Y66" i="7"/>
  <c r="W66" i="7"/>
  <c r="V66" i="7"/>
  <c r="Y65" i="7"/>
  <c r="W65" i="7"/>
  <c r="V65" i="7"/>
  <c r="Y64" i="7"/>
  <c r="W64" i="7"/>
  <c r="V64" i="7"/>
  <c r="Y63" i="7"/>
  <c r="W63" i="7"/>
  <c r="V63" i="7"/>
  <c r="Y62" i="7"/>
  <c r="W62" i="7"/>
  <c r="V62" i="7"/>
  <c r="Y61" i="7"/>
  <c r="W61" i="7"/>
  <c r="V61" i="7"/>
  <c r="Y60" i="7"/>
  <c r="W60" i="7"/>
  <c r="V60" i="7"/>
  <c r="Y59" i="7"/>
  <c r="W59" i="7"/>
  <c r="V59" i="7"/>
  <c r="Y58" i="7"/>
  <c r="W58" i="7"/>
  <c r="V58" i="7"/>
  <c r="Y57" i="7"/>
  <c r="W57" i="7"/>
  <c r="V57" i="7"/>
  <c r="Y56" i="7"/>
  <c r="W56" i="7"/>
  <c r="V56" i="7"/>
  <c r="Y55" i="7"/>
  <c r="W55" i="7"/>
  <c r="V55" i="7"/>
  <c r="Y54" i="7"/>
  <c r="W54" i="7"/>
  <c r="V54" i="7"/>
  <c r="Y53" i="7"/>
  <c r="W53" i="7"/>
  <c r="V53" i="7"/>
  <c r="Y52" i="7"/>
  <c r="W52" i="7"/>
  <c r="V52" i="7"/>
  <c r="Y51" i="7"/>
  <c r="W51" i="7"/>
  <c r="V51" i="7"/>
  <c r="Y50" i="7"/>
  <c r="W50" i="7"/>
  <c r="V50" i="7"/>
  <c r="Y49" i="7"/>
  <c r="W49" i="7"/>
  <c r="V49" i="7"/>
  <c r="Y48" i="7"/>
  <c r="W48" i="7"/>
  <c r="V48" i="7"/>
  <c r="Y47" i="7"/>
  <c r="W47" i="7"/>
  <c r="V47" i="7"/>
  <c r="Y46" i="7"/>
  <c r="W46" i="7"/>
  <c r="V46" i="7"/>
  <c r="Y45" i="7"/>
  <c r="W45" i="7"/>
  <c r="V45" i="7"/>
  <c r="Y44" i="7"/>
  <c r="W44" i="7"/>
  <c r="V44" i="7"/>
  <c r="Y43" i="7"/>
  <c r="W43" i="7"/>
  <c r="V43" i="7"/>
  <c r="Y42" i="7"/>
  <c r="W42" i="7"/>
  <c r="V42" i="7"/>
  <c r="Y41" i="7"/>
  <c r="W41" i="7"/>
  <c r="V41" i="7"/>
  <c r="Y40" i="7"/>
  <c r="W40" i="7"/>
  <c r="V40" i="7"/>
  <c r="Y39" i="7"/>
  <c r="W39" i="7"/>
  <c r="V39" i="7"/>
  <c r="Y38" i="7"/>
  <c r="W38" i="7"/>
  <c r="V38" i="7"/>
  <c r="Y37" i="7"/>
  <c r="W37" i="7"/>
  <c r="V37" i="7"/>
  <c r="Y36" i="7"/>
  <c r="W36" i="7"/>
  <c r="V36" i="7"/>
  <c r="Y35" i="7"/>
  <c r="W35" i="7"/>
  <c r="V35" i="7"/>
  <c r="Y34" i="7"/>
  <c r="W34" i="7"/>
  <c r="V34" i="7"/>
  <c r="Y33" i="7"/>
  <c r="W33" i="7"/>
  <c r="V33" i="7"/>
  <c r="Y32" i="7"/>
  <c r="W32" i="7"/>
  <c r="V32" i="7"/>
  <c r="Y31" i="7"/>
  <c r="W31" i="7"/>
  <c r="V31" i="7"/>
  <c r="Y30" i="7"/>
  <c r="W30" i="7"/>
  <c r="V30" i="7"/>
  <c r="Y29" i="7"/>
  <c r="W29" i="7"/>
  <c r="V29" i="7"/>
  <c r="Y28" i="7"/>
  <c r="W28" i="7"/>
  <c r="V28" i="7"/>
  <c r="Y27" i="7"/>
  <c r="W27" i="7"/>
  <c r="V27" i="7"/>
  <c r="Y26" i="7"/>
  <c r="W26" i="7"/>
  <c r="V26" i="7"/>
  <c r="Y25" i="7"/>
  <c r="W25" i="7"/>
  <c r="V25" i="7"/>
  <c r="Y24" i="7"/>
  <c r="W24" i="7"/>
  <c r="V24" i="7"/>
  <c r="Y23" i="7"/>
  <c r="W23" i="7"/>
  <c r="V23" i="7"/>
  <c r="Y22" i="7"/>
  <c r="W22" i="7"/>
  <c r="V22" i="7"/>
  <c r="Y21" i="7"/>
  <c r="W21" i="7"/>
  <c r="V21" i="7"/>
  <c r="Y20" i="7"/>
  <c r="W20" i="7"/>
  <c r="V20" i="7"/>
  <c r="Y19" i="7"/>
  <c r="W19" i="7"/>
  <c r="V19" i="7"/>
  <c r="Y18" i="7"/>
  <c r="W18" i="7"/>
  <c r="V18" i="7"/>
  <c r="Y17" i="7"/>
  <c r="W17" i="7"/>
  <c r="V17" i="7"/>
  <c r="Y16" i="7"/>
  <c r="W16" i="7"/>
  <c r="V16" i="7"/>
  <c r="Y15" i="7"/>
  <c r="W15" i="7"/>
  <c r="V15" i="7"/>
  <c r="Y14" i="7"/>
  <c r="W14" i="7"/>
  <c r="V14" i="7"/>
  <c r="Y13" i="7"/>
  <c r="W13" i="7"/>
  <c r="V13" i="7"/>
  <c r="Y12" i="7"/>
  <c r="W12" i="7"/>
  <c r="V12" i="7"/>
  <c r="Y11" i="7"/>
  <c r="W11" i="7"/>
  <c r="V11" i="7"/>
  <c r="Y10" i="7"/>
  <c r="W10" i="7"/>
  <c r="V10" i="7"/>
  <c r="Y9" i="7"/>
  <c r="W9" i="7"/>
  <c r="V9" i="7"/>
  <c r="Y8" i="7"/>
  <c r="W8" i="7"/>
  <c r="V8" i="7"/>
  <c r="E8" i="48"/>
  <c r="F8" i="48"/>
  <c r="G8" i="48"/>
  <c r="E7" i="62"/>
  <c r="C8" i="62"/>
  <c r="E9" i="48"/>
  <c r="F9" i="48"/>
  <c r="G9" i="48"/>
  <c r="C14" i="62"/>
  <c r="E8" i="62"/>
  <c r="H9" i="48"/>
  <c r="I9" i="48"/>
  <c r="J9" i="48"/>
  <c r="L9" i="48"/>
  <c r="E10" i="48"/>
  <c r="F10" i="48"/>
  <c r="G10" i="48"/>
  <c r="E11" i="48"/>
  <c r="F11" i="48"/>
  <c r="G11" i="48"/>
  <c r="E12" i="48"/>
  <c r="F12" i="48"/>
  <c r="G12" i="48"/>
  <c r="E13" i="48"/>
  <c r="F13" i="48"/>
  <c r="G13" i="48"/>
  <c r="E14" i="48"/>
  <c r="F14" i="48"/>
  <c r="G14" i="48"/>
  <c r="E15" i="48"/>
  <c r="F15" i="48"/>
  <c r="G15" i="48"/>
  <c r="E16" i="48"/>
  <c r="F16" i="48"/>
  <c r="G16" i="48"/>
  <c r="E17" i="48"/>
  <c r="F17" i="48"/>
  <c r="G17" i="48"/>
  <c r="E18" i="48"/>
  <c r="F18" i="48"/>
  <c r="G18" i="48"/>
  <c r="E19" i="48"/>
  <c r="F19" i="48"/>
  <c r="G19" i="48"/>
  <c r="E20" i="48"/>
  <c r="F20" i="48"/>
  <c r="G20" i="48"/>
  <c r="E21" i="48"/>
  <c r="F21" i="48"/>
  <c r="G21" i="48"/>
  <c r="E22" i="48"/>
  <c r="F22" i="48"/>
  <c r="G22" i="48"/>
  <c r="E23" i="48"/>
  <c r="F23" i="48"/>
  <c r="G23" i="48"/>
  <c r="E24" i="48"/>
  <c r="F24" i="48"/>
  <c r="G24" i="48"/>
  <c r="E25" i="48"/>
  <c r="F25" i="48"/>
  <c r="G25" i="48"/>
  <c r="E26" i="48"/>
  <c r="F26" i="48"/>
  <c r="G26" i="48"/>
  <c r="E27" i="48"/>
  <c r="F27" i="48"/>
  <c r="G27" i="48"/>
  <c r="E28" i="48"/>
  <c r="F28" i="48"/>
  <c r="G28" i="48"/>
  <c r="E29" i="48"/>
  <c r="F29" i="48"/>
  <c r="G29" i="48"/>
  <c r="E30" i="48"/>
  <c r="F30" i="48"/>
  <c r="G30" i="48"/>
  <c r="E31" i="48"/>
  <c r="F31" i="48"/>
  <c r="G31" i="48"/>
  <c r="E32" i="48"/>
  <c r="F32" i="48"/>
  <c r="G32" i="48"/>
  <c r="E33" i="48"/>
  <c r="F33" i="48"/>
  <c r="G33" i="48"/>
  <c r="E34" i="48"/>
  <c r="F34" i="48"/>
  <c r="G34" i="48"/>
  <c r="E35" i="48"/>
  <c r="F35" i="48"/>
  <c r="G35" i="48"/>
  <c r="E36" i="48"/>
  <c r="F36" i="48"/>
  <c r="G36" i="48"/>
  <c r="E37" i="48"/>
  <c r="F37" i="48"/>
  <c r="G37" i="48"/>
  <c r="E38" i="48"/>
  <c r="F38" i="48"/>
  <c r="G38" i="48"/>
  <c r="E39" i="48"/>
  <c r="F39" i="48"/>
  <c r="G39" i="48"/>
  <c r="E40" i="48"/>
  <c r="F40" i="48"/>
  <c r="G40" i="48"/>
  <c r="E41" i="48"/>
  <c r="F41" i="48"/>
  <c r="G41" i="48"/>
  <c r="E42" i="48"/>
  <c r="F42" i="48"/>
  <c r="G42" i="48"/>
  <c r="E43" i="48"/>
  <c r="F43" i="48"/>
  <c r="G43" i="48"/>
  <c r="E44" i="48"/>
  <c r="F44" i="48"/>
  <c r="G44" i="48"/>
  <c r="E45" i="48"/>
  <c r="F45" i="48"/>
  <c r="G45" i="48"/>
  <c r="E46" i="48"/>
  <c r="F46" i="48"/>
  <c r="G46" i="48"/>
  <c r="E47" i="48"/>
  <c r="F47" i="48"/>
  <c r="G47" i="48"/>
  <c r="E48" i="48"/>
  <c r="F48" i="48"/>
  <c r="G48" i="48"/>
  <c r="E49" i="48"/>
  <c r="F49" i="48"/>
  <c r="G49" i="48"/>
  <c r="E50" i="48"/>
  <c r="F50" i="48"/>
  <c r="G50" i="48"/>
  <c r="E51" i="48"/>
  <c r="F51" i="48"/>
  <c r="G51" i="48"/>
  <c r="E52" i="48"/>
  <c r="F52" i="48"/>
  <c r="G52" i="48"/>
  <c r="E53" i="48"/>
  <c r="F53" i="48"/>
  <c r="G53" i="48"/>
  <c r="E54" i="48"/>
  <c r="F54" i="48"/>
  <c r="G54" i="48"/>
  <c r="E55" i="48"/>
  <c r="F55" i="48"/>
  <c r="G55" i="48"/>
  <c r="E56" i="48"/>
  <c r="F56" i="48"/>
  <c r="G56" i="48"/>
  <c r="E57" i="48"/>
  <c r="F57" i="48"/>
  <c r="G57" i="48"/>
  <c r="E58" i="48"/>
  <c r="F58" i="48"/>
  <c r="G58" i="48"/>
  <c r="E59" i="48"/>
  <c r="F59" i="48"/>
  <c r="G59" i="48"/>
  <c r="E60" i="48"/>
  <c r="F60" i="48"/>
  <c r="G60" i="48"/>
  <c r="E61" i="48"/>
  <c r="F61" i="48"/>
  <c r="G61" i="48"/>
  <c r="E62" i="48"/>
  <c r="F62" i="48"/>
  <c r="G62" i="48"/>
  <c r="E63" i="48"/>
  <c r="F63" i="48"/>
  <c r="G63" i="48"/>
  <c r="E64" i="48"/>
  <c r="F64" i="48"/>
  <c r="G64" i="48"/>
  <c r="E65" i="48"/>
  <c r="F65" i="48"/>
  <c r="G65" i="48"/>
  <c r="E66" i="48"/>
  <c r="F66" i="48"/>
  <c r="G66" i="48"/>
  <c r="E67" i="48"/>
  <c r="F67" i="48"/>
  <c r="G67" i="48"/>
  <c r="E68" i="48"/>
  <c r="F68" i="48"/>
  <c r="G68" i="48"/>
  <c r="E69" i="48"/>
  <c r="F69" i="48"/>
  <c r="G69" i="48"/>
  <c r="E70" i="48"/>
  <c r="F70" i="48"/>
  <c r="G70" i="48"/>
  <c r="E71" i="48"/>
  <c r="F71" i="48"/>
  <c r="G71" i="48"/>
  <c r="E72" i="48"/>
  <c r="F72" i="48"/>
  <c r="G72" i="48"/>
  <c r="E73" i="48"/>
  <c r="F73" i="48"/>
  <c r="G73" i="48"/>
  <c r="E74" i="48"/>
  <c r="F74" i="48"/>
  <c r="G74" i="48"/>
  <c r="E75" i="48"/>
  <c r="F75" i="48"/>
  <c r="G75" i="48"/>
  <c r="E76" i="48"/>
  <c r="F76" i="48"/>
  <c r="G76" i="48"/>
  <c r="E77" i="48"/>
  <c r="F77" i="48"/>
  <c r="G77" i="48"/>
  <c r="E78" i="48"/>
  <c r="F78" i="48"/>
  <c r="G78" i="48"/>
  <c r="E79" i="48"/>
  <c r="F79" i="48"/>
  <c r="G79" i="48"/>
  <c r="E80" i="48"/>
  <c r="F80" i="48"/>
  <c r="G80" i="48"/>
  <c r="E81" i="48"/>
  <c r="F81" i="48"/>
  <c r="G81" i="48"/>
  <c r="E82" i="48"/>
  <c r="F82" i="48"/>
  <c r="G82" i="48"/>
  <c r="E83" i="48"/>
  <c r="F83" i="48"/>
  <c r="G83" i="48"/>
  <c r="E84" i="48"/>
  <c r="F84" i="48"/>
  <c r="G84" i="48"/>
  <c r="E85" i="48"/>
  <c r="F85" i="48"/>
  <c r="G85" i="48"/>
  <c r="E86" i="48"/>
  <c r="F86" i="48"/>
  <c r="G86" i="48"/>
  <c r="E87" i="48"/>
  <c r="F87" i="48"/>
  <c r="G87" i="48"/>
  <c r="E88" i="48"/>
  <c r="F88" i="48"/>
  <c r="G88" i="48"/>
  <c r="E89" i="48"/>
  <c r="F89" i="48"/>
  <c r="G89" i="48"/>
  <c r="E90" i="48"/>
  <c r="F90" i="48"/>
  <c r="G90" i="48"/>
  <c r="E91" i="48"/>
  <c r="F91" i="48"/>
  <c r="G91" i="48"/>
  <c r="E92" i="48"/>
  <c r="F92" i="48"/>
  <c r="G92" i="48"/>
  <c r="E93" i="48"/>
  <c r="F93" i="48"/>
  <c r="G93" i="48"/>
  <c r="E94" i="48"/>
  <c r="F94" i="48"/>
  <c r="G94" i="48"/>
  <c r="E95" i="48"/>
  <c r="F95" i="48"/>
  <c r="G95" i="48"/>
  <c r="E96" i="48"/>
  <c r="F96" i="48"/>
  <c r="G96" i="48"/>
  <c r="E97" i="48"/>
  <c r="F97" i="48"/>
  <c r="G97" i="48"/>
  <c r="E98" i="48"/>
  <c r="F98" i="48"/>
  <c r="G98" i="48"/>
  <c r="E99" i="48"/>
  <c r="F99" i="48"/>
  <c r="G99" i="48"/>
  <c r="E100" i="48"/>
  <c r="F100" i="48"/>
  <c r="G100" i="48"/>
  <c r="E101" i="48"/>
  <c r="F101" i="48"/>
  <c r="G101" i="48"/>
  <c r="E102" i="48"/>
  <c r="F102" i="48"/>
  <c r="G102" i="48"/>
  <c r="E103" i="48"/>
  <c r="F103" i="48"/>
  <c r="G103" i="48"/>
  <c r="E104" i="48"/>
  <c r="F104" i="48"/>
  <c r="G104" i="48"/>
  <c r="E105" i="48"/>
  <c r="F105" i="48"/>
  <c r="G105" i="48"/>
  <c r="E106" i="48"/>
  <c r="F106" i="48"/>
  <c r="G106" i="48"/>
  <c r="E107" i="48"/>
  <c r="F107" i="48"/>
  <c r="G107" i="48"/>
  <c r="E108" i="48"/>
  <c r="F108" i="48"/>
  <c r="G108" i="48"/>
  <c r="E109" i="48"/>
  <c r="F109" i="48"/>
  <c r="G109" i="48"/>
  <c r="E110" i="48"/>
  <c r="F110" i="48"/>
  <c r="G110" i="48"/>
  <c r="E111" i="48"/>
  <c r="F111" i="48"/>
  <c r="G111" i="48"/>
  <c r="E112" i="48"/>
  <c r="F112" i="48"/>
  <c r="G112" i="48"/>
  <c r="E113" i="48"/>
  <c r="F113" i="48"/>
  <c r="G113" i="48"/>
  <c r="E114" i="48"/>
  <c r="F114" i="48"/>
  <c r="G114" i="48"/>
  <c r="E115" i="48"/>
  <c r="F115" i="48"/>
  <c r="G115" i="48"/>
  <c r="E116" i="48"/>
  <c r="F116" i="48"/>
  <c r="G116" i="48"/>
  <c r="E117" i="48"/>
  <c r="F117" i="48"/>
  <c r="G117" i="48"/>
  <c r="E118" i="48"/>
  <c r="F118" i="48"/>
  <c r="G118" i="48"/>
  <c r="E119" i="48"/>
  <c r="F119" i="48"/>
  <c r="G119" i="48"/>
  <c r="E120" i="48"/>
  <c r="F120" i="48"/>
  <c r="G120" i="48"/>
  <c r="E121" i="48"/>
  <c r="F121" i="48"/>
  <c r="G121" i="48"/>
  <c r="E122" i="48"/>
  <c r="F122" i="48"/>
  <c r="G122" i="48"/>
  <c r="E123" i="48"/>
  <c r="F123" i="48"/>
  <c r="G123" i="48"/>
  <c r="E124" i="48"/>
  <c r="F124" i="48"/>
  <c r="G124" i="48"/>
  <c r="E125" i="48"/>
  <c r="F125" i="48"/>
  <c r="G125" i="48"/>
  <c r="E126" i="48"/>
  <c r="F126" i="48"/>
  <c r="G126" i="48"/>
  <c r="E127" i="48"/>
  <c r="F127" i="48"/>
  <c r="G127" i="48"/>
  <c r="E128" i="48"/>
  <c r="F128" i="48"/>
  <c r="G128" i="48"/>
  <c r="E129" i="48"/>
  <c r="F129" i="48"/>
  <c r="G129" i="48"/>
  <c r="E130" i="48"/>
  <c r="F130" i="48"/>
  <c r="G130" i="48"/>
  <c r="E131" i="48"/>
  <c r="F131" i="48"/>
  <c r="G131" i="48"/>
  <c r="E132" i="48"/>
  <c r="F132" i="48"/>
  <c r="G132" i="48"/>
  <c r="E133" i="48"/>
  <c r="F133" i="48"/>
  <c r="G133" i="48"/>
  <c r="E134" i="48"/>
  <c r="F134" i="48"/>
  <c r="G134" i="48"/>
  <c r="E135" i="48"/>
  <c r="F135" i="48"/>
  <c r="G135" i="48"/>
  <c r="E136" i="48"/>
  <c r="F136" i="48"/>
  <c r="G136" i="48"/>
  <c r="E137" i="48"/>
  <c r="F137" i="48"/>
  <c r="G137" i="48"/>
  <c r="E138" i="48"/>
  <c r="F138" i="48"/>
  <c r="G138" i="48"/>
  <c r="E139" i="48"/>
  <c r="F139" i="48"/>
  <c r="G139" i="48"/>
  <c r="E140" i="48"/>
  <c r="F140" i="48"/>
  <c r="G140" i="48"/>
  <c r="E141" i="48"/>
  <c r="F141" i="48"/>
  <c r="G141" i="48"/>
  <c r="E142" i="48"/>
  <c r="F142" i="48"/>
  <c r="G142" i="48"/>
  <c r="E143" i="48"/>
  <c r="F143" i="48"/>
  <c r="G143" i="48"/>
  <c r="E144" i="48"/>
  <c r="F144" i="48"/>
  <c r="G144" i="48"/>
  <c r="E145" i="48"/>
  <c r="F145" i="48"/>
  <c r="G145" i="48"/>
  <c r="E146" i="48"/>
  <c r="F146" i="48"/>
  <c r="G146" i="48"/>
  <c r="E147" i="48"/>
  <c r="F147" i="48"/>
  <c r="G147" i="48"/>
  <c r="E148" i="48"/>
  <c r="F148" i="48"/>
  <c r="G148" i="48"/>
  <c r="E149" i="48"/>
  <c r="F149" i="48"/>
  <c r="G149" i="48"/>
  <c r="E150" i="48"/>
  <c r="F150" i="48"/>
  <c r="G150" i="48"/>
  <c r="E151" i="48"/>
  <c r="F151" i="48"/>
  <c r="G151" i="48"/>
  <c r="E152" i="48"/>
  <c r="F152" i="48"/>
  <c r="G152" i="48"/>
  <c r="E153" i="48"/>
  <c r="F153" i="48"/>
  <c r="G153" i="48"/>
  <c r="E154" i="48"/>
  <c r="F154" i="48"/>
  <c r="G154" i="48"/>
  <c r="E155" i="48"/>
  <c r="F155" i="48"/>
  <c r="G155" i="48"/>
  <c r="E156" i="48"/>
  <c r="F156" i="48"/>
  <c r="G156" i="48"/>
  <c r="E157" i="48"/>
  <c r="F157" i="48"/>
  <c r="G157" i="48"/>
  <c r="E158" i="48"/>
  <c r="F158" i="48"/>
  <c r="G158" i="48"/>
  <c r="E159" i="48"/>
  <c r="F159" i="48"/>
  <c r="G159" i="48"/>
  <c r="E160" i="48"/>
  <c r="F160" i="48"/>
  <c r="G160" i="48"/>
  <c r="E161" i="48"/>
  <c r="F161" i="48"/>
  <c r="G161" i="48"/>
  <c r="E162" i="48"/>
  <c r="F162" i="48"/>
  <c r="G162" i="48"/>
  <c r="E163" i="48"/>
  <c r="F163" i="48"/>
  <c r="G163" i="48"/>
  <c r="E164" i="48"/>
  <c r="F164" i="48"/>
  <c r="G164" i="48"/>
  <c r="E165" i="48"/>
  <c r="F165" i="48"/>
  <c r="G165" i="48"/>
  <c r="E166" i="48"/>
  <c r="F166" i="48"/>
  <c r="G166" i="48"/>
  <c r="E167" i="48"/>
  <c r="F167" i="48"/>
  <c r="G167" i="48"/>
  <c r="E168" i="48"/>
  <c r="F168" i="48"/>
  <c r="G168" i="48"/>
  <c r="E169" i="48"/>
  <c r="F169" i="48"/>
  <c r="G169" i="48"/>
  <c r="E170" i="48"/>
  <c r="F170" i="48"/>
  <c r="G170" i="48"/>
  <c r="E171" i="48"/>
  <c r="F171" i="48"/>
  <c r="G171" i="48"/>
  <c r="E172" i="48"/>
  <c r="F172" i="48"/>
  <c r="G172" i="48"/>
  <c r="E173" i="48"/>
  <c r="F173" i="48"/>
  <c r="G173" i="48"/>
  <c r="E174" i="48"/>
  <c r="F174" i="48"/>
  <c r="G174" i="48"/>
  <c r="E175" i="48"/>
  <c r="F175" i="48"/>
  <c r="G175" i="48"/>
  <c r="E176" i="48"/>
  <c r="F176" i="48"/>
  <c r="G176" i="48"/>
  <c r="E177" i="48"/>
  <c r="F177" i="48"/>
  <c r="G177" i="48"/>
  <c r="E178" i="48"/>
  <c r="F178" i="48"/>
  <c r="G178" i="48"/>
  <c r="E179" i="48"/>
  <c r="F179" i="48"/>
  <c r="G179" i="48"/>
  <c r="E180" i="48"/>
  <c r="F180" i="48"/>
  <c r="G180" i="48"/>
  <c r="E181" i="48"/>
  <c r="F181" i="48"/>
  <c r="G181" i="48"/>
  <c r="E182" i="48"/>
  <c r="F182" i="48"/>
  <c r="G182" i="48"/>
  <c r="E183" i="48"/>
  <c r="F183" i="48"/>
  <c r="G183" i="48"/>
  <c r="E184" i="48"/>
  <c r="F184" i="48"/>
  <c r="G184" i="48"/>
  <c r="E185" i="48"/>
  <c r="F185" i="48"/>
  <c r="G185" i="48"/>
  <c r="E186" i="48"/>
  <c r="F186" i="48"/>
  <c r="G186" i="48"/>
  <c r="E187" i="48"/>
  <c r="F187" i="48"/>
  <c r="G187" i="48"/>
  <c r="E188" i="48"/>
  <c r="F188" i="48"/>
  <c r="G188" i="48"/>
  <c r="E189" i="48"/>
  <c r="F189" i="48"/>
  <c r="G189" i="48"/>
  <c r="E190" i="48"/>
  <c r="F190" i="48"/>
  <c r="G190" i="48"/>
  <c r="E191" i="48"/>
  <c r="F191" i="48"/>
  <c r="G191" i="48"/>
  <c r="E192" i="48"/>
  <c r="F192" i="48"/>
  <c r="G192" i="48"/>
  <c r="E193" i="48"/>
  <c r="F193" i="48"/>
  <c r="G193" i="48"/>
  <c r="E194" i="48"/>
  <c r="F194" i="48"/>
  <c r="G194" i="48"/>
  <c r="E195" i="48"/>
  <c r="F195" i="48"/>
  <c r="G195" i="48"/>
  <c r="E196" i="48"/>
  <c r="F196" i="48"/>
  <c r="G196" i="48"/>
  <c r="E197" i="48"/>
  <c r="F197" i="48"/>
  <c r="G197" i="48"/>
  <c r="E198" i="48"/>
  <c r="F198" i="48"/>
  <c r="G198" i="48"/>
  <c r="E199" i="48"/>
  <c r="F199" i="48"/>
  <c r="G199" i="48"/>
  <c r="E200" i="48"/>
  <c r="F200" i="48"/>
  <c r="G200" i="48"/>
  <c r="E201" i="48"/>
  <c r="F201" i="48"/>
  <c r="G201" i="48"/>
  <c r="E202" i="48"/>
  <c r="F202" i="48"/>
  <c r="G202" i="48"/>
  <c r="E203" i="48"/>
  <c r="F203" i="48"/>
  <c r="G203" i="48"/>
  <c r="E204" i="48"/>
  <c r="F204" i="48"/>
  <c r="G204" i="48"/>
  <c r="E205" i="48"/>
  <c r="F205" i="48"/>
  <c r="G205" i="48"/>
  <c r="E206" i="48"/>
  <c r="F206" i="48"/>
  <c r="G206" i="48"/>
  <c r="E207" i="48"/>
  <c r="F207" i="48"/>
  <c r="G207" i="48"/>
  <c r="E208" i="48"/>
  <c r="F208" i="48"/>
  <c r="G208" i="48"/>
  <c r="E209" i="48"/>
  <c r="F209" i="48"/>
  <c r="G209" i="48"/>
  <c r="E210" i="48"/>
  <c r="F210" i="48"/>
  <c r="G210" i="48"/>
  <c r="E211" i="48"/>
  <c r="F211" i="48"/>
  <c r="G211" i="48"/>
  <c r="E212" i="48"/>
  <c r="F212" i="48"/>
  <c r="G212" i="48"/>
  <c r="E213" i="48"/>
  <c r="F213" i="48"/>
  <c r="G213" i="48"/>
  <c r="E214" i="48"/>
  <c r="F214" i="48"/>
  <c r="G214" i="48"/>
  <c r="E215" i="48"/>
  <c r="F215" i="48"/>
  <c r="G215" i="48"/>
  <c r="E216" i="48"/>
  <c r="F216" i="48"/>
  <c r="G216" i="48"/>
  <c r="E217" i="48"/>
  <c r="F217" i="48"/>
  <c r="G217" i="48"/>
  <c r="E218" i="48"/>
  <c r="F218" i="48"/>
  <c r="G218" i="48"/>
  <c r="E219" i="48"/>
  <c r="F219" i="48"/>
  <c r="G219" i="48"/>
  <c r="E220" i="48"/>
  <c r="F220" i="48"/>
  <c r="G220" i="48"/>
  <c r="E221" i="48"/>
  <c r="F221" i="48"/>
  <c r="G221" i="48"/>
  <c r="E222" i="48"/>
  <c r="F222" i="48"/>
  <c r="G222" i="48"/>
  <c r="E223" i="48"/>
  <c r="F223" i="48"/>
  <c r="G223" i="48"/>
  <c r="E224" i="48"/>
  <c r="F224" i="48"/>
  <c r="G224" i="48"/>
  <c r="E225" i="48"/>
  <c r="F225" i="48"/>
  <c r="G225" i="48"/>
  <c r="E226" i="48"/>
  <c r="F226" i="48"/>
  <c r="G226" i="48"/>
  <c r="E227" i="48"/>
  <c r="F227" i="48"/>
  <c r="G227" i="48"/>
  <c r="E228" i="48"/>
  <c r="F228" i="48"/>
  <c r="G228" i="48"/>
  <c r="E229" i="48"/>
  <c r="F229" i="48"/>
  <c r="G229" i="48"/>
  <c r="E230" i="48"/>
  <c r="F230" i="48"/>
  <c r="G230" i="48"/>
  <c r="E231" i="48"/>
  <c r="F231" i="48"/>
  <c r="G231" i="48"/>
  <c r="E232" i="48"/>
  <c r="F232" i="48"/>
  <c r="G232" i="48"/>
  <c r="E233" i="48"/>
  <c r="F233" i="48"/>
  <c r="G233" i="48"/>
  <c r="E234" i="48"/>
  <c r="F234" i="48"/>
  <c r="G234" i="48"/>
  <c r="E235" i="48"/>
  <c r="F235" i="48"/>
  <c r="G235" i="48"/>
  <c r="E236" i="48"/>
  <c r="F236" i="48"/>
  <c r="G236" i="48"/>
  <c r="E237" i="48"/>
  <c r="F237" i="48"/>
  <c r="G237" i="48"/>
  <c r="E238" i="48"/>
  <c r="F238" i="48"/>
  <c r="G238" i="48"/>
  <c r="E239" i="48"/>
  <c r="F239" i="48"/>
  <c r="G239" i="48"/>
  <c r="E240" i="48"/>
  <c r="F240" i="48"/>
  <c r="G240" i="48"/>
  <c r="E241" i="48"/>
  <c r="F241" i="48"/>
  <c r="G241" i="48"/>
  <c r="E242" i="48"/>
  <c r="F242" i="48"/>
  <c r="G242" i="48"/>
  <c r="E243" i="48"/>
  <c r="F243" i="48"/>
  <c r="G243" i="48"/>
  <c r="E244" i="48"/>
  <c r="F244" i="48"/>
  <c r="G244" i="48"/>
  <c r="E245" i="48"/>
  <c r="F245" i="48"/>
  <c r="G245" i="48"/>
  <c r="E246" i="48"/>
  <c r="F246" i="48"/>
  <c r="G246" i="48"/>
  <c r="E247" i="48"/>
  <c r="F247" i="48"/>
  <c r="G247" i="48"/>
  <c r="E248" i="48"/>
  <c r="F248" i="48"/>
  <c r="G248" i="48"/>
  <c r="E249" i="48"/>
  <c r="F249" i="48"/>
  <c r="G249" i="48"/>
  <c r="E250" i="48"/>
  <c r="F250" i="48"/>
  <c r="G250" i="48"/>
  <c r="E251" i="48"/>
  <c r="F251" i="48"/>
  <c r="G251" i="48"/>
  <c r="E252" i="48"/>
  <c r="F252" i="48"/>
  <c r="G252" i="48"/>
  <c r="E253" i="48"/>
  <c r="F253" i="48"/>
  <c r="G253" i="48"/>
  <c r="E254" i="48"/>
  <c r="F254" i="48"/>
  <c r="G254" i="48"/>
  <c r="E255" i="48"/>
  <c r="F255" i="48"/>
  <c r="G255" i="48"/>
  <c r="E256" i="48"/>
  <c r="F256" i="48"/>
  <c r="G256" i="48"/>
  <c r="E257" i="48"/>
  <c r="F257" i="48"/>
  <c r="G257" i="48"/>
  <c r="E258" i="48"/>
  <c r="F258" i="48"/>
  <c r="G258" i="48"/>
  <c r="E259" i="48"/>
  <c r="F259" i="48"/>
  <c r="G259" i="48"/>
  <c r="E260" i="48"/>
  <c r="F260" i="48"/>
  <c r="G260" i="48"/>
  <c r="E261" i="48"/>
  <c r="F261" i="48"/>
  <c r="G261" i="48"/>
  <c r="E262" i="48"/>
  <c r="F262" i="48"/>
  <c r="G262" i="48"/>
  <c r="E263" i="48"/>
  <c r="F263" i="48"/>
  <c r="G263" i="48"/>
  <c r="E264" i="48"/>
  <c r="F264" i="48"/>
  <c r="G264" i="48"/>
  <c r="E265" i="48"/>
  <c r="F265" i="48"/>
  <c r="G265" i="48"/>
  <c r="E266" i="48"/>
  <c r="F266" i="48"/>
  <c r="G266" i="48"/>
  <c r="E267" i="48"/>
  <c r="F267" i="48"/>
  <c r="G267" i="48"/>
  <c r="E268" i="48"/>
  <c r="F268" i="48"/>
  <c r="G268" i="48"/>
  <c r="E269" i="48"/>
  <c r="F269" i="48"/>
  <c r="G269" i="48"/>
  <c r="E270" i="48"/>
  <c r="F270" i="48"/>
  <c r="G270" i="48"/>
  <c r="E271" i="48"/>
  <c r="F271" i="48"/>
  <c r="G271" i="48"/>
  <c r="E272" i="48"/>
  <c r="F272" i="48"/>
  <c r="G272" i="48"/>
  <c r="E273" i="48"/>
  <c r="F273" i="48"/>
  <c r="G273" i="48"/>
  <c r="E274" i="48"/>
  <c r="F274" i="48"/>
  <c r="G274" i="48"/>
  <c r="E275" i="48"/>
  <c r="F275" i="48"/>
  <c r="G275" i="48"/>
  <c r="E276" i="48"/>
  <c r="F276" i="48"/>
  <c r="G276" i="48"/>
  <c r="E277" i="48"/>
  <c r="F277" i="48"/>
  <c r="G277" i="48"/>
  <c r="E278" i="48"/>
  <c r="F278" i="48"/>
  <c r="G278" i="48"/>
  <c r="E279" i="48"/>
  <c r="F279" i="48"/>
  <c r="G279" i="48"/>
  <c r="E280" i="48"/>
  <c r="F280" i="48"/>
  <c r="G280" i="48"/>
  <c r="E281" i="48"/>
  <c r="F281" i="48"/>
  <c r="G281" i="48"/>
  <c r="E282" i="48"/>
  <c r="F282" i="48"/>
  <c r="G282" i="48"/>
  <c r="E283" i="48"/>
  <c r="F283" i="48"/>
  <c r="G283" i="48"/>
  <c r="E284" i="48"/>
  <c r="F284" i="48"/>
  <c r="G284" i="48"/>
  <c r="E285" i="48"/>
  <c r="F285" i="48"/>
  <c r="G285" i="48"/>
  <c r="E286" i="48"/>
  <c r="F286" i="48"/>
  <c r="G286" i="48"/>
  <c r="E287" i="48"/>
  <c r="F287" i="48"/>
  <c r="G287" i="48"/>
  <c r="E288" i="48"/>
  <c r="F288" i="48"/>
  <c r="G288" i="48"/>
  <c r="E289" i="48"/>
  <c r="F289" i="48"/>
  <c r="G289" i="48"/>
  <c r="E290" i="48"/>
  <c r="F290" i="48"/>
  <c r="G290" i="48"/>
  <c r="E291" i="48"/>
  <c r="F291" i="48"/>
  <c r="G291" i="48"/>
  <c r="E292" i="48"/>
  <c r="F292" i="48"/>
  <c r="G292" i="48"/>
  <c r="E293" i="48"/>
  <c r="F293" i="48"/>
  <c r="G293" i="48"/>
  <c r="E294" i="48"/>
  <c r="F294" i="48"/>
  <c r="G294" i="48"/>
  <c r="E295" i="48"/>
  <c r="F295" i="48"/>
  <c r="G295" i="48"/>
  <c r="E296" i="48"/>
  <c r="F296" i="48"/>
  <c r="G296" i="48"/>
  <c r="E297" i="48"/>
  <c r="F297" i="48"/>
  <c r="G297" i="48"/>
  <c r="E298" i="48"/>
  <c r="F298" i="48"/>
  <c r="G298" i="48"/>
  <c r="E299" i="48"/>
  <c r="F299" i="48"/>
  <c r="G299" i="48"/>
  <c r="E300" i="48"/>
  <c r="F300" i="48"/>
  <c r="G300" i="48"/>
  <c r="E301" i="48"/>
  <c r="F301" i="48"/>
  <c r="G301" i="48"/>
  <c r="E302" i="48"/>
  <c r="F302" i="48"/>
  <c r="G302" i="48"/>
  <c r="E303" i="48"/>
  <c r="F303" i="48"/>
  <c r="G303" i="48"/>
  <c r="E304" i="48"/>
  <c r="F304" i="48"/>
  <c r="G304" i="48"/>
  <c r="E305" i="48"/>
  <c r="F305" i="48"/>
  <c r="G305" i="48"/>
  <c r="E306" i="48"/>
  <c r="F306" i="48"/>
  <c r="G306" i="48"/>
  <c r="E307" i="48"/>
  <c r="F307" i="48"/>
  <c r="G307" i="48"/>
  <c r="E308" i="48"/>
  <c r="F308" i="48"/>
  <c r="G308" i="48"/>
  <c r="E309" i="48"/>
  <c r="F309" i="48"/>
  <c r="G309" i="48"/>
  <c r="E310" i="48"/>
  <c r="F310" i="48"/>
  <c r="G310" i="48"/>
  <c r="E311" i="48"/>
  <c r="F311" i="48"/>
  <c r="G311" i="48"/>
  <c r="E312" i="48"/>
  <c r="F312" i="48"/>
  <c r="G312" i="48"/>
  <c r="E313" i="48"/>
  <c r="F313" i="48"/>
  <c r="G313" i="48"/>
  <c r="E314" i="48"/>
  <c r="F314" i="48"/>
  <c r="G314" i="48"/>
  <c r="E315" i="48"/>
  <c r="F315" i="48"/>
  <c r="G315" i="48"/>
  <c r="E316" i="48"/>
  <c r="F316" i="48"/>
  <c r="G316" i="48"/>
  <c r="E317" i="48"/>
  <c r="F317" i="48"/>
  <c r="G317" i="48"/>
  <c r="E318" i="48"/>
  <c r="F318" i="48"/>
  <c r="G318" i="48"/>
  <c r="E319" i="48"/>
  <c r="F319" i="48"/>
  <c r="G319" i="48"/>
  <c r="E320" i="48"/>
  <c r="F320" i="48"/>
  <c r="G320" i="48"/>
  <c r="E321" i="48"/>
  <c r="F321" i="48"/>
  <c r="G321" i="48"/>
  <c r="E322" i="48"/>
  <c r="F322" i="48"/>
  <c r="G322" i="48"/>
  <c r="E323" i="48"/>
  <c r="F323" i="48"/>
  <c r="G323" i="48"/>
  <c r="E324" i="48"/>
  <c r="F324" i="48"/>
  <c r="G324" i="48"/>
  <c r="E325" i="48"/>
  <c r="F325" i="48"/>
  <c r="G325" i="48"/>
  <c r="E326" i="48"/>
  <c r="F326" i="48"/>
  <c r="G326" i="48"/>
  <c r="E327" i="48"/>
  <c r="F327" i="48"/>
  <c r="G327" i="48"/>
  <c r="E328" i="48"/>
  <c r="F328" i="48"/>
  <c r="G328" i="48"/>
  <c r="E329" i="48"/>
  <c r="F329" i="48"/>
  <c r="G329" i="48"/>
  <c r="E330" i="48"/>
  <c r="F330" i="48"/>
  <c r="G330" i="48"/>
  <c r="E331" i="48"/>
  <c r="F331" i="48"/>
  <c r="G331" i="48"/>
  <c r="E332" i="48"/>
  <c r="F332" i="48"/>
  <c r="G332" i="48"/>
  <c r="E333" i="48"/>
  <c r="F333" i="48"/>
  <c r="G333" i="48"/>
  <c r="E334" i="48"/>
  <c r="F334" i="48"/>
  <c r="G334" i="48"/>
  <c r="E335" i="48"/>
  <c r="F335" i="48"/>
  <c r="G335" i="48"/>
  <c r="E336" i="48"/>
  <c r="F336" i="48"/>
  <c r="G336" i="48"/>
  <c r="E337" i="48"/>
  <c r="F337" i="48"/>
  <c r="G337" i="48"/>
  <c r="E338" i="48"/>
  <c r="F338" i="48"/>
  <c r="G338" i="48"/>
  <c r="E339" i="48"/>
  <c r="F339" i="48"/>
  <c r="G339" i="48"/>
  <c r="E340" i="48"/>
  <c r="F340" i="48"/>
  <c r="G340" i="48"/>
  <c r="E341" i="48"/>
  <c r="F341" i="48"/>
  <c r="G341" i="48"/>
  <c r="E342" i="48"/>
  <c r="F342" i="48"/>
  <c r="G342" i="48"/>
  <c r="E343" i="48"/>
  <c r="F343" i="48"/>
  <c r="G343" i="48"/>
  <c r="E344" i="48"/>
  <c r="F344" i="48"/>
  <c r="G344" i="48"/>
  <c r="E345" i="48"/>
  <c r="F345" i="48"/>
  <c r="G345" i="48"/>
  <c r="E346" i="48"/>
  <c r="F346" i="48"/>
  <c r="G346" i="48"/>
  <c r="E347" i="48"/>
  <c r="F347" i="48"/>
  <c r="G347" i="48"/>
  <c r="E348" i="48"/>
  <c r="F348" i="48"/>
  <c r="G348" i="48"/>
  <c r="E349" i="48"/>
  <c r="F349" i="48"/>
  <c r="G349" i="48"/>
  <c r="E350" i="48"/>
  <c r="F350" i="48"/>
  <c r="G350" i="48"/>
  <c r="E351" i="48"/>
  <c r="F351" i="48"/>
  <c r="G351" i="48"/>
  <c r="E352" i="48"/>
  <c r="F352" i="48"/>
  <c r="G352" i="48"/>
  <c r="E353" i="48"/>
  <c r="F353" i="48"/>
  <c r="G353" i="48"/>
  <c r="E354" i="48"/>
  <c r="F354" i="48"/>
  <c r="G354" i="48"/>
  <c r="E355" i="48"/>
  <c r="F355" i="48"/>
  <c r="G355" i="48"/>
  <c r="E356" i="48"/>
  <c r="F356" i="48"/>
  <c r="G356" i="48"/>
  <c r="E357" i="48"/>
  <c r="F357" i="48"/>
  <c r="G357" i="48"/>
  <c r="E358" i="48"/>
  <c r="F358" i="48"/>
  <c r="G358" i="48"/>
  <c r="E359" i="48"/>
  <c r="F359" i="48"/>
  <c r="G359" i="48"/>
  <c r="E360" i="48"/>
  <c r="F360" i="48"/>
  <c r="G360" i="48"/>
  <c r="E361" i="48"/>
  <c r="F361" i="48"/>
  <c r="G361" i="48"/>
  <c r="E362" i="48"/>
  <c r="F362" i="48"/>
  <c r="G362" i="48"/>
  <c r="E363" i="48"/>
  <c r="F363" i="48"/>
  <c r="G363" i="48"/>
  <c r="E364" i="48"/>
  <c r="F364" i="48"/>
  <c r="G364" i="48"/>
  <c r="E365" i="48"/>
  <c r="F365" i="48"/>
  <c r="G365" i="48"/>
  <c r="E366" i="48"/>
  <c r="F366" i="48"/>
  <c r="G366" i="48"/>
  <c r="E367" i="48"/>
  <c r="F367" i="48"/>
  <c r="G367" i="48"/>
  <c r="E368" i="48"/>
  <c r="F368" i="48"/>
  <c r="G368" i="48"/>
  <c r="E369" i="48"/>
  <c r="F369" i="48"/>
  <c r="G369" i="48"/>
  <c r="E370" i="48"/>
  <c r="F370" i="48"/>
  <c r="G370" i="48"/>
  <c r="E371" i="48"/>
  <c r="F371" i="48"/>
  <c r="G371" i="48"/>
  <c r="E372" i="48"/>
  <c r="F372" i="48"/>
  <c r="G372" i="48"/>
  <c r="E373" i="48"/>
  <c r="F373" i="48"/>
  <c r="G373" i="48"/>
  <c r="E374" i="48"/>
  <c r="F374" i="48"/>
  <c r="G374" i="48"/>
  <c r="E375" i="48"/>
  <c r="F375" i="48"/>
  <c r="G375" i="48"/>
  <c r="E376" i="48"/>
  <c r="F376" i="48"/>
  <c r="G376" i="48"/>
  <c r="E377" i="48"/>
  <c r="F377" i="48"/>
  <c r="G377" i="48"/>
  <c r="E378" i="48"/>
  <c r="F378" i="48"/>
  <c r="G378" i="48"/>
  <c r="E379" i="48"/>
  <c r="F379" i="48"/>
  <c r="G379" i="48"/>
  <c r="E380" i="48"/>
  <c r="F380" i="48"/>
  <c r="G380" i="48"/>
  <c r="E381" i="48"/>
  <c r="F381" i="48"/>
  <c r="G381" i="48"/>
  <c r="E382" i="48"/>
  <c r="F382" i="48"/>
  <c r="G382" i="48"/>
  <c r="E383" i="48"/>
  <c r="F383" i="48"/>
  <c r="G383" i="48"/>
  <c r="E384" i="48"/>
  <c r="F384" i="48"/>
  <c r="G384" i="48"/>
  <c r="E385" i="48"/>
  <c r="F385" i="48"/>
  <c r="G385" i="48"/>
  <c r="E386" i="48"/>
  <c r="F386" i="48"/>
  <c r="G386" i="48"/>
  <c r="E387" i="48"/>
  <c r="F387" i="48"/>
  <c r="G387" i="48"/>
  <c r="E388" i="48"/>
  <c r="F388" i="48"/>
  <c r="G388" i="48"/>
  <c r="E389" i="48"/>
  <c r="F389" i="48"/>
  <c r="G389" i="48"/>
  <c r="E390" i="48"/>
  <c r="F390" i="48"/>
  <c r="G390" i="48"/>
  <c r="E391" i="48"/>
  <c r="F391" i="48"/>
  <c r="G391" i="48"/>
  <c r="E392" i="48"/>
  <c r="F392" i="48"/>
  <c r="G392" i="48"/>
  <c r="E393" i="48"/>
  <c r="F393" i="48"/>
  <c r="G393" i="48"/>
  <c r="E394" i="48"/>
  <c r="F394" i="48"/>
  <c r="G394" i="48"/>
  <c r="E395" i="48"/>
  <c r="F395" i="48"/>
  <c r="G395" i="48"/>
  <c r="E396" i="48"/>
  <c r="F396" i="48"/>
  <c r="G396" i="48"/>
  <c r="E397" i="48"/>
  <c r="F397" i="48"/>
  <c r="G397" i="48"/>
  <c r="E398" i="48"/>
  <c r="F398" i="48"/>
  <c r="G398" i="48"/>
  <c r="E399" i="48"/>
  <c r="F399" i="48"/>
  <c r="G399" i="48"/>
  <c r="E400" i="48"/>
  <c r="F400" i="48"/>
  <c r="G400" i="48"/>
  <c r="E401" i="48"/>
  <c r="F401" i="48"/>
  <c r="G401" i="48"/>
  <c r="E402" i="48"/>
  <c r="F402" i="48"/>
  <c r="G402" i="48"/>
  <c r="E403" i="48"/>
  <c r="F403" i="48"/>
  <c r="G403" i="48"/>
  <c r="E404" i="48"/>
  <c r="F404" i="48"/>
  <c r="G404" i="48"/>
  <c r="E405" i="48"/>
  <c r="F405" i="48"/>
  <c r="G405" i="48"/>
  <c r="E406" i="48"/>
  <c r="F406" i="48"/>
  <c r="G406" i="48"/>
  <c r="E407" i="48"/>
  <c r="F407" i="48"/>
  <c r="G407" i="48"/>
  <c r="E408" i="48"/>
  <c r="F408" i="48"/>
  <c r="G408" i="48"/>
  <c r="E409" i="48"/>
  <c r="F409" i="48"/>
  <c r="G409" i="48"/>
  <c r="E410" i="48"/>
  <c r="F410" i="48"/>
  <c r="G410" i="48"/>
  <c r="E411" i="48"/>
  <c r="F411" i="48"/>
  <c r="G411" i="48"/>
  <c r="E412" i="48"/>
  <c r="F412" i="48"/>
  <c r="G412" i="48"/>
  <c r="E413" i="48"/>
  <c r="F413" i="48"/>
  <c r="G413" i="48"/>
  <c r="E414" i="48"/>
  <c r="F414" i="48"/>
  <c r="G414" i="48"/>
  <c r="E415" i="48"/>
  <c r="F415" i="48"/>
  <c r="G415" i="48"/>
  <c r="E416" i="48"/>
  <c r="F416" i="48"/>
  <c r="G416" i="48"/>
  <c r="E417" i="48"/>
  <c r="F417" i="48"/>
  <c r="G417" i="48"/>
  <c r="E418" i="48"/>
  <c r="F418" i="48"/>
  <c r="G418" i="48"/>
  <c r="E419" i="48"/>
  <c r="F419" i="48"/>
  <c r="G419" i="48"/>
  <c r="E420" i="48"/>
  <c r="F420" i="48"/>
  <c r="G420" i="48"/>
  <c r="E421" i="48"/>
  <c r="F421" i="48"/>
  <c r="G421" i="48"/>
  <c r="E422" i="48"/>
  <c r="F422" i="48"/>
  <c r="G422" i="48"/>
  <c r="E423" i="48"/>
  <c r="F423" i="48"/>
  <c r="G423" i="48"/>
  <c r="E424" i="48"/>
  <c r="F424" i="48"/>
  <c r="G424" i="48"/>
  <c r="E425" i="48"/>
  <c r="F425" i="48"/>
  <c r="G425" i="48"/>
  <c r="E426" i="48"/>
  <c r="F426" i="48"/>
  <c r="G426" i="48"/>
  <c r="E427" i="48"/>
  <c r="F427" i="48"/>
  <c r="G427" i="48"/>
  <c r="E428" i="48"/>
  <c r="F428" i="48"/>
  <c r="G428" i="48"/>
  <c r="E429" i="48"/>
  <c r="F429" i="48"/>
  <c r="G429" i="48"/>
  <c r="E430" i="48"/>
  <c r="F430" i="48"/>
  <c r="G430" i="48"/>
  <c r="E431" i="48"/>
  <c r="F431" i="48"/>
  <c r="G431" i="48"/>
  <c r="E432" i="48"/>
  <c r="F432" i="48"/>
  <c r="G432" i="48"/>
  <c r="E433" i="48"/>
  <c r="F433" i="48"/>
  <c r="G433" i="48"/>
  <c r="E434" i="48"/>
  <c r="F434" i="48"/>
  <c r="G434" i="48"/>
  <c r="E435" i="48"/>
  <c r="F435" i="48"/>
  <c r="G435" i="48"/>
  <c r="E436" i="48"/>
  <c r="F436" i="48"/>
  <c r="G436" i="48"/>
  <c r="E437" i="48"/>
  <c r="F437" i="48"/>
  <c r="G437" i="48"/>
  <c r="E438" i="48"/>
  <c r="F438" i="48"/>
  <c r="G438" i="48"/>
  <c r="E439" i="48"/>
  <c r="F439" i="48"/>
  <c r="G439" i="48"/>
  <c r="E440" i="48"/>
  <c r="F440" i="48"/>
  <c r="G440" i="48"/>
  <c r="E441" i="48"/>
  <c r="F441" i="48"/>
  <c r="G441" i="48"/>
  <c r="E442" i="48"/>
  <c r="F442" i="48"/>
  <c r="G442" i="48"/>
  <c r="E443" i="48"/>
  <c r="F443" i="48"/>
  <c r="G443" i="48"/>
  <c r="E444" i="48"/>
  <c r="F444" i="48"/>
  <c r="G444" i="48"/>
  <c r="E445" i="48"/>
  <c r="F445" i="48"/>
  <c r="G445" i="48"/>
  <c r="E446" i="48"/>
  <c r="F446" i="48"/>
  <c r="G446" i="48"/>
  <c r="E447" i="48"/>
  <c r="F447" i="48"/>
  <c r="G447" i="48"/>
  <c r="E448" i="48"/>
  <c r="F448" i="48"/>
  <c r="G448" i="48"/>
  <c r="E449" i="48"/>
  <c r="F449" i="48"/>
  <c r="G449" i="48"/>
  <c r="E450" i="48"/>
  <c r="F450" i="48"/>
  <c r="G450" i="48"/>
  <c r="E451" i="48"/>
  <c r="F451" i="48"/>
  <c r="G451" i="48"/>
  <c r="E452" i="48"/>
  <c r="F452" i="48"/>
  <c r="G452" i="48"/>
  <c r="E453" i="48"/>
  <c r="F453" i="48"/>
  <c r="G453" i="48"/>
  <c r="E454" i="48"/>
  <c r="F454" i="48"/>
  <c r="G454" i="48"/>
  <c r="E455" i="48"/>
  <c r="F455" i="48"/>
  <c r="G455" i="48"/>
  <c r="E456" i="48"/>
  <c r="F456" i="48"/>
  <c r="G456" i="48"/>
  <c r="E457" i="48"/>
  <c r="F457" i="48"/>
  <c r="G457" i="48"/>
  <c r="E458" i="48"/>
  <c r="F458" i="48"/>
  <c r="G458" i="48"/>
  <c r="E459" i="48"/>
  <c r="F459" i="48"/>
  <c r="G459" i="48"/>
  <c r="E460" i="48"/>
  <c r="F460" i="48"/>
  <c r="G460" i="48"/>
  <c r="E461" i="48"/>
  <c r="F461" i="48"/>
  <c r="G461" i="48"/>
  <c r="E462" i="48"/>
  <c r="F462" i="48"/>
  <c r="G462" i="48"/>
  <c r="E463" i="48"/>
  <c r="F463" i="48"/>
  <c r="G463" i="48"/>
  <c r="E464" i="48"/>
  <c r="F464" i="48"/>
  <c r="G464" i="48"/>
  <c r="E465" i="48"/>
  <c r="F465" i="48"/>
  <c r="G465" i="48"/>
  <c r="E466" i="48"/>
  <c r="F466" i="48"/>
  <c r="G466" i="48"/>
  <c r="E467" i="48"/>
  <c r="F467" i="48"/>
  <c r="G467" i="48"/>
  <c r="E468" i="48"/>
  <c r="F468" i="48"/>
  <c r="G468" i="48"/>
  <c r="E469" i="48"/>
  <c r="F469" i="48"/>
  <c r="G469" i="48"/>
  <c r="E470" i="48"/>
  <c r="F470" i="48"/>
  <c r="G470" i="48"/>
  <c r="E471" i="48"/>
  <c r="F471" i="48"/>
  <c r="G471" i="48"/>
  <c r="E472" i="48"/>
  <c r="F472" i="48"/>
  <c r="G472" i="48"/>
  <c r="E473" i="48"/>
  <c r="F473" i="48"/>
  <c r="G473" i="48"/>
  <c r="E474" i="48"/>
  <c r="F474" i="48"/>
  <c r="G474" i="48"/>
  <c r="E475" i="48"/>
  <c r="F475" i="48"/>
  <c r="G475" i="48"/>
  <c r="E476" i="48"/>
  <c r="F476" i="48"/>
  <c r="G476" i="48"/>
  <c r="E477" i="48"/>
  <c r="F477" i="48"/>
  <c r="G477" i="48"/>
  <c r="E478" i="48"/>
  <c r="F478" i="48"/>
  <c r="G478" i="48"/>
  <c r="E479" i="48"/>
  <c r="F479" i="48"/>
  <c r="G479" i="48"/>
  <c r="E480" i="48"/>
  <c r="F480" i="48"/>
  <c r="G480" i="48"/>
  <c r="E481" i="48"/>
  <c r="F481" i="48"/>
  <c r="G481" i="48"/>
  <c r="E482" i="48"/>
  <c r="F482" i="48"/>
  <c r="G482" i="48"/>
  <c r="E483" i="48"/>
  <c r="F483" i="48"/>
  <c r="G483" i="48"/>
  <c r="E484" i="48"/>
  <c r="F484" i="48"/>
  <c r="G484" i="48"/>
  <c r="E485" i="48"/>
  <c r="F485" i="48"/>
  <c r="G485" i="48"/>
  <c r="E486" i="48"/>
  <c r="F486" i="48"/>
  <c r="G486" i="48"/>
  <c r="E487" i="48"/>
  <c r="F487" i="48"/>
  <c r="G487" i="48"/>
  <c r="E488" i="48"/>
  <c r="F488" i="48"/>
  <c r="G488" i="48"/>
  <c r="E489" i="48"/>
  <c r="F489" i="48"/>
  <c r="G489" i="48"/>
  <c r="E490" i="48"/>
  <c r="F490" i="48"/>
  <c r="G490" i="48"/>
  <c r="E491" i="48"/>
  <c r="F491" i="48"/>
  <c r="G491" i="48"/>
  <c r="E492" i="48"/>
  <c r="F492" i="48"/>
  <c r="G492" i="48"/>
  <c r="E493" i="48"/>
  <c r="F493" i="48"/>
  <c r="G493" i="48"/>
  <c r="E494" i="48"/>
  <c r="F494" i="48"/>
  <c r="G494" i="48"/>
  <c r="E495" i="48"/>
  <c r="F495" i="48"/>
  <c r="G495" i="48"/>
  <c r="E496" i="48"/>
  <c r="F496" i="48"/>
  <c r="G496" i="48"/>
  <c r="E497" i="48"/>
  <c r="F497" i="48"/>
  <c r="G497" i="48"/>
  <c r="E498" i="48"/>
  <c r="F498" i="48"/>
  <c r="G498" i="48"/>
  <c r="E499" i="48"/>
  <c r="F499" i="48"/>
  <c r="G499" i="48"/>
  <c r="E500" i="48"/>
  <c r="F500" i="48"/>
  <c r="G500" i="48"/>
  <c r="E501" i="48"/>
  <c r="F501" i="48"/>
  <c r="G501" i="48"/>
  <c r="E502" i="48"/>
  <c r="F502" i="48"/>
  <c r="G502" i="48"/>
  <c r="E503" i="48"/>
  <c r="F503" i="48"/>
  <c r="G503" i="48"/>
  <c r="E504" i="48"/>
  <c r="F504" i="48"/>
  <c r="G504" i="48"/>
  <c r="E505" i="48"/>
  <c r="F505" i="48"/>
  <c r="G505" i="48"/>
  <c r="E506" i="48"/>
  <c r="F506" i="48"/>
  <c r="G506" i="48"/>
  <c r="E507" i="48"/>
  <c r="F507" i="48"/>
  <c r="G507" i="48"/>
  <c r="E508" i="48"/>
  <c r="F508" i="48"/>
  <c r="G508" i="48"/>
  <c r="E509" i="48"/>
  <c r="F509" i="48"/>
  <c r="G509" i="48"/>
  <c r="E510" i="48"/>
  <c r="F510" i="48"/>
  <c r="G510" i="48"/>
  <c r="E511" i="48"/>
  <c r="F511" i="48"/>
  <c r="G511" i="48"/>
  <c r="E512" i="48"/>
  <c r="F512" i="48"/>
  <c r="G512" i="48"/>
  <c r="E513" i="48"/>
  <c r="F513" i="48"/>
  <c r="G513" i="48"/>
  <c r="E514" i="48"/>
  <c r="F514" i="48"/>
  <c r="G514" i="48"/>
  <c r="E515" i="48"/>
  <c r="F515" i="48"/>
  <c r="G515" i="48"/>
  <c r="E516" i="48"/>
  <c r="F516" i="48"/>
  <c r="G516" i="48"/>
  <c r="E517" i="48"/>
  <c r="F517" i="48"/>
  <c r="G517" i="48"/>
  <c r="E518" i="48"/>
  <c r="F518" i="48"/>
  <c r="G518" i="48"/>
  <c r="E519" i="48"/>
  <c r="F519" i="48"/>
  <c r="G519" i="48"/>
  <c r="E520" i="48"/>
  <c r="F520" i="48"/>
  <c r="G520" i="48"/>
  <c r="E521" i="48"/>
  <c r="F521" i="48"/>
  <c r="G521" i="48"/>
  <c r="E522" i="48"/>
  <c r="F522" i="48"/>
  <c r="G522" i="48"/>
  <c r="E523" i="48"/>
  <c r="F523" i="48"/>
  <c r="G523" i="48"/>
  <c r="E524" i="48"/>
  <c r="F524" i="48"/>
  <c r="G524" i="48"/>
  <c r="E525" i="48"/>
  <c r="F525" i="48"/>
  <c r="G525" i="48"/>
  <c r="E526" i="48"/>
  <c r="F526" i="48"/>
  <c r="G526" i="48"/>
  <c r="E527" i="48"/>
  <c r="F527" i="48"/>
  <c r="G527" i="48"/>
  <c r="E528" i="48"/>
  <c r="F528" i="48"/>
  <c r="G528" i="48"/>
  <c r="E529" i="48"/>
  <c r="F529" i="48"/>
  <c r="G529" i="48"/>
  <c r="E530" i="48"/>
  <c r="F530" i="48"/>
  <c r="G530" i="48"/>
  <c r="E531" i="48"/>
  <c r="F531" i="48"/>
  <c r="G531" i="48"/>
  <c r="E532" i="48"/>
  <c r="F532" i="48"/>
  <c r="G532" i="48"/>
  <c r="E533" i="48"/>
  <c r="F533" i="48"/>
  <c r="G533" i="48"/>
  <c r="E534" i="48"/>
  <c r="F534" i="48"/>
  <c r="G534" i="48"/>
  <c r="E535" i="48"/>
  <c r="F535" i="48"/>
  <c r="G535" i="48"/>
  <c r="E536" i="48"/>
  <c r="F536" i="48"/>
  <c r="G536" i="48"/>
  <c r="E537" i="48"/>
  <c r="F537" i="48"/>
  <c r="G537" i="48"/>
  <c r="E538" i="48"/>
  <c r="F538" i="48"/>
  <c r="G538" i="48"/>
  <c r="E539" i="48"/>
  <c r="F539" i="48"/>
  <c r="G539" i="48"/>
  <c r="E540" i="48"/>
  <c r="F540" i="48"/>
  <c r="G540" i="48"/>
  <c r="E541" i="48"/>
  <c r="F541" i="48"/>
  <c r="G541" i="48"/>
  <c r="E542" i="48"/>
  <c r="F542" i="48"/>
  <c r="G542" i="48"/>
  <c r="E543" i="48"/>
  <c r="F543" i="48"/>
  <c r="G543" i="48"/>
  <c r="E544" i="48"/>
  <c r="F544" i="48"/>
  <c r="G544" i="48"/>
  <c r="E545" i="48"/>
  <c r="F545" i="48"/>
  <c r="G545" i="48"/>
  <c r="E546" i="48"/>
  <c r="F546" i="48"/>
  <c r="G546" i="48"/>
  <c r="E547" i="48"/>
  <c r="F547" i="48"/>
  <c r="G547" i="48"/>
  <c r="E548" i="48"/>
  <c r="F548" i="48"/>
  <c r="G548" i="48"/>
  <c r="E549" i="48"/>
  <c r="F549" i="48"/>
  <c r="G549" i="48"/>
  <c r="E550" i="48"/>
  <c r="F550" i="48"/>
  <c r="G550" i="48"/>
  <c r="E551" i="48"/>
  <c r="F551" i="48"/>
  <c r="G551" i="48"/>
  <c r="E552" i="48"/>
  <c r="F552" i="48"/>
  <c r="G552" i="48"/>
  <c r="E553" i="48"/>
  <c r="F553" i="48"/>
  <c r="G553" i="48"/>
  <c r="E554" i="48"/>
  <c r="F554" i="48"/>
  <c r="G554" i="48"/>
  <c r="E555" i="48"/>
  <c r="F555" i="48"/>
  <c r="G555" i="48"/>
  <c r="E556" i="48"/>
  <c r="F556" i="48"/>
  <c r="G556" i="48"/>
  <c r="E557" i="48"/>
  <c r="F557" i="48"/>
  <c r="G557" i="48"/>
  <c r="E558" i="48"/>
  <c r="F558" i="48"/>
  <c r="G558" i="48"/>
  <c r="E559" i="48"/>
  <c r="F559" i="48"/>
  <c r="G559" i="48"/>
  <c r="E560" i="48"/>
  <c r="F560" i="48"/>
  <c r="G560" i="48"/>
  <c r="E561" i="48"/>
  <c r="F561" i="48"/>
  <c r="G561" i="48"/>
  <c r="E562" i="48"/>
  <c r="F562" i="48"/>
  <c r="G562" i="48"/>
  <c r="E563" i="48"/>
  <c r="F563" i="48"/>
  <c r="G563" i="48"/>
  <c r="E564" i="48"/>
  <c r="F564" i="48"/>
  <c r="G564" i="48"/>
  <c r="E565" i="48"/>
  <c r="F565" i="48"/>
  <c r="G565" i="48"/>
  <c r="E566" i="48"/>
  <c r="F566" i="48"/>
  <c r="G566" i="48"/>
  <c r="E567" i="48"/>
  <c r="F567" i="48"/>
  <c r="G567" i="48"/>
  <c r="E568" i="48"/>
  <c r="F568" i="48"/>
  <c r="G568" i="48"/>
  <c r="E569" i="48"/>
  <c r="F569" i="48"/>
  <c r="G569" i="48"/>
  <c r="E570" i="48"/>
  <c r="F570" i="48"/>
  <c r="G570" i="48"/>
  <c r="E571" i="48"/>
  <c r="F571" i="48"/>
  <c r="G571" i="48"/>
  <c r="E572" i="48"/>
  <c r="F572" i="48"/>
  <c r="G572" i="48"/>
  <c r="E573" i="48"/>
  <c r="F573" i="48"/>
  <c r="G573" i="48"/>
  <c r="E574" i="48"/>
  <c r="F574" i="48"/>
  <c r="G574" i="48"/>
  <c r="E575" i="48"/>
  <c r="F575" i="48"/>
  <c r="G575" i="48"/>
  <c r="E576" i="48"/>
  <c r="F576" i="48"/>
  <c r="G576" i="48"/>
  <c r="E577" i="48"/>
  <c r="F577" i="48"/>
  <c r="G577" i="48"/>
  <c r="E578" i="48"/>
  <c r="F578" i="48"/>
  <c r="G578" i="48"/>
  <c r="E579" i="48"/>
  <c r="F579" i="48"/>
  <c r="G579" i="48"/>
  <c r="E580" i="48"/>
  <c r="F580" i="48"/>
  <c r="G580" i="48"/>
  <c r="E581" i="48"/>
  <c r="F581" i="48"/>
  <c r="G581" i="48"/>
  <c r="E582" i="48"/>
  <c r="F582" i="48"/>
  <c r="G582" i="48"/>
  <c r="E583" i="48"/>
  <c r="F583" i="48"/>
  <c r="G583" i="48"/>
  <c r="E584" i="48"/>
  <c r="F584" i="48"/>
  <c r="G584" i="48"/>
  <c r="E585" i="48"/>
  <c r="F585" i="48"/>
  <c r="G585" i="48"/>
  <c r="E586" i="48"/>
  <c r="F586" i="48"/>
  <c r="G586" i="48"/>
  <c r="E587" i="48"/>
  <c r="F587" i="48"/>
  <c r="G587" i="48"/>
  <c r="E588" i="48"/>
  <c r="F588" i="48"/>
  <c r="G588" i="48"/>
  <c r="E589" i="48"/>
  <c r="F589" i="48"/>
  <c r="G589" i="48"/>
  <c r="E590" i="48"/>
  <c r="F590" i="48"/>
  <c r="G590" i="48"/>
  <c r="E591" i="48"/>
  <c r="F591" i="48"/>
  <c r="G591" i="48"/>
  <c r="E592" i="48"/>
  <c r="F592" i="48"/>
  <c r="G592" i="48"/>
  <c r="E593" i="48"/>
  <c r="F593" i="48"/>
  <c r="G593" i="48"/>
  <c r="E594" i="48"/>
  <c r="F594" i="48"/>
  <c r="G594" i="48"/>
  <c r="E595" i="48"/>
  <c r="F595" i="48"/>
  <c r="G595" i="48"/>
  <c r="E596" i="48"/>
  <c r="F596" i="48"/>
  <c r="G596" i="48"/>
  <c r="E597" i="48"/>
  <c r="F597" i="48"/>
  <c r="G597" i="48"/>
  <c r="E598" i="48"/>
  <c r="F598" i="48"/>
  <c r="G598" i="48"/>
  <c r="E599" i="48"/>
  <c r="F599" i="48"/>
  <c r="G599" i="48"/>
  <c r="E600" i="48"/>
  <c r="F600" i="48"/>
  <c r="G600" i="48"/>
  <c r="E601" i="48"/>
  <c r="F601" i="48"/>
  <c r="G601" i="48"/>
  <c r="E602" i="48"/>
  <c r="F602" i="48"/>
  <c r="G602" i="48"/>
  <c r="E603" i="48"/>
  <c r="F603" i="48"/>
  <c r="G603" i="48"/>
  <c r="E604" i="48"/>
  <c r="F604" i="48"/>
  <c r="G604" i="48"/>
  <c r="E605" i="48"/>
  <c r="F605" i="48"/>
  <c r="G605" i="48"/>
  <c r="E606" i="48"/>
  <c r="F606" i="48"/>
  <c r="G606" i="48"/>
  <c r="E607" i="48"/>
  <c r="F607" i="48"/>
  <c r="G607" i="48"/>
  <c r="E608" i="48"/>
  <c r="F608" i="48"/>
  <c r="G608" i="48"/>
  <c r="E609" i="48"/>
  <c r="F609" i="48"/>
  <c r="G609" i="48"/>
  <c r="E610" i="48"/>
  <c r="F610" i="48"/>
  <c r="G610" i="48"/>
  <c r="E611" i="48"/>
  <c r="F611" i="48"/>
  <c r="G611" i="48"/>
  <c r="E612" i="48"/>
  <c r="F612" i="48"/>
  <c r="G612" i="48"/>
  <c r="E613" i="48"/>
  <c r="F613" i="48"/>
  <c r="G613" i="48"/>
  <c r="E614" i="48"/>
  <c r="F614" i="48"/>
  <c r="G614" i="48"/>
  <c r="E615" i="48"/>
  <c r="F615" i="48"/>
  <c r="G615" i="48"/>
  <c r="E616" i="48"/>
  <c r="F616" i="48"/>
  <c r="G616" i="48"/>
  <c r="E617" i="48"/>
  <c r="F617" i="48"/>
  <c r="G617" i="48"/>
  <c r="E618" i="48"/>
  <c r="F618" i="48"/>
  <c r="G618" i="48"/>
  <c r="E619" i="48"/>
  <c r="F619" i="48"/>
  <c r="G619" i="48"/>
  <c r="E620" i="48"/>
  <c r="F620" i="48"/>
  <c r="G620" i="48"/>
  <c r="E621" i="48"/>
  <c r="F621" i="48"/>
  <c r="G621" i="48"/>
  <c r="E622" i="48"/>
  <c r="F622" i="48"/>
  <c r="G622" i="48"/>
  <c r="E623" i="48"/>
  <c r="F623" i="48"/>
  <c r="G623" i="48"/>
  <c r="E624" i="48"/>
  <c r="F624" i="48"/>
  <c r="G624" i="48"/>
  <c r="E625" i="48"/>
  <c r="F625" i="48"/>
  <c r="G625" i="48"/>
  <c r="E626" i="48"/>
  <c r="F626" i="48"/>
  <c r="G626" i="48"/>
  <c r="E627" i="48"/>
  <c r="F627" i="48"/>
  <c r="G627" i="48"/>
  <c r="E628" i="48"/>
  <c r="F628" i="48"/>
  <c r="G628" i="48"/>
  <c r="E629" i="48"/>
  <c r="F629" i="48"/>
  <c r="G629" i="48"/>
  <c r="E630" i="48"/>
  <c r="F630" i="48"/>
  <c r="G630" i="48"/>
  <c r="E631" i="48"/>
  <c r="F631" i="48"/>
  <c r="G631" i="48"/>
  <c r="E632" i="48"/>
  <c r="F632" i="48"/>
  <c r="G632" i="48"/>
  <c r="E633" i="48"/>
  <c r="F633" i="48"/>
  <c r="G633" i="48"/>
  <c r="E634" i="48"/>
  <c r="F634" i="48"/>
  <c r="G634" i="48"/>
  <c r="E635" i="48"/>
  <c r="F635" i="48"/>
  <c r="G635" i="48"/>
  <c r="E636" i="48"/>
  <c r="F636" i="48"/>
  <c r="G636" i="48"/>
  <c r="E637" i="48"/>
  <c r="F637" i="48"/>
  <c r="G637" i="48"/>
  <c r="E638" i="48"/>
  <c r="F638" i="48"/>
  <c r="G638" i="48"/>
  <c r="E639" i="48"/>
  <c r="F639" i="48"/>
  <c r="G639" i="48"/>
  <c r="E640" i="48"/>
  <c r="F640" i="48"/>
  <c r="G640" i="48"/>
  <c r="E641" i="48"/>
  <c r="F641" i="48"/>
  <c r="G641" i="48"/>
  <c r="E642" i="48"/>
  <c r="F642" i="48"/>
  <c r="G642" i="48"/>
  <c r="E643" i="48"/>
  <c r="F643" i="48"/>
  <c r="G643" i="48"/>
  <c r="E644" i="48"/>
  <c r="F644" i="48"/>
  <c r="G644" i="48"/>
  <c r="E645" i="48"/>
  <c r="F645" i="48"/>
  <c r="G645" i="48"/>
  <c r="E646" i="48"/>
  <c r="F646" i="48"/>
  <c r="G646" i="48"/>
  <c r="E647" i="48"/>
  <c r="F647" i="48"/>
  <c r="G647" i="48"/>
  <c r="E648" i="48"/>
  <c r="F648" i="48"/>
  <c r="G648" i="48"/>
  <c r="E649" i="48"/>
  <c r="F649" i="48"/>
  <c r="G649" i="48"/>
  <c r="E650" i="48"/>
  <c r="F650" i="48"/>
  <c r="G650" i="48"/>
  <c r="E651" i="48"/>
  <c r="F651" i="48"/>
  <c r="G651" i="48"/>
  <c r="E652" i="48"/>
  <c r="F652" i="48"/>
  <c r="G652" i="48"/>
  <c r="E653" i="48"/>
  <c r="F653" i="48"/>
  <c r="G653" i="48"/>
  <c r="E654" i="48"/>
  <c r="F654" i="48"/>
  <c r="G654" i="48"/>
  <c r="E655" i="48"/>
  <c r="F655" i="48"/>
  <c r="G655" i="48"/>
  <c r="E656" i="48"/>
  <c r="F656" i="48"/>
  <c r="G656" i="48"/>
  <c r="E657" i="48"/>
  <c r="F657" i="48"/>
  <c r="G657" i="48"/>
  <c r="E658" i="48"/>
  <c r="F658" i="48"/>
  <c r="G658" i="48"/>
  <c r="E659" i="48"/>
  <c r="F659" i="48"/>
  <c r="G659" i="48"/>
  <c r="E660" i="48"/>
  <c r="F660" i="48"/>
  <c r="G660" i="48"/>
  <c r="E661" i="48"/>
  <c r="F661" i="48"/>
  <c r="G661" i="48"/>
  <c r="E662" i="48"/>
  <c r="F662" i="48"/>
  <c r="G662" i="48"/>
  <c r="E663" i="48"/>
  <c r="F663" i="48"/>
  <c r="G663" i="48"/>
  <c r="E664" i="48"/>
  <c r="F664" i="48"/>
  <c r="G664" i="48"/>
  <c r="E665" i="48"/>
  <c r="F665" i="48"/>
  <c r="G665" i="48"/>
  <c r="E666" i="48"/>
  <c r="F666" i="48"/>
  <c r="G666" i="48"/>
  <c r="E667" i="48"/>
  <c r="F667" i="48"/>
  <c r="G667" i="48"/>
  <c r="E668" i="48"/>
  <c r="F668" i="48"/>
  <c r="G668" i="48"/>
  <c r="E669" i="48"/>
  <c r="F669" i="48"/>
  <c r="G669" i="48"/>
  <c r="E670" i="48"/>
  <c r="F670" i="48"/>
  <c r="G670" i="48"/>
  <c r="E671" i="48"/>
  <c r="F671" i="48"/>
  <c r="G671" i="48"/>
  <c r="E672" i="48"/>
  <c r="F672" i="48"/>
  <c r="G672" i="48"/>
  <c r="E673" i="48"/>
  <c r="F673" i="48"/>
  <c r="G673" i="48"/>
  <c r="E674" i="48"/>
  <c r="F674" i="48"/>
  <c r="G674" i="48"/>
  <c r="E675" i="48"/>
  <c r="F675" i="48"/>
  <c r="G675" i="48"/>
  <c r="E676" i="48"/>
  <c r="F676" i="48"/>
  <c r="G676" i="48"/>
  <c r="E677" i="48"/>
  <c r="F677" i="48"/>
  <c r="G677" i="48"/>
  <c r="E678" i="48"/>
  <c r="F678" i="48"/>
  <c r="G678" i="48"/>
  <c r="E679" i="48"/>
  <c r="F679" i="48"/>
  <c r="G679" i="48"/>
  <c r="E680" i="48"/>
  <c r="F680" i="48"/>
  <c r="G680" i="48"/>
  <c r="E681" i="48"/>
  <c r="F681" i="48"/>
  <c r="G681" i="48"/>
  <c r="E682" i="48"/>
  <c r="F682" i="48"/>
  <c r="G682" i="48"/>
  <c r="E683" i="48"/>
  <c r="F683" i="48"/>
  <c r="G683" i="48"/>
  <c r="C36" i="62"/>
  <c r="E36" i="62"/>
  <c r="C29" i="62"/>
  <c r="E14" i="62"/>
  <c r="D685" i="49"/>
  <c r="E683" i="49"/>
  <c r="G683" i="49"/>
  <c r="H683" i="49"/>
  <c r="J683" i="49"/>
  <c r="E682" i="49"/>
  <c r="E681" i="49"/>
  <c r="G681" i="49"/>
  <c r="H681" i="49"/>
  <c r="J681" i="49"/>
  <c r="E680" i="49"/>
  <c r="G680" i="49"/>
  <c r="H680" i="49"/>
  <c r="J680" i="49"/>
  <c r="E679" i="49"/>
  <c r="G679" i="49"/>
  <c r="H679" i="49"/>
  <c r="J679" i="49"/>
  <c r="E678" i="49"/>
  <c r="E677" i="49"/>
  <c r="G677" i="49"/>
  <c r="H677" i="49"/>
  <c r="J677" i="49"/>
  <c r="E676" i="49"/>
  <c r="G676" i="49"/>
  <c r="H676" i="49"/>
  <c r="J676" i="49"/>
  <c r="E675" i="49"/>
  <c r="G675" i="49"/>
  <c r="H675" i="49"/>
  <c r="J675" i="49"/>
  <c r="E674" i="49"/>
  <c r="E673" i="49"/>
  <c r="G673" i="49"/>
  <c r="H673" i="49"/>
  <c r="J673" i="49"/>
  <c r="E672" i="49"/>
  <c r="G672" i="49"/>
  <c r="H672" i="49"/>
  <c r="J672" i="49"/>
  <c r="E671" i="49"/>
  <c r="G671" i="49"/>
  <c r="H671" i="49"/>
  <c r="J671" i="49"/>
  <c r="E670" i="49"/>
  <c r="G670" i="49"/>
  <c r="H670" i="49"/>
  <c r="J670" i="49"/>
  <c r="E669" i="49"/>
  <c r="G669" i="49"/>
  <c r="H669" i="49"/>
  <c r="J669" i="49"/>
  <c r="E668" i="49"/>
  <c r="G668" i="49"/>
  <c r="H668" i="49"/>
  <c r="J668" i="49"/>
  <c r="E667" i="49"/>
  <c r="G667" i="49"/>
  <c r="H667" i="49"/>
  <c r="J667" i="49"/>
  <c r="E666" i="49"/>
  <c r="G666" i="49"/>
  <c r="H666" i="49"/>
  <c r="J666" i="49"/>
  <c r="E665" i="49"/>
  <c r="G665" i="49"/>
  <c r="H665" i="49"/>
  <c r="J665" i="49"/>
  <c r="E664" i="49"/>
  <c r="G664" i="49"/>
  <c r="H664" i="49"/>
  <c r="J664" i="49"/>
  <c r="E663" i="49"/>
  <c r="G663" i="49"/>
  <c r="H663" i="49"/>
  <c r="J663" i="49"/>
  <c r="E662" i="49"/>
  <c r="G662" i="49"/>
  <c r="H662" i="49"/>
  <c r="J662" i="49"/>
  <c r="E661" i="49"/>
  <c r="G661" i="49"/>
  <c r="H661" i="49"/>
  <c r="J661" i="49"/>
  <c r="E660" i="49"/>
  <c r="G660" i="49"/>
  <c r="H660" i="49"/>
  <c r="J660" i="49"/>
  <c r="E659" i="49"/>
  <c r="G659" i="49"/>
  <c r="H659" i="49"/>
  <c r="J659" i="49"/>
  <c r="E658" i="49"/>
  <c r="G658" i="49"/>
  <c r="H658" i="49"/>
  <c r="J658" i="49"/>
  <c r="E657" i="49"/>
  <c r="G657" i="49"/>
  <c r="H657" i="49"/>
  <c r="J657" i="49"/>
  <c r="E656" i="49"/>
  <c r="G656" i="49"/>
  <c r="H656" i="49"/>
  <c r="J656" i="49"/>
  <c r="E655" i="49"/>
  <c r="G655" i="49"/>
  <c r="H655" i="49"/>
  <c r="J655" i="49"/>
  <c r="E654" i="49"/>
  <c r="G654" i="49"/>
  <c r="H654" i="49"/>
  <c r="J654" i="49"/>
  <c r="E653" i="49"/>
  <c r="G653" i="49"/>
  <c r="H653" i="49"/>
  <c r="J653" i="49"/>
  <c r="E652" i="49"/>
  <c r="G652" i="49"/>
  <c r="H652" i="49"/>
  <c r="J652" i="49"/>
  <c r="E651" i="49"/>
  <c r="G651" i="49"/>
  <c r="H651" i="49"/>
  <c r="J651" i="49"/>
  <c r="E650" i="49"/>
  <c r="G650" i="49"/>
  <c r="H650" i="49"/>
  <c r="J650" i="49"/>
  <c r="E649" i="49"/>
  <c r="G649" i="49"/>
  <c r="H649" i="49"/>
  <c r="J649" i="49"/>
  <c r="E648" i="49"/>
  <c r="G648" i="49"/>
  <c r="H648" i="49"/>
  <c r="J648" i="49"/>
  <c r="E647" i="49"/>
  <c r="G647" i="49"/>
  <c r="H647" i="49"/>
  <c r="J647" i="49"/>
  <c r="E646" i="49"/>
  <c r="G646" i="49"/>
  <c r="H646" i="49"/>
  <c r="J646" i="49"/>
  <c r="E645" i="49"/>
  <c r="G645" i="49"/>
  <c r="H645" i="49"/>
  <c r="J645" i="49"/>
  <c r="E644" i="49"/>
  <c r="G644" i="49"/>
  <c r="H644" i="49"/>
  <c r="J644" i="49"/>
  <c r="E643" i="49"/>
  <c r="G643" i="49"/>
  <c r="H643" i="49"/>
  <c r="J643" i="49"/>
  <c r="E642" i="49"/>
  <c r="E641" i="49"/>
  <c r="F641" i="49"/>
  <c r="E640" i="49"/>
  <c r="E639" i="49"/>
  <c r="F639" i="49"/>
  <c r="E638" i="49"/>
  <c r="E637" i="49"/>
  <c r="F637" i="49"/>
  <c r="E636" i="49"/>
  <c r="F636" i="49"/>
  <c r="E635" i="49"/>
  <c r="F635" i="49"/>
  <c r="E634" i="49"/>
  <c r="E633" i="49"/>
  <c r="F633" i="49"/>
  <c r="E632" i="49"/>
  <c r="E631" i="49"/>
  <c r="F631" i="49"/>
  <c r="E630" i="49"/>
  <c r="F630" i="49"/>
  <c r="E629" i="49"/>
  <c r="F629" i="49"/>
  <c r="E628" i="49"/>
  <c r="F628" i="49"/>
  <c r="E627" i="49"/>
  <c r="F627" i="49"/>
  <c r="E626" i="49"/>
  <c r="E625" i="49"/>
  <c r="F625" i="49"/>
  <c r="E624" i="49"/>
  <c r="E623" i="49"/>
  <c r="F623" i="49"/>
  <c r="E622" i="49"/>
  <c r="E621" i="49"/>
  <c r="F621" i="49"/>
  <c r="E620" i="49"/>
  <c r="F620" i="49"/>
  <c r="E619" i="49"/>
  <c r="F619" i="49"/>
  <c r="E618" i="49"/>
  <c r="E617" i="49"/>
  <c r="F617" i="49"/>
  <c r="E616" i="49"/>
  <c r="E615" i="49"/>
  <c r="F615" i="49"/>
  <c r="E614" i="49"/>
  <c r="F614" i="49"/>
  <c r="E613" i="49"/>
  <c r="F613" i="49"/>
  <c r="E612" i="49"/>
  <c r="F612" i="49"/>
  <c r="E611" i="49"/>
  <c r="F611" i="49"/>
  <c r="E610" i="49"/>
  <c r="E609" i="49"/>
  <c r="F609" i="49"/>
  <c r="E608" i="49"/>
  <c r="E607" i="49"/>
  <c r="F607" i="49"/>
  <c r="E606" i="49"/>
  <c r="E605" i="49"/>
  <c r="F605" i="49"/>
  <c r="E604" i="49"/>
  <c r="F604" i="49"/>
  <c r="E603" i="49"/>
  <c r="F603" i="49"/>
  <c r="E602" i="49"/>
  <c r="E601" i="49"/>
  <c r="F601" i="49"/>
  <c r="E600" i="49"/>
  <c r="E599" i="49"/>
  <c r="F599" i="49"/>
  <c r="E598" i="49"/>
  <c r="F598" i="49"/>
  <c r="E597" i="49"/>
  <c r="F597" i="49"/>
  <c r="E596" i="49"/>
  <c r="F596" i="49"/>
  <c r="E595" i="49"/>
  <c r="F595" i="49"/>
  <c r="E594" i="49"/>
  <c r="E593" i="49"/>
  <c r="F593" i="49"/>
  <c r="E592" i="49"/>
  <c r="E591" i="49"/>
  <c r="F591" i="49"/>
  <c r="E590" i="49"/>
  <c r="E589" i="49"/>
  <c r="F589" i="49"/>
  <c r="E588" i="49"/>
  <c r="F588" i="49"/>
  <c r="E587" i="49"/>
  <c r="F587" i="49"/>
  <c r="E586" i="49"/>
  <c r="E585" i="49"/>
  <c r="F585" i="49"/>
  <c r="E584" i="49"/>
  <c r="E583" i="49"/>
  <c r="F583" i="49"/>
  <c r="E582" i="49"/>
  <c r="F582" i="49"/>
  <c r="E581" i="49"/>
  <c r="F581" i="49"/>
  <c r="E580" i="49"/>
  <c r="F580" i="49"/>
  <c r="E579" i="49"/>
  <c r="F579" i="49"/>
  <c r="E578" i="49"/>
  <c r="E577" i="49"/>
  <c r="F577" i="49"/>
  <c r="E576" i="49"/>
  <c r="E575" i="49"/>
  <c r="F575" i="49"/>
  <c r="E574" i="49"/>
  <c r="E573" i="49"/>
  <c r="F573" i="49"/>
  <c r="E572" i="49"/>
  <c r="F572" i="49"/>
  <c r="E571" i="49"/>
  <c r="F571" i="49"/>
  <c r="E570" i="49"/>
  <c r="E569" i="49"/>
  <c r="F569" i="49"/>
  <c r="E568" i="49"/>
  <c r="E567" i="49"/>
  <c r="F567" i="49"/>
  <c r="E566" i="49"/>
  <c r="F566" i="49"/>
  <c r="E565" i="49"/>
  <c r="F565" i="49"/>
  <c r="E564" i="49"/>
  <c r="F564" i="49"/>
  <c r="E563" i="49"/>
  <c r="F563" i="49"/>
  <c r="E562" i="49"/>
  <c r="E561" i="49"/>
  <c r="F561" i="49"/>
  <c r="E560" i="49"/>
  <c r="E559" i="49"/>
  <c r="F559" i="49"/>
  <c r="E558" i="49"/>
  <c r="E557" i="49"/>
  <c r="F557" i="49"/>
  <c r="E556" i="49"/>
  <c r="E555" i="49"/>
  <c r="F555" i="49"/>
  <c r="E554" i="49"/>
  <c r="E553" i="49"/>
  <c r="F553" i="49"/>
  <c r="E552" i="49"/>
  <c r="E551" i="49"/>
  <c r="F551" i="49"/>
  <c r="E550" i="49"/>
  <c r="E549" i="49"/>
  <c r="F549" i="49"/>
  <c r="E548" i="49"/>
  <c r="E547" i="49"/>
  <c r="F547" i="49"/>
  <c r="E546" i="49"/>
  <c r="E545" i="49"/>
  <c r="F545" i="49"/>
  <c r="E544" i="49"/>
  <c r="E543" i="49"/>
  <c r="F543" i="49"/>
  <c r="E542" i="49"/>
  <c r="E541" i="49"/>
  <c r="F541" i="49"/>
  <c r="E540" i="49"/>
  <c r="E539" i="49"/>
  <c r="F539" i="49"/>
  <c r="E538" i="49"/>
  <c r="E537" i="49"/>
  <c r="F537" i="49"/>
  <c r="E536" i="49"/>
  <c r="E535" i="49"/>
  <c r="F535" i="49"/>
  <c r="E534" i="49"/>
  <c r="E533" i="49"/>
  <c r="F533" i="49"/>
  <c r="E532" i="49"/>
  <c r="E531" i="49"/>
  <c r="F531" i="49"/>
  <c r="E530" i="49"/>
  <c r="E529" i="49"/>
  <c r="F529" i="49"/>
  <c r="E528" i="49"/>
  <c r="E527" i="49"/>
  <c r="F527" i="49"/>
  <c r="E526" i="49"/>
  <c r="E525" i="49"/>
  <c r="F525" i="49"/>
  <c r="E524" i="49"/>
  <c r="E523" i="49"/>
  <c r="F523" i="49"/>
  <c r="E522" i="49"/>
  <c r="E521" i="49"/>
  <c r="F521" i="49"/>
  <c r="E520" i="49"/>
  <c r="E519" i="49"/>
  <c r="F519" i="49"/>
  <c r="E518" i="49"/>
  <c r="E517" i="49"/>
  <c r="F517" i="49"/>
  <c r="E516" i="49"/>
  <c r="E515" i="49"/>
  <c r="F515" i="49"/>
  <c r="E514" i="49"/>
  <c r="E513" i="49"/>
  <c r="F513" i="49"/>
  <c r="E512" i="49"/>
  <c r="E511" i="49"/>
  <c r="F511" i="49"/>
  <c r="E510" i="49"/>
  <c r="E509" i="49"/>
  <c r="F509" i="49"/>
  <c r="E508" i="49"/>
  <c r="E507" i="49"/>
  <c r="F507" i="49"/>
  <c r="E506" i="49"/>
  <c r="E505" i="49"/>
  <c r="F505" i="49"/>
  <c r="E504" i="49"/>
  <c r="E503" i="49"/>
  <c r="F503" i="49"/>
  <c r="E502" i="49"/>
  <c r="E501" i="49"/>
  <c r="F501" i="49"/>
  <c r="E500" i="49"/>
  <c r="E499" i="49"/>
  <c r="F499" i="49"/>
  <c r="E498" i="49"/>
  <c r="E497" i="49"/>
  <c r="F497" i="49"/>
  <c r="E496" i="49"/>
  <c r="E495" i="49"/>
  <c r="F495" i="49"/>
  <c r="E494" i="49"/>
  <c r="E493" i="49"/>
  <c r="E492" i="49"/>
  <c r="E491" i="49"/>
  <c r="E490" i="49"/>
  <c r="E489" i="49"/>
  <c r="E488" i="49"/>
  <c r="E487" i="49"/>
  <c r="F487" i="49"/>
  <c r="E486" i="49"/>
  <c r="E485" i="49"/>
  <c r="E484" i="49"/>
  <c r="E483" i="49"/>
  <c r="E482" i="49"/>
  <c r="E481" i="49"/>
  <c r="F481" i="49"/>
  <c r="E480" i="49"/>
  <c r="E479" i="49"/>
  <c r="F479" i="49"/>
  <c r="E478" i="49"/>
  <c r="E477" i="49"/>
  <c r="E476" i="49"/>
  <c r="E475" i="49"/>
  <c r="E474" i="49"/>
  <c r="E473" i="49"/>
  <c r="E472" i="49"/>
  <c r="E471" i="49"/>
  <c r="F471" i="49"/>
  <c r="E470" i="49"/>
  <c r="E469" i="49"/>
  <c r="E468" i="49"/>
  <c r="E467" i="49"/>
  <c r="E466" i="49"/>
  <c r="E465" i="49"/>
  <c r="F465" i="49"/>
  <c r="E464" i="49"/>
  <c r="E463" i="49"/>
  <c r="F463" i="49"/>
  <c r="E462" i="49"/>
  <c r="E461" i="49"/>
  <c r="E460" i="49"/>
  <c r="E459" i="49"/>
  <c r="E458" i="49"/>
  <c r="E457" i="49"/>
  <c r="E456" i="49"/>
  <c r="E455" i="49"/>
  <c r="F455" i="49"/>
  <c r="E454" i="49"/>
  <c r="E453" i="49"/>
  <c r="E452" i="49"/>
  <c r="E451" i="49"/>
  <c r="E450" i="49"/>
  <c r="E449" i="49"/>
  <c r="F449" i="49"/>
  <c r="E448" i="49"/>
  <c r="E447" i="49"/>
  <c r="F447" i="49"/>
  <c r="E446" i="49"/>
  <c r="E445" i="49"/>
  <c r="E444" i="49"/>
  <c r="E443" i="49"/>
  <c r="E442" i="49"/>
  <c r="E441" i="49"/>
  <c r="E440" i="49"/>
  <c r="E439" i="49"/>
  <c r="E438" i="49"/>
  <c r="E437" i="49"/>
  <c r="E436" i="49"/>
  <c r="E435" i="49"/>
  <c r="E434" i="49"/>
  <c r="E433" i="49"/>
  <c r="E432" i="49"/>
  <c r="E431" i="49"/>
  <c r="E430" i="49"/>
  <c r="E429" i="49"/>
  <c r="E428" i="49"/>
  <c r="E427" i="49"/>
  <c r="E426" i="49"/>
  <c r="E425" i="49"/>
  <c r="E424" i="49"/>
  <c r="E423" i="49"/>
  <c r="E422" i="49"/>
  <c r="E421" i="49"/>
  <c r="E420" i="49"/>
  <c r="E419" i="49"/>
  <c r="E418" i="49"/>
  <c r="E417" i="49"/>
  <c r="E416" i="49"/>
  <c r="E415" i="49"/>
  <c r="E414" i="49"/>
  <c r="E413" i="49"/>
  <c r="E412" i="49"/>
  <c r="E411" i="49"/>
  <c r="E410" i="49"/>
  <c r="E409" i="49"/>
  <c r="E408" i="49"/>
  <c r="E407" i="49"/>
  <c r="E406" i="49"/>
  <c r="E405" i="49"/>
  <c r="E404" i="49"/>
  <c r="E403" i="49"/>
  <c r="E402" i="49"/>
  <c r="E401" i="49"/>
  <c r="E400" i="49"/>
  <c r="E399" i="49"/>
  <c r="E398" i="49"/>
  <c r="E397" i="49"/>
  <c r="E396" i="49"/>
  <c r="E395" i="49"/>
  <c r="E394" i="49"/>
  <c r="E393" i="49"/>
  <c r="E392" i="49"/>
  <c r="E391" i="49"/>
  <c r="E390" i="49"/>
  <c r="E389" i="49"/>
  <c r="E388" i="49"/>
  <c r="E387" i="49"/>
  <c r="E386" i="49"/>
  <c r="E385" i="49"/>
  <c r="E384" i="49"/>
  <c r="E383" i="49"/>
  <c r="E382" i="49"/>
  <c r="E381" i="49"/>
  <c r="E380" i="49"/>
  <c r="E379" i="49"/>
  <c r="E378" i="49"/>
  <c r="E377" i="49"/>
  <c r="E376" i="49"/>
  <c r="E375" i="49"/>
  <c r="E374" i="49"/>
  <c r="E373" i="49"/>
  <c r="E372" i="49"/>
  <c r="E371" i="49"/>
  <c r="E370" i="49"/>
  <c r="E369" i="49"/>
  <c r="E368" i="49"/>
  <c r="E367" i="49"/>
  <c r="E366" i="49"/>
  <c r="E365" i="49"/>
  <c r="E364" i="49"/>
  <c r="E363" i="49"/>
  <c r="E362" i="49"/>
  <c r="E361" i="49"/>
  <c r="E360" i="49"/>
  <c r="E359" i="49"/>
  <c r="E358" i="49"/>
  <c r="E357" i="49"/>
  <c r="E356" i="49"/>
  <c r="E355" i="49"/>
  <c r="E354" i="49"/>
  <c r="E353" i="49"/>
  <c r="E352" i="49"/>
  <c r="E351" i="49"/>
  <c r="E350" i="49"/>
  <c r="E349" i="49"/>
  <c r="E348" i="49"/>
  <c r="E347" i="49"/>
  <c r="E346" i="49"/>
  <c r="E345" i="49"/>
  <c r="E344" i="49"/>
  <c r="E343" i="49"/>
  <c r="E342" i="49"/>
  <c r="E341" i="49"/>
  <c r="E340" i="49"/>
  <c r="E339" i="49"/>
  <c r="E338" i="49"/>
  <c r="E337" i="49"/>
  <c r="E336" i="49"/>
  <c r="E335" i="49"/>
  <c r="E334" i="49"/>
  <c r="E333" i="49"/>
  <c r="E332" i="49"/>
  <c r="E331" i="49"/>
  <c r="E330" i="49"/>
  <c r="E329" i="49"/>
  <c r="E328" i="49"/>
  <c r="E327" i="49"/>
  <c r="E326" i="49"/>
  <c r="E325" i="49"/>
  <c r="E324" i="49"/>
  <c r="E323" i="49"/>
  <c r="E322" i="49"/>
  <c r="E321" i="49"/>
  <c r="E320" i="49"/>
  <c r="E319" i="49"/>
  <c r="E318" i="49"/>
  <c r="E317" i="49"/>
  <c r="E316" i="49"/>
  <c r="E315" i="49"/>
  <c r="E314" i="49"/>
  <c r="E313" i="49"/>
  <c r="E312" i="49"/>
  <c r="E311" i="49"/>
  <c r="E310" i="49"/>
  <c r="E309" i="49"/>
  <c r="E308" i="49"/>
  <c r="E307" i="49"/>
  <c r="E306" i="49"/>
  <c r="E305" i="49"/>
  <c r="E304" i="49"/>
  <c r="E303" i="49"/>
  <c r="E302" i="49"/>
  <c r="E301" i="49"/>
  <c r="E300" i="49"/>
  <c r="E299" i="49"/>
  <c r="E298" i="49"/>
  <c r="E297" i="49"/>
  <c r="E296" i="49"/>
  <c r="E295" i="49"/>
  <c r="E294" i="49"/>
  <c r="E293" i="49"/>
  <c r="E292" i="49"/>
  <c r="E291" i="49"/>
  <c r="E290" i="49"/>
  <c r="E289" i="49"/>
  <c r="E288" i="49"/>
  <c r="E287" i="49"/>
  <c r="E286" i="49"/>
  <c r="E285" i="49"/>
  <c r="E284" i="49"/>
  <c r="E283" i="49"/>
  <c r="E282" i="49"/>
  <c r="E281" i="49"/>
  <c r="E280" i="49"/>
  <c r="E279" i="49"/>
  <c r="E278" i="49"/>
  <c r="E277" i="49"/>
  <c r="E276" i="49"/>
  <c r="E275" i="49"/>
  <c r="E274" i="49"/>
  <c r="E273" i="49"/>
  <c r="E272" i="49"/>
  <c r="E271" i="49"/>
  <c r="E270" i="49"/>
  <c r="E269" i="49"/>
  <c r="E268" i="49"/>
  <c r="E267" i="49"/>
  <c r="E266" i="49"/>
  <c r="E265" i="49"/>
  <c r="E264" i="49"/>
  <c r="E263" i="49"/>
  <c r="E262" i="49"/>
  <c r="E261" i="49"/>
  <c r="E260" i="49"/>
  <c r="E259" i="49"/>
  <c r="E258" i="49"/>
  <c r="E257" i="49"/>
  <c r="E256" i="49"/>
  <c r="E255" i="49"/>
  <c r="E254" i="49"/>
  <c r="E253" i="49"/>
  <c r="E252" i="49"/>
  <c r="E251" i="49"/>
  <c r="E250" i="49"/>
  <c r="E249" i="49"/>
  <c r="E248" i="49"/>
  <c r="E247" i="49"/>
  <c r="E246" i="49"/>
  <c r="E245" i="49"/>
  <c r="E244" i="49"/>
  <c r="E243" i="49"/>
  <c r="E242" i="49"/>
  <c r="E241" i="49"/>
  <c r="E240" i="49"/>
  <c r="E239" i="49"/>
  <c r="E238" i="49"/>
  <c r="E237" i="49"/>
  <c r="E236" i="49"/>
  <c r="E235" i="49"/>
  <c r="E234" i="49"/>
  <c r="E233" i="49"/>
  <c r="E232" i="49"/>
  <c r="E231" i="49"/>
  <c r="E230" i="49"/>
  <c r="E229" i="49"/>
  <c r="E228" i="49"/>
  <c r="E227" i="49"/>
  <c r="E226" i="49"/>
  <c r="E225" i="49"/>
  <c r="E224" i="49"/>
  <c r="E223" i="49"/>
  <c r="E222" i="49"/>
  <c r="E221" i="49"/>
  <c r="E220" i="49"/>
  <c r="E219" i="49"/>
  <c r="E218" i="49"/>
  <c r="E217" i="49"/>
  <c r="E216" i="49"/>
  <c r="E215" i="49"/>
  <c r="E214" i="49"/>
  <c r="E213" i="49"/>
  <c r="E212" i="49"/>
  <c r="E211" i="49"/>
  <c r="E210" i="49"/>
  <c r="E209" i="49"/>
  <c r="E208" i="49"/>
  <c r="E207" i="49"/>
  <c r="E206" i="49"/>
  <c r="E205" i="49"/>
  <c r="E204" i="49"/>
  <c r="E203" i="49"/>
  <c r="E202" i="49"/>
  <c r="E201" i="49"/>
  <c r="E200" i="49"/>
  <c r="E199" i="49"/>
  <c r="E198" i="49"/>
  <c r="E197" i="49"/>
  <c r="E196" i="49"/>
  <c r="E195" i="49"/>
  <c r="E194" i="49"/>
  <c r="E193" i="49"/>
  <c r="E192" i="49"/>
  <c r="E191" i="49"/>
  <c r="E190" i="49"/>
  <c r="E189" i="49"/>
  <c r="E188" i="49"/>
  <c r="E187" i="49"/>
  <c r="E186" i="49"/>
  <c r="E185" i="49"/>
  <c r="E184" i="49"/>
  <c r="E183" i="49"/>
  <c r="E182" i="49"/>
  <c r="E181" i="49"/>
  <c r="E180" i="49"/>
  <c r="E179" i="49"/>
  <c r="E178" i="49"/>
  <c r="E177" i="49"/>
  <c r="E176" i="49"/>
  <c r="E175" i="49"/>
  <c r="E174" i="49"/>
  <c r="E173" i="49"/>
  <c r="E172" i="49"/>
  <c r="E171" i="49"/>
  <c r="E170" i="49"/>
  <c r="E169" i="49"/>
  <c r="E168" i="49"/>
  <c r="E167" i="49"/>
  <c r="E166" i="49"/>
  <c r="E165" i="49"/>
  <c r="E164" i="49"/>
  <c r="E163" i="49"/>
  <c r="E162" i="49"/>
  <c r="E161" i="49"/>
  <c r="E160" i="49"/>
  <c r="E159" i="49"/>
  <c r="E158" i="49"/>
  <c r="E157" i="49"/>
  <c r="E156" i="49"/>
  <c r="E155" i="49"/>
  <c r="E154" i="49"/>
  <c r="E153" i="49"/>
  <c r="E152" i="49"/>
  <c r="E151" i="49"/>
  <c r="E150" i="49"/>
  <c r="E149" i="49"/>
  <c r="E148" i="49"/>
  <c r="E147" i="49"/>
  <c r="E146" i="49"/>
  <c r="E145" i="49"/>
  <c r="E144" i="49"/>
  <c r="E143" i="49"/>
  <c r="E142" i="49"/>
  <c r="E141" i="49"/>
  <c r="E140" i="49"/>
  <c r="E139" i="49"/>
  <c r="E138" i="49"/>
  <c r="E137" i="49"/>
  <c r="E136" i="49"/>
  <c r="E135" i="49"/>
  <c r="E134" i="49"/>
  <c r="E133" i="49"/>
  <c r="E132" i="49"/>
  <c r="E131" i="49"/>
  <c r="E130" i="49"/>
  <c r="E129" i="49"/>
  <c r="E128" i="49"/>
  <c r="E127" i="49"/>
  <c r="E126" i="49"/>
  <c r="E125" i="49"/>
  <c r="E124" i="49"/>
  <c r="E123" i="49"/>
  <c r="E122" i="49"/>
  <c r="E121" i="49"/>
  <c r="E120" i="49"/>
  <c r="E119" i="49"/>
  <c r="E118" i="49"/>
  <c r="E117" i="49"/>
  <c r="E116" i="49"/>
  <c r="E115" i="49"/>
  <c r="E114" i="49"/>
  <c r="E113" i="49"/>
  <c r="E112" i="49"/>
  <c r="E111" i="49"/>
  <c r="E110" i="49"/>
  <c r="E109" i="49"/>
  <c r="E108" i="49"/>
  <c r="E107" i="49"/>
  <c r="E106" i="49"/>
  <c r="E105" i="49"/>
  <c r="E104" i="49"/>
  <c r="E103" i="49"/>
  <c r="E102" i="49"/>
  <c r="E101" i="49"/>
  <c r="E100" i="49"/>
  <c r="E99" i="49"/>
  <c r="E98" i="49"/>
  <c r="E97" i="49"/>
  <c r="E96" i="49"/>
  <c r="E95" i="49"/>
  <c r="E94" i="49"/>
  <c r="E93" i="49"/>
  <c r="E92" i="49"/>
  <c r="E91" i="49"/>
  <c r="E90" i="49"/>
  <c r="E89" i="49"/>
  <c r="E88" i="49"/>
  <c r="E87" i="49"/>
  <c r="E86" i="49"/>
  <c r="E85" i="49"/>
  <c r="E84" i="49"/>
  <c r="E83" i="49"/>
  <c r="E82" i="49"/>
  <c r="E81" i="49"/>
  <c r="E80" i="49"/>
  <c r="E79" i="49"/>
  <c r="E78" i="49"/>
  <c r="E77" i="49"/>
  <c r="E76" i="49"/>
  <c r="E75" i="49"/>
  <c r="E74" i="49"/>
  <c r="E73" i="49"/>
  <c r="E72" i="49"/>
  <c r="E71" i="49"/>
  <c r="E70" i="49"/>
  <c r="E69" i="49"/>
  <c r="E68" i="49"/>
  <c r="E67" i="49"/>
  <c r="E66" i="49"/>
  <c r="E65" i="49"/>
  <c r="E64" i="49"/>
  <c r="E63" i="49"/>
  <c r="E62" i="49"/>
  <c r="E61" i="49"/>
  <c r="E60" i="49"/>
  <c r="E59" i="49"/>
  <c r="E58" i="49"/>
  <c r="E57" i="49"/>
  <c r="E56" i="49"/>
  <c r="E55" i="49"/>
  <c r="E54" i="49"/>
  <c r="E53" i="49"/>
  <c r="E52" i="49"/>
  <c r="E51" i="49"/>
  <c r="E50" i="49"/>
  <c r="E49" i="49"/>
  <c r="E48" i="49"/>
  <c r="E47" i="49"/>
  <c r="E46" i="49"/>
  <c r="E45" i="49"/>
  <c r="E44" i="49"/>
  <c r="E43" i="49"/>
  <c r="E42" i="49"/>
  <c r="E41" i="49"/>
  <c r="F41" i="49"/>
  <c r="E40" i="49"/>
  <c r="E39" i="49"/>
  <c r="E38" i="49"/>
  <c r="E37" i="49"/>
  <c r="E36" i="49"/>
  <c r="E35" i="49"/>
  <c r="E34" i="49"/>
  <c r="E33" i="49"/>
  <c r="E32" i="49"/>
  <c r="E31" i="49"/>
  <c r="F31" i="49"/>
  <c r="E30" i="49"/>
  <c r="E29" i="49"/>
  <c r="E28" i="49"/>
  <c r="E27" i="49"/>
  <c r="E26" i="49"/>
  <c r="E25" i="49"/>
  <c r="E24" i="49"/>
  <c r="E23" i="49"/>
  <c r="E22" i="49"/>
  <c r="E21" i="49"/>
  <c r="E20" i="49"/>
  <c r="E19" i="49"/>
  <c r="E18" i="49"/>
  <c r="E17" i="49"/>
  <c r="F17" i="49"/>
  <c r="E16" i="49"/>
  <c r="E15" i="49"/>
  <c r="E14" i="49"/>
  <c r="E13" i="49"/>
  <c r="E12" i="49"/>
  <c r="E11" i="49"/>
  <c r="E10" i="49"/>
  <c r="E9" i="49"/>
  <c r="E8" i="49"/>
  <c r="F8" i="49"/>
  <c r="D685" i="48"/>
  <c r="I683" i="48"/>
  <c r="J683" i="48"/>
  <c r="L683" i="48"/>
  <c r="I681" i="48"/>
  <c r="J681" i="48"/>
  <c r="L681" i="48"/>
  <c r="I679" i="48"/>
  <c r="J679" i="48"/>
  <c r="L679" i="48"/>
  <c r="I677" i="48"/>
  <c r="J677" i="48"/>
  <c r="L677" i="48"/>
  <c r="I675" i="48"/>
  <c r="J675" i="48"/>
  <c r="L675" i="48"/>
  <c r="I673" i="48"/>
  <c r="J673" i="48"/>
  <c r="L673" i="48"/>
  <c r="I671" i="48"/>
  <c r="J671" i="48"/>
  <c r="L671" i="48"/>
  <c r="I669" i="48"/>
  <c r="J669" i="48"/>
  <c r="L669" i="48"/>
  <c r="I667" i="48"/>
  <c r="J667" i="48"/>
  <c r="L667" i="48"/>
  <c r="I665" i="48"/>
  <c r="J665" i="48"/>
  <c r="L665" i="48"/>
  <c r="I663" i="48"/>
  <c r="J663" i="48"/>
  <c r="L663" i="48"/>
  <c r="I661" i="48"/>
  <c r="J661" i="48"/>
  <c r="L661" i="48"/>
  <c r="I659" i="48"/>
  <c r="J659" i="48"/>
  <c r="L659" i="48"/>
  <c r="I657" i="48"/>
  <c r="J657" i="48"/>
  <c r="L657" i="48"/>
  <c r="I655" i="48"/>
  <c r="J655" i="48"/>
  <c r="L655" i="48"/>
  <c r="I653" i="48"/>
  <c r="J653" i="48"/>
  <c r="L653" i="48"/>
  <c r="I651" i="48"/>
  <c r="J651" i="48"/>
  <c r="L651" i="48"/>
  <c r="I649" i="48"/>
  <c r="J649" i="48"/>
  <c r="L649" i="48"/>
  <c r="I647" i="48"/>
  <c r="J647" i="48"/>
  <c r="L647" i="48"/>
  <c r="I645" i="48"/>
  <c r="J645" i="48"/>
  <c r="L645" i="48"/>
  <c r="I643" i="48"/>
  <c r="J643" i="48"/>
  <c r="L643" i="48"/>
  <c r="I642" i="48"/>
  <c r="J642" i="48"/>
  <c r="L642" i="48"/>
  <c r="I641" i="48"/>
  <c r="J641" i="48"/>
  <c r="L641" i="48"/>
  <c r="I640" i="48"/>
  <c r="J640" i="48"/>
  <c r="L640" i="48"/>
  <c r="I639" i="48"/>
  <c r="J639" i="48"/>
  <c r="L639" i="48"/>
  <c r="I638" i="48"/>
  <c r="J638" i="48"/>
  <c r="L638" i="48"/>
  <c r="I637" i="48"/>
  <c r="J637" i="48"/>
  <c r="L637" i="48"/>
  <c r="I636" i="48"/>
  <c r="J636" i="48"/>
  <c r="L636" i="48"/>
  <c r="I635" i="48"/>
  <c r="J635" i="48"/>
  <c r="L635" i="48"/>
  <c r="I634" i="48"/>
  <c r="J634" i="48"/>
  <c r="L634" i="48"/>
  <c r="I633" i="48"/>
  <c r="J633" i="48"/>
  <c r="L633" i="48"/>
  <c r="I632" i="48"/>
  <c r="J632" i="48"/>
  <c r="L632" i="48"/>
  <c r="I631" i="48"/>
  <c r="J631" i="48"/>
  <c r="L631" i="48"/>
  <c r="I630" i="48"/>
  <c r="J630" i="48"/>
  <c r="L630" i="48"/>
  <c r="I629" i="48"/>
  <c r="J629" i="48"/>
  <c r="L629" i="48"/>
  <c r="I628" i="48"/>
  <c r="J628" i="48"/>
  <c r="L628" i="48"/>
  <c r="I627" i="48"/>
  <c r="J627" i="48"/>
  <c r="L627" i="48"/>
  <c r="I626" i="48"/>
  <c r="J626" i="48"/>
  <c r="L626" i="48"/>
  <c r="I625" i="48"/>
  <c r="J625" i="48"/>
  <c r="L625" i="48"/>
  <c r="I624" i="48"/>
  <c r="J624" i="48"/>
  <c r="L624" i="48"/>
  <c r="I623" i="48"/>
  <c r="J623" i="48"/>
  <c r="L623" i="48"/>
  <c r="I622" i="48"/>
  <c r="J622" i="48"/>
  <c r="L622" i="48"/>
  <c r="I621" i="48"/>
  <c r="J621" i="48"/>
  <c r="L621" i="48"/>
  <c r="I620" i="48"/>
  <c r="J620" i="48"/>
  <c r="L620" i="48"/>
  <c r="I619" i="48"/>
  <c r="J619" i="48"/>
  <c r="L619" i="48"/>
  <c r="I618" i="48"/>
  <c r="J618" i="48"/>
  <c r="L618" i="48"/>
  <c r="I617" i="48"/>
  <c r="J617" i="48"/>
  <c r="L617" i="48"/>
  <c r="I616" i="48"/>
  <c r="J616" i="48"/>
  <c r="L616" i="48"/>
  <c r="I615" i="48"/>
  <c r="J615" i="48"/>
  <c r="L615" i="48"/>
  <c r="I614" i="48"/>
  <c r="J614" i="48"/>
  <c r="L614" i="48"/>
  <c r="I612" i="48"/>
  <c r="J612" i="48"/>
  <c r="L612" i="48"/>
  <c r="H611" i="48"/>
  <c r="I610" i="48"/>
  <c r="J610" i="48"/>
  <c r="L610" i="48"/>
  <c r="I609" i="48"/>
  <c r="J609" i="48"/>
  <c r="L609" i="48"/>
  <c r="I608" i="48"/>
  <c r="J608" i="48"/>
  <c r="L608" i="48"/>
  <c r="I607" i="48"/>
  <c r="J607" i="48"/>
  <c r="L607" i="48"/>
  <c r="I606" i="48"/>
  <c r="J606" i="48"/>
  <c r="L606" i="48"/>
  <c r="I605" i="48"/>
  <c r="J605" i="48"/>
  <c r="L605" i="48"/>
  <c r="I604" i="48"/>
  <c r="J604" i="48"/>
  <c r="L604" i="48"/>
  <c r="I603" i="48"/>
  <c r="J603" i="48"/>
  <c r="L603" i="48"/>
  <c r="I602" i="48"/>
  <c r="J602" i="48"/>
  <c r="L602" i="48"/>
  <c r="I601" i="48"/>
  <c r="J601" i="48"/>
  <c r="L601" i="48"/>
  <c r="I600" i="48"/>
  <c r="J600" i="48"/>
  <c r="L600" i="48"/>
  <c r="I599" i="48"/>
  <c r="J599" i="48"/>
  <c r="L599" i="48"/>
  <c r="I598" i="48"/>
  <c r="J598" i="48"/>
  <c r="L598" i="48"/>
  <c r="I597" i="48"/>
  <c r="J597" i="48"/>
  <c r="L597" i="48"/>
  <c r="I596" i="48"/>
  <c r="J596" i="48"/>
  <c r="L596" i="48"/>
  <c r="I595" i="48"/>
  <c r="J595" i="48"/>
  <c r="L595" i="48"/>
  <c r="I594" i="48"/>
  <c r="J594" i="48"/>
  <c r="L594" i="48"/>
  <c r="I593" i="48"/>
  <c r="J593" i="48"/>
  <c r="L593" i="48"/>
  <c r="I592" i="48"/>
  <c r="J592" i="48"/>
  <c r="L592" i="48"/>
  <c r="I591" i="48"/>
  <c r="J591" i="48"/>
  <c r="L591" i="48"/>
  <c r="I590" i="48"/>
  <c r="J590" i="48"/>
  <c r="L590" i="48"/>
  <c r="I589" i="48"/>
  <c r="J589" i="48"/>
  <c r="L589" i="48"/>
  <c r="I588" i="48"/>
  <c r="J588" i="48"/>
  <c r="L588" i="48"/>
  <c r="I587" i="48"/>
  <c r="J587" i="48"/>
  <c r="L587" i="48"/>
  <c r="I586" i="48"/>
  <c r="J586" i="48"/>
  <c r="L586" i="48"/>
  <c r="I585" i="48"/>
  <c r="J585" i="48"/>
  <c r="L585" i="48"/>
  <c r="I583" i="48"/>
  <c r="J583" i="48"/>
  <c r="L583" i="48"/>
  <c r="I582" i="48"/>
  <c r="J582" i="48"/>
  <c r="L582" i="48"/>
  <c r="I581" i="48"/>
  <c r="J581" i="48"/>
  <c r="L581" i="48"/>
  <c r="I579" i="48"/>
  <c r="J579" i="48"/>
  <c r="L579" i="48"/>
  <c r="I578" i="48"/>
  <c r="J578" i="48"/>
  <c r="L578" i="48"/>
  <c r="I577" i="48"/>
  <c r="J577" i="48"/>
  <c r="L577" i="48"/>
  <c r="I575" i="48"/>
  <c r="J575" i="48"/>
  <c r="L575" i="48"/>
  <c r="I574" i="48"/>
  <c r="J574" i="48"/>
  <c r="L574" i="48"/>
  <c r="I573" i="48"/>
  <c r="J573" i="48"/>
  <c r="L573" i="48"/>
  <c r="I571" i="48"/>
  <c r="J571" i="48"/>
  <c r="L571" i="48"/>
  <c r="I570" i="48"/>
  <c r="J570" i="48"/>
  <c r="L570" i="48"/>
  <c r="I569" i="48"/>
  <c r="J569" i="48"/>
  <c r="L569" i="48"/>
  <c r="I567" i="48"/>
  <c r="J567" i="48"/>
  <c r="L567" i="48"/>
  <c r="I566" i="48"/>
  <c r="J566" i="48"/>
  <c r="L566" i="48"/>
  <c r="I565" i="48"/>
  <c r="J565" i="48"/>
  <c r="L565" i="48"/>
  <c r="I563" i="48"/>
  <c r="J563" i="48"/>
  <c r="L563" i="48"/>
  <c r="I562" i="48"/>
  <c r="J562" i="48"/>
  <c r="L562" i="48"/>
  <c r="I561" i="48"/>
  <c r="J561" i="48"/>
  <c r="L561" i="48"/>
  <c r="I559" i="48"/>
  <c r="J559" i="48"/>
  <c r="L559" i="48"/>
  <c r="I558" i="48"/>
  <c r="J558" i="48"/>
  <c r="L558" i="48"/>
  <c r="I557" i="48"/>
  <c r="J557" i="48"/>
  <c r="L557" i="48"/>
  <c r="I555" i="48"/>
  <c r="J555" i="48"/>
  <c r="L555" i="48"/>
  <c r="I554" i="48"/>
  <c r="J554" i="48"/>
  <c r="L554" i="48"/>
  <c r="I553" i="48"/>
  <c r="J553" i="48"/>
  <c r="L553" i="48"/>
  <c r="I551" i="48"/>
  <c r="J551" i="48"/>
  <c r="L551" i="48"/>
  <c r="I550" i="48"/>
  <c r="J550" i="48"/>
  <c r="L550" i="48"/>
  <c r="I549" i="48"/>
  <c r="J549" i="48"/>
  <c r="L549" i="48"/>
  <c r="I547" i="48"/>
  <c r="J547" i="48"/>
  <c r="L547" i="48"/>
  <c r="I546" i="48"/>
  <c r="J546" i="48"/>
  <c r="L546" i="48"/>
  <c r="I545" i="48"/>
  <c r="J545" i="48"/>
  <c r="L545" i="48"/>
  <c r="I543" i="48"/>
  <c r="J543" i="48"/>
  <c r="L543" i="48"/>
  <c r="I542" i="48"/>
  <c r="J542" i="48"/>
  <c r="L542" i="48"/>
  <c r="I541" i="48"/>
  <c r="J541" i="48"/>
  <c r="L541" i="48"/>
  <c r="I539" i="48"/>
  <c r="J539" i="48"/>
  <c r="L539" i="48"/>
  <c r="I538" i="48"/>
  <c r="J538" i="48"/>
  <c r="L538" i="48"/>
  <c r="H535" i="48"/>
  <c r="H531" i="48"/>
  <c r="H527" i="48"/>
  <c r="I525" i="48"/>
  <c r="J525" i="48"/>
  <c r="L525" i="48"/>
  <c r="I523" i="48"/>
  <c r="J523" i="48"/>
  <c r="L523" i="48"/>
  <c r="I521" i="48"/>
  <c r="J521" i="48"/>
  <c r="L521" i="48"/>
  <c r="I519" i="48"/>
  <c r="J519" i="48"/>
  <c r="L519" i="48"/>
  <c r="I517" i="48"/>
  <c r="J517" i="48"/>
  <c r="L517" i="48"/>
  <c r="I513" i="48"/>
  <c r="J513" i="48"/>
  <c r="L513" i="48"/>
  <c r="I511" i="48"/>
  <c r="J511" i="48"/>
  <c r="L511" i="48"/>
  <c r="I509" i="48"/>
  <c r="J509" i="48"/>
  <c r="L509" i="48"/>
  <c r="I507" i="48"/>
  <c r="J507" i="48"/>
  <c r="L507" i="48"/>
  <c r="I505" i="48"/>
  <c r="J505" i="48"/>
  <c r="L505" i="48"/>
  <c r="I503" i="48"/>
  <c r="J503" i="48"/>
  <c r="L503" i="48"/>
  <c r="I499" i="48"/>
  <c r="J499" i="48"/>
  <c r="L499" i="48"/>
  <c r="I495" i="48"/>
  <c r="J495" i="48"/>
  <c r="L495" i="48"/>
  <c r="I491" i="48"/>
  <c r="J491" i="48"/>
  <c r="L491" i="48"/>
  <c r="I487" i="48"/>
  <c r="J487" i="48"/>
  <c r="L487" i="48"/>
  <c r="I483" i="48"/>
  <c r="J483" i="48"/>
  <c r="L483" i="48"/>
  <c r="I479" i="48"/>
  <c r="J479" i="48"/>
  <c r="L479" i="48"/>
  <c r="I475" i="48"/>
  <c r="J475" i="48"/>
  <c r="L475" i="48"/>
  <c r="I471" i="48"/>
  <c r="J471" i="48"/>
  <c r="L471" i="48"/>
  <c r="I467" i="48"/>
  <c r="J467" i="48"/>
  <c r="L467" i="48"/>
  <c r="I463" i="48"/>
  <c r="J463" i="48"/>
  <c r="L463" i="48"/>
  <c r="I459" i="48"/>
  <c r="J459" i="48"/>
  <c r="L459" i="48"/>
  <c r="I455" i="48"/>
  <c r="J455" i="48"/>
  <c r="L455" i="48"/>
  <c r="I451" i="48"/>
  <c r="J451" i="48"/>
  <c r="L451" i="48"/>
  <c r="I447" i="48"/>
  <c r="J447" i="48"/>
  <c r="L447" i="48"/>
  <c r="I443" i="48"/>
  <c r="J443" i="48"/>
  <c r="L443" i="48"/>
  <c r="I439" i="48"/>
  <c r="J439" i="48"/>
  <c r="L439" i="48"/>
  <c r="I435" i="48"/>
  <c r="J435" i="48"/>
  <c r="L435" i="48"/>
  <c r="I432" i="48"/>
  <c r="J432" i="48"/>
  <c r="L432" i="48"/>
  <c r="I431" i="48"/>
  <c r="J431" i="48"/>
  <c r="L431" i="48"/>
  <c r="I427" i="48"/>
  <c r="J427" i="48"/>
  <c r="L427" i="48"/>
  <c r="I424" i="48"/>
  <c r="J424" i="48"/>
  <c r="L424" i="48"/>
  <c r="I423" i="48"/>
  <c r="J423" i="48"/>
  <c r="L423" i="48"/>
  <c r="I419" i="48"/>
  <c r="J419" i="48"/>
  <c r="L419" i="48"/>
  <c r="I416" i="48"/>
  <c r="J416" i="48"/>
  <c r="L416" i="48"/>
  <c r="I415" i="48"/>
  <c r="J415" i="48"/>
  <c r="L415" i="48"/>
  <c r="I411" i="48"/>
  <c r="J411" i="48"/>
  <c r="L411" i="48"/>
  <c r="I408" i="48"/>
  <c r="J408" i="48"/>
  <c r="L408" i="48"/>
  <c r="I407" i="48"/>
  <c r="J407" i="48"/>
  <c r="L407" i="48"/>
  <c r="I403" i="48"/>
  <c r="J403" i="48"/>
  <c r="L403" i="48"/>
  <c r="I400" i="48"/>
  <c r="J400" i="48"/>
  <c r="L400" i="48"/>
  <c r="I399" i="48"/>
  <c r="J399" i="48"/>
  <c r="L399" i="48"/>
  <c r="I395" i="48"/>
  <c r="J395" i="48"/>
  <c r="L395" i="48"/>
  <c r="I392" i="48"/>
  <c r="J392" i="48"/>
  <c r="L392" i="48"/>
  <c r="I391" i="48"/>
  <c r="J391" i="48"/>
  <c r="L391" i="48"/>
  <c r="I387" i="48"/>
  <c r="J387" i="48"/>
  <c r="L387" i="48"/>
  <c r="I384" i="48"/>
  <c r="J384" i="48"/>
  <c r="L384" i="48"/>
  <c r="I383" i="48"/>
  <c r="J383" i="48"/>
  <c r="L383" i="48"/>
  <c r="I379" i="48"/>
  <c r="J379" i="48"/>
  <c r="L379" i="48"/>
  <c r="I376" i="48"/>
  <c r="J376" i="48"/>
  <c r="L376" i="48"/>
  <c r="I375" i="48"/>
  <c r="J375" i="48"/>
  <c r="L375" i="48"/>
  <c r="I371" i="48"/>
  <c r="J371" i="48"/>
  <c r="L371" i="48"/>
  <c r="I368" i="48"/>
  <c r="J368" i="48"/>
  <c r="L368" i="48"/>
  <c r="I367" i="48"/>
  <c r="J367" i="48"/>
  <c r="L367" i="48"/>
  <c r="I363" i="48"/>
  <c r="J363" i="48"/>
  <c r="L363" i="48"/>
  <c r="I360" i="48"/>
  <c r="J360" i="48"/>
  <c r="L360" i="48"/>
  <c r="I359" i="48"/>
  <c r="J359" i="48"/>
  <c r="L359" i="48"/>
  <c r="I355" i="48"/>
  <c r="J355" i="48"/>
  <c r="L355" i="48"/>
  <c r="I352" i="48"/>
  <c r="J352" i="48"/>
  <c r="L352" i="48"/>
  <c r="I351" i="48"/>
  <c r="J351" i="48"/>
  <c r="L351" i="48"/>
  <c r="I347" i="48"/>
  <c r="J347" i="48"/>
  <c r="L347" i="48"/>
  <c r="I344" i="48"/>
  <c r="J344" i="48"/>
  <c r="L344" i="48"/>
  <c r="I343" i="48"/>
  <c r="J343" i="48"/>
  <c r="L343" i="48"/>
  <c r="H339" i="48"/>
  <c r="I336" i="48"/>
  <c r="J336" i="48"/>
  <c r="L336" i="48"/>
  <c r="H335" i="48"/>
  <c r="H331" i="48"/>
  <c r="I328" i="48"/>
  <c r="J328" i="48"/>
  <c r="L328" i="48"/>
  <c r="H327" i="48"/>
  <c r="H323" i="48"/>
  <c r="I320" i="48"/>
  <c r="J320" i="48"/>
  <c r="L320" i="48"/>
  <c r="H319" i="48"/>
  <c r="H315" i="48"/>
  <c r="I312" i="48"/>
  <c r="J312" i="48"/>
  <c r="L312" i="48"/>
  <c r="H311" i="48"/>
  <c r="H307" i="48"/>
  <c r="I304" i="48"/>
  <c r="J304" i="48"/>
  <c r="L304" i="48"/>
  <c r="H303" i="48"/>
  <c r="H299" i="48"/>
  <c r="I296" i="48"/>
  <c r="J296" i="48"/>
  <c r="L296" i="48"/>
  <c r="H295" i="48"/>
  <c r="H291" i="48"/>
  <c r="I288" i="48"/>
  <c r="J288" i="48"/>
  <c r="L288" i="48"/>
  <c r="H287" i="48"/>
  <c r="H283" i="48"/>
  <c r="I280" i="48"/>
  <c r="J280" i="48"/>
  <c r="L280" i="48"/>
  <c r="H279" i="48"/>
  <c r="H275" i="48"/>
  <c r="I272" i="48"/>
  <c r="J272" i="48"/>
  <c r="L272" i="48"/>
  <c r="I264" i="48"/>
  <c r="J264" i="48"/>
  <c r="L264" i="48"/>
  <c r="I256" i="48"/>
  <c r="J256" i="48"/>
  <c r="L256" i="48"/>
  <c r="I248" i="48"/>
  <c r="J248" i="48"/>
  <c r="L248" i="48"/>
  <c r="I240" i="48"/>
  <c r="J240" i="48"/>
  <c r="L240" i="48"/>
  <c r="I232" i="48"/>
  <c r="J232" i="48"/>
  <c r="L232" i="48"/>
  <c r="I224" i="48"/>
  <c r="J224" i="48"/>
  <c r="L224" i="48"/>
  <c r="I216" i="48"/>
  <c r="J216" i="48"/>
  <c r="L216" i="48"/>
  <c r="I208" i="48"/>
  <c r="J208" i="48"/>
  <c r="L208" i="48"/>
  <c r="I200" i="48"/>
  <c r="J200" i="48"/>
  <c r="L200" i="48"/>
  <c r="I192" i="48"/>
  <c r="J192" i="48"/>
  <c r="L192" i="48"/>
  <c r="I184" i="48"/>
  <c r="J184" i="48"/>
  <c r="L184" i="48"/>
  <c r="I176" i="48"/>
  <c r="J176" i="48"/>
  <c r="L176" i="48"/>
  <c r="I170" i="48"/>
  <c r="J170" i="48"/>
  <c r="L170" i="48"/>
  <c r="I165" i="48"/>
  <c r="J165" i="48"/>
  <c r="L165" i="48"/>
  <c r="I149" i="48"/>
  <c r="J149" i="48"/>
  <c r="L149" i="48"/>
  <c r="I133" i="48"/>
  <c r="J133" i="48"/>
  <c r="L133" i="48"/>
  <c r="I117" i="48"/>
  <c r="J117" i="48"/>
  <c r="L117" i="48"/>
  <c r="I101" i="48"/>
  <c r="J101" i="48"/>
  <c r="L101" i="48"/>
  <c r="I85" i="48"/>
  <c r="J85" i="48"/>
  <c r="L85" i="48"/>
  <c r="I69" i="48"/>
  <c r="J69" i="48"/>
  <c r="L69" i="48"/>
  <c r="I65" i="48"/>
  <c r="J65" i="48"/>
  <c r="L65" i="48"/>
  <c r="H63" i="48"/>
  <c r="I57" i="48"/>
  <c r="J57" i="48"/>
  <c r="L57" i="48"/>
  <c r="H55" i="48"/>
  <c r="H53" i="48"/>
  <c r="I49" i="48"/>
  <c r="J49" i="48"/>
  <c r="L49" i="48"/>
  <c r="I47" i="48"/>
  <c r="J47" i="48"/>
  <c r="L47" i="48"/>
  <c r="H47" i="48"/>
  <c r="I45" i="48"/>
  <c r="J45" i="48"/>
  <c r="L45" i="48"/>
  <c r="I41" i="48"/>
  <c r="J41" i="48"/>
  <c r="L41" i="48"/>
  <c r="H39" i="48"/>
  <c r="I37" i="48"/>
  <c r="J37" i="48"/>
  <c r="L37" i="48"/>
  <c r="I21" i="48"/>
  <c r="J21" i="48"/>
  <c r="L21" i="48"/>
  <c r="C31" i="47"/>
  <c r="E29" i="47"/>
  <c r="E25" i="47"/>
  <c r="E23" i="47"/>
  <c r="E17" i="47"/>
  <c r="E15" i="47"/>
  <c r="E13" i="47"/>
  <c r="C32" i="62"/>
  <c r="E29" i="62"/>
  <c r="F9" i="49"/>
  <c r="G9" i="49"/>
  <c r="H9" i="49"/>
  <c r="J9" i="49"/>
  <c r="F25" i="49"/>
  <c r="G25" i="49"/>
  <c r="H25" i="49"/>
  <c r="J25" i="49"/>
  <c r="F37" i="49"/>
  <c r="G37" i="49"/>
  <c r="H37" i="49"/>
  <c r="J37" i="49"/>
  <c r="F457" i="49"/>
  <c r="G457" i="49"/>
  <c r="H457" i="49"/>
  <c r="J457" i="49"/>
  <c r="F473" i="49"/>
  <c r="G473" i="49"/>
  <c r="H473" i="49"/>
  <c r="J473" i="49"/>
  <c r="F489" i="49"/>
  <c r="G489" i="49"/>
  <c r="H489" i="49"/>
  <c r="J489" i="49"/>
  <c r="F574" i="49"/>
  <c r="G574" i="49"/>
  <c r="H574" i="49"/>
  <c r="J574" i="49"/>
  <c r="F590" i="49"/>
  <c r="G590" i="49"/>
  <c r="H590" i="49"/>
  <c r="J590" i="49"/>
  <c r="F606" i="49"/>
  <c r="G606" i="49"/>
  <c r="H606" i="49"/>
  <c r="J606" i="49"/>
  <c r="F622" i="49"/>
  <c r="G622" i="49"/>
  <c r="H622" i="49"/>
  <c r="J622" i="49"/>
  <c r="F638" i="49"/>
  <c r="G638" i="49"/>
  <c r="H638" i="49"/>
  <c r="J638" i="49"/>
  <c r="G449" i="49"/>
  <c r="H449" i="49"/>
  <c r="J449" i="49"/>
  <c r="G465" i="49"/>
  <c r="H465" i="49"/>
  <c r="J465" i="49"/>
  <c r="G481" i="49"/>
  <c r="H481" i="49"/>
  <c r="J481" i="49"/>
  <c r="I53" i="48"/>
  <c r="J53" i="48"/>
  <c r="L53" i="48"/>
  <c r="G17" i="49"/>
  <c r="H17" i="49"/>
  <c r="J17" i="49"/>
  <c r="G31" i="49"/>
  <c r="H31" i="49"/>
  <c r="J31" i="49"/>
  <c r="G41" i="49"/>
  <c r="H41" i="49"/>
  <c r="J41" i="49"/>
  <c r="G566" i="49"/>
  <c r="H566" i="49"/>
  <c r="J566" i="49"/>
  <c r="G582" i="49"/>
  <c r="H582" i="49"/>
  <c r="J582" i="49"/>
  <c r="G598" i="49"/>
  <c r="H598" i="49"/>
  <c r="J598" i="49"/>
  <c r="G614" i="49"/>
  <c r="H614" i="49"/>
  <c r="J614" i="49"/>
  <c r="G630" i="49"/>
  <c r="H630" i="49"/>
  <c r="J630" i="49"/>
  <c r="F680" i="49"/>
  <c r="I515" i="48"/>
  <c r="J515" i="48"/>
  <c r="L515" i="48"/>
  <c r="H515" i="48"/>
  <c r="F15" i="49"/>
  <c r="G15" i="49"/>
  <c r="H15" i="49"/>
  <c r="J15" i="49"/>
  <c r="F29" i="49"/>
  <c r="G29" i="49"/>
  <c r="H29" i="49"/>
  <c r="J29" i="49"/>
  <c r="F39" i="49"/>
  <c r="G39" i="49"/>
  <c r="H39" i="49"/>
  <c r="J39" i="49"/>
  <c r="F453" i="49"/>
  <c r="G453" i="49"/>
  <c r="H453" i="49"/>
  <c r="J453" i="49"/>
  <c r="F469" i="49"/>
  <c r="G469" i="49"/>
  <c r="H469" i="49"/>
  <c r="J469" i="49"/>
  <c r="F485" i="49"/>
  <c r="G485" i="49"/>
  <c r="H485" i="49"/>
  <c r="J485" i="49"/>
  <c r="F562" i="49"/>
  <c r="G562" i="49"/>
  <c r="H562" i="49"/>
  <c r="J562" i="49"/>
  <c r="F578" i="49"/>
  <c r="G578" i="49"/>
  <c r="H578" i="49"/>
  <c r="J578" i="49"/>
  <c r="F594" i="49"/>
  <c r="G594" i="49"/>
  <c r="H594" i="49"/>
  <c r="J594" i="49"/>
  <c r="F610" i="49"/>
  <c r="G610" i="49"/>
  <c r="H610" i="49"/>
  <c r="J610" i="49"/>
  <c r="F626" i="49"/>
  <c r="G626" i="49"/>
  <c r="H626" i="49"/>
  <c r="J626" i="49"/>
  <c r="F642" i="49"/>
  <c r="G642" i="49"/>
  <c r="H642" i="49"/>
  <c r="J642" i="49"/>
  <c r="H12" i="48"/>
  <c r="H14" i="48"/>
  <c r="I39" i="48"/>
  <c r="J39" i="48"/>
  <c r="L39" i="48"/>
  <c r="H440" i="48"/>
  <c r="H442" i="48"/>
  <c r="H444" i="48"/>
  <c r="H446" i="48"/>
  <c r="H448" i="48"/>
  <c r="H450" i="48"/>
  <c r="H452" i="48"/>
  <c r="H454" i="48"/>
  <c r="H456" i="48"/>
  <c r="H458" i="48"/>
  <c r="H460" i="48"/>
  <c r="H462" i="48"/>
  <c r="H464" i="48"/>
  <c r="H466" i="48"/>
  <c r="H468" i="48"/>
  <c r="H470" i="48"/>
  <c r="H472" i="48"/>
  <c r="H474" i="48"/>
  <c r="H499" i="48"/>
  <c r="F23" i="49"/>
  <c r="G23" i="49"/>
  <c r="H23" i="49"/>
  <c r="J23" i="49"/>
  <c r="F33" i="49"/>
  <c r="G33" i="49"/>
  <c r="H33" i="49"/>
  <c r="J33" i="49"/>
  <c r="F445" i="49"/>
  <c r="G445" i="49"/>
  <c r="H445" i="49"/>
  <c r="J445" i="49"/>
  <c r="F461" i="49"/>
  <c r="G461" i="49"/>
  <c r="H461" i="49"/>
  <c r="J461" i="49"/>
  <c r="F477" i="49"/>
  <c r="G477" i="49"/>
  <c r="H477" i="49"/>
  <c r="J477" i="49"/>
  <c r="F493" i="49"/>
  <c r="G493" i="49"/>
  <c r="H493" i="49"/>
  <c r="J493" i="49"/>
  <c r="F570" i="49"/>
  <c r="G570" i="49"/>
  <c r="H570" i="49"/>
  <c r="J570" i="49"/>
  <c r="F586" i="49"/>
  <c r="G586" i="49"/>
  <c r="H586" i="49"/>
  <c r="J586" i="49"/>
  <c r="F602" i="49"/>
  <c r="G602" i="49"/>
  <c r="H602" i="49"/>
  <c r="J602" i="49"/>
  <c r="F618" i="49"/>
  <c r="G618" i="49"/>
  <c r="H618" i="49"/>
  <c r="J618" i="49"/>
  <c r="F634" i="49"/>
  <c r="G634" i="49"/>
  <c r="H634" i="49"/>
  <c r="J634" i="49"/>
  <c r="H476" i="48"/>
  <c r="H478" i="48"/>
  <c r="H480" i="48"/>
  <c r="H482" i="48"/>
  <c r="H484" i="48"/>
  <c r="H486" i="48"/>
  <c r="H488" i="48"/>
  <c r="H490" i="48"/>
  <c r="H492" i="48"/>
  <c r="H494" i="48"/>
  <c r="H496" i="48"/>
  <c r="H498" i="48"/>
  <c r="H500" i="48"/>
  <c r="H502" i="48"/>
  <c r="H504" i="48"/>
  <c r="H508" i="48"/>
  <c r="H512" i="48"/>
  <c r="H516" i="48"/>
  <c r="H520" i="48"/>
  <c r="H524" i="48"/>
  <c r="H528" i="48"/>
  <c r="H532" i="48"/>
  <c r="H536" i="48"/>
  <c r="H540" i="48"/>
  <c r="H544" i="48"/>
  <c r="H548" i="48"/>
  <c r="H552" i="48"/>
  <c r="H556" i="48"/>
  <c r="H560" i="48"/>
  <c r="H564" i="48"/>
  <c r="H568" i="48"/>
  <c r="H572" i="48"/>
  <c r="H576" i="48"/>
  <c r="H580" i="48"/>
  <c r="H584" i="48"/>
  <c r="H644" i="48"/>
  <c r="H646" i="48"/>
  <c r="H648" i="48"/>
  <c r="H650" i="48"/>
  <c r="H652" i="48"/>
  <c r="H654" i="48"/>
  <c r="H656" i="48"/>
  <c r="H658" i="48"/>
  <c r="H660" i="48"/>
  <c r="H662" i="48"/>
  <c r="H664" i="48"/>
  <c r="H666" i="48"/>
  <c r="H668" i="48"/>
  <c r="H670" i="48"/>
  <c r="H672" i="48"/>
  <c r="H674" i="48"/>
  <c r="H676" i="48"/>
  <c r="H678" i="48"/>
  <c r="H680" i="48"/>
  <c r="H682" i="48"/>
  <c r="H525" i="48"/>
  <c r="H509" i="48"/>
  <c r="H493" i="48"/>
  <c r="H133" i="48"/>
  <c r="F672" i="49"/>
  <c r="E31" i="47"/>
  <c r="I20" i="48"/>
  <c r="J20" i="48"/>
  <c r="L20" i="48"/>
  <c r="H20" i="48"/>
  <c r="I48" i="48"/>
  <c r="J48" i="48"/>
  <c r="L48" i="48"/>
  <c r="H48" i="48"/>
  <c r="I72" i="48"/>
  <c r="J72" i="48"/>
  <c r="L72" i="48"/>
  <c r="H72" i="48"/>
  <c r="I80" i="48"/>
  <c r="J80" i="48"/>
  <c r="L80" i="48"/>
  <c r="H80" i="48"/>
  <c r="I92" i="48"/>
  <c r="J92" i="48"/>
  <c r="L92" i="48"/>
  <c r="H92" i="48"/>
  <c r="I104" i="48"/>
  <c r="J104" i="48"/>
  <c r="L104" i="48"/>
  <c r="H104" i="48"/>
  <c r="I112" i="48"/>
  <c r="J112" i="48"/>
  <c r="L112" i="48"/>
  <c r="H112" i="48"/>
  <c r="I124" i="48"/>
  <c r="J124" i="48"/>
  <c r="L124" i="48"/>
  <c r="H124" i="48"/>
  <c r="I132" i="48"/>
  <c r="J132" i="48"/>
  <c r="L132" i="48"/>
  <c r="H132" i="48"/>
  <c r="I144" i="48"/>
  <c r="J144" i="48"/>
  <c r="L144" i="48"/>
  <c r="H144" i="48"/>
  <c r="I156" i="48"/>
  <c r="J156" i="48"/>
  <c r="L156" i="48"/>
  <c r="H156" i="48"/>
  <c r="I164" i="48"/>
  <c r="J164" i="48"/>
  <c r="L164" i="48"/>
  <c r="H164" i="48"/>
  <c r="I172" i="48"/>
  <c r="J172" i="48"/>
  <c r="L172" i="48"/>
  <c r="H172" i="48"/>
  <c r="I180" i="48"/>
  <c r="J180" i="48"/>
  <c r="L180" i="48"/>
  <c r="H180" i="48"/>
  <c r="I196" i="48"/>
  <c r="J196" i="48"/>
  <c r="L196" i="48"/>
  <c r="H196" i="48"/>
  <c r="I204" i="48"/>
  <c r="J204" i="48"/>
  <c r="L204" i="48"/>
  <c r="H204" i="48"/>
  <c r="I212" i="48"/>
  <c r="J212" i="48"/>
  <c r="L212" i="48"/>
  <c r="H212" i="48"/>
  <c r="I284" i="48"/>
  <c r="J284" i="48"/>
  <c r="L284" i="48"/>
  <c r="H284" i="48"/>
  <c r="I292" i="48"/>
  <c r="J292" i="48"/>
  <c r="L292" i="48"/>
  <c r="H292" i="48"/>
  <c r="I300" i="48"/>
  <c r="J300" i="48"/>
  <c r="L300" i="48"/>
  <c r="H300" i="48"/>
  <c r="I340" i="48"/>
  <c r="J340" i="48"/>
  <c r="L340" i="48"/>
  <c r="H340" i="48"/>
  <c r="I348" i="48"/>
  <c r="J348" i="48"/>
  <c r="L348" i="48"/>
  <c r="H348" i="48"/>
  <c r="I372" i="48"/>
  <c r="J372" i="48"/>
  <c r="L372" i="48"/>
  <c r="H372" i="48"/>
  <c r="I380" i="48"/>
  <c r="J380" i="48"/>
  <c r="L380" i="48"/>
  <c r="H380" i="48"/>
  <c r="I420" i="48"/>
  <c r="J420" i="48"/>
  <c r="L420" i="48"/>
  <c r="H420" i="48"/>
  <c r="I428" i="48"/>
  <c r="J428" i="48"/>
  <c r="L428" i="48"/>
  <c r="H428" i="48"/>
  <c r="H620" i="48"/>
  <c r="H588" i="48"/>
  <c r="H376" i="48"/>
  <c r="H312" i="48"/>
  <c r="H248" i="48"/>
  <c r="H184" i="48"/>
  <c r="H69" i="48"/>
  <c r="F26" i="49"/>
  <c r="G26" i="49"/>
  <c r="H26" i="49"/>
  <c r="J26" i="49"/>
  <c r="F32" i="49"/>
  <c r="G32" i="49"/>
  <c r="H32" i="49"/>
  <c r="J32" i="49"/>
  <c r="I13" i="48"/>
  <c r="J13" i="48"/>
  <c r="L13" i="48"/>
  <c r="H13" i="48"/>
  <c r="I17" i="48"/>
  <c r="J17" i="48"/>
  <c r="L17" i="48"/>
  <c r="H17" i="48"/>
  <c r="I25" i="48"/>
  <c r="J25" i="48"/>
  <c r="L25" i="48"/>
  <c r="H25" i="48"/>
  <c r="I29" i="48"/>
  <c r="J29" i="48"/>
  <c r="L29" i="48"/>
  <c r="H29" i="48"/>
  <c r="I33" i="48"/>
  <c r="J33" i="48"/>
  <c r="L33" i="48"/>
  <c r="H33" i="48"/>
  <c r="I40" i="48"/>
  <c r="J40" i="48"/>
  <c r="L40" i="48"/>
  <c r="H40" i="48"/>
  <c r="H43" i="48"/>
  <c r="I43" i="48"/>
  <c r="J43" i="48"/>
  <c r="L43" i="48"/>
  <c r="I52" i="48"/>
  <c r="J52" i="48"/>
  <c r="L52" i="48"/>
  <c r="H52" i="48"/>
  <c r="H61" i="48"/>
  <c r="I63" i="48"/>
  <c r="J63" i="48"/>
  <c r="L63" i="48"/>
  <c r="I66" i="48"/>
  <c r="J66" i="48"/>
  <c r="L66" i="48"/>
  <c r="H66" i="48"/>
  <c r="I73" i="48"/>
  <c r="J73" i="48"/>
  <c r="L73" i="48"/>
  <c r="H73" i="48"/>
  <c r="I77" i="48"/>
  <c r="J77" i="48"/>
  <c r="L77" i="48"/>
  <c r="H77" i="48"/>
  <c r="I81" i="48"/>
  <c r="J81" i="48"/>
  <c r="L81" i="48"/>
  <c r="H81" i="48"/>
  <c r="I89" i="48"/>
  <c r="J89" i="48"/>
  <c r="L89" i="48"/>
  <c r="H89" i="48"/>
  <c r="I93" i="48"/>
  <c r="J93" i="48"/>
  <c r="L93" i="48"/>
  <c r="H93" i="48"/>
  <c r="I97" i="48"/>
  <c r="J97" i="48"/>
  <c r="L97" i="48"/>
  <c r="H97" i="48"/>
  <c r="I105" i="48"/>
  <c r="J105" i="48"/>
  <c r="L105" i="48"/>
  <c r="H105" i="48"/>
  <c r="I109" i="48"/>
  <c r="J109" i="48"/>
  <c r="L109" i="48"/>
  <c r="H109" i="48"/>
  <c r="I113" i="48"/>
  <c r="J113" i="48"/>
  <c r="L113" i="48"/>
  <c r="H113" i="48"/>
  <c r="I121" i="48"/>
  <c r="J121" i="48"/>
  <c r="L121" i="48"/>
  <c r="H121" i="48"/>
  <c r="I125" i="48"/>
  <c r="J125" i="48"/>
  <c r="L125" i="48"/>
  <c r="H125" i="48"/>
  <c r="I129" i="48"/>
  <c r="J129" i="48"/>
  <c r="L129" i="48"/>
  <c r="H129" i="48"/>
  <c r="I137" i="48"/>
  <c r="J137" i="48"/>
  <c r="L137" i="48"/>
  <c r="H137" i="48"/>
  <c r="I141" i="48"/>
  <c r="J141" i="48"/>
  <c r="L141" i="48"/>
  <c r="H141" i="48"/>
  <c r="I145" i="48"/>
  <c r="J145" i="48"/>
  <c r="L145" i="48"/>
  <c r="H145" i="48"/>
  <c r="I153" i="48"/>
  <c r="J153" i="48"/>
  <c r="L153" i="48"/>
  <c r="H153" i="48"/>
  <c r="I157" i="48"/>
  <c r="J157" i="48"/>
  <c r="L157" i="48"/>
  <c r="H157" i="48"/>
  <c r="I161" i="48"/>
  <c r="J161" i="48"/>
  <c r="L161" i="48"/>
  <c r="H161" i="48"/>
  <c r="I169" i="48"/>
  <c r="J169" i="48"/>
  <c r="L169" i="48"/>
  <c r="H169" i="48"/>
  <c r="I173" i="48"/>
  <c r="J173" i="48"/>
  <c r="L173" i="48"/>
  <c r="H173" i="48"/>
  <c r="I177" i="48"/>
  <c r="J177" i="48"/>
  <c r="L177" i="48"/>
  <c r="H177" i="48"/>
  <c r="I181" i="48"/>
  <c r="J181" i="48"/>
  <c r="L181" i="48"/>
  <c r="H181" i="48"/>
  <c r="I185" i="48"/>
  <c r="J185" i="48"/>
  <c r="L185" i="48"/>
  <c r="H185" i="48"/>
  <c r="H489" i="48"/>
  <c r="H497" i="48"/>
  <c r="H501" i="48"/>
  <c r="H529" i="48"/>
  <c r="H533" i="48"/>
  <c r="H537" i="48"/>
  <c r="H613" i="48"/>
  <c r="H632" i="48"/>
  <c r="H616" i="48"/>
  <c r="H600" i="48"/>
  <c r="H432" i="48"/>
  <c r="H400" i="48"/>
  <c r="H368" i="48"/>
  <c r="H336" i="48"/>
  <c r="H304" i="48"/>
  <c r="H272" i="48"/>
  <c r="H240" i="48"/>
  <c r="H208" i="48"/>
  <c r="H176" i="48"/>
  <c r="H117" i="48"/>
  <c r="F21" i="49"/>
  <c r="G21" i="49"/>
  <c r="H21" i="49"/>
  <c r="J21" i="49"/>
  <c r="I16" i="48"/>
  <c r="J16" i="48"/>
  <c r="L16" i="48"/>
  <c r="H16" i="48"/>
  <c r="I28" i="48"/>
  <c r="J28" i="48"/>
  <c r="L28" i="48"/>
  <c r="H28" i="48"/>
  <c r="I36" i="48"/>
  <c r="J36" i="48"/>
  <c r="L36" i="48"/>
  <c r="H36" i="48"/>
  <c r="I42" i="48"/>
  <c r="J42" i="48"/>
  <c r="L42" i="48"/>
  <c r="H42" i="48"/>
  <c r="H51" i="48"/>
  <c r="I51" i="48"/>
  <c r="J51" i="48"/>
  <c r="L51" i="48"/>
  <c r="I76" i="48"/>
  <c r="J76" i="48"/>
  <c r="L76" i="48"/>
  <c r="H76" i="48"/>
  <c r="I88" i="48"/>
  <c r="J88" i="48"/>
  <c r="L88" i="48"/>
  <c r="H88" i="48"/>
  <c r="I96" i="48"/>
  <c r="J96" i="48"/>
  <c r="L96" i="48"/>
  <c r="H96" i="48"/>
  <c r="I108" i="48"/>
  <c r="J108" i="48"/>
  <c r="L108" i="48"/>
  <c r="H108" i="48"/>
  <c r="I116" i="48"/>
  <c r="J116" i="48"/>
  <c r="L116" i="48"/>
  <c r="H116" i="48"/>
  <c r="I128" i="48"/>
  <c r="J128" i="48"/>
  <c r="L128" i="48"/>
  <c r="H128" i="48"/>
  <c r="I140" i="48"/>
  <c r="J140" i="48"/>
  <c r="L140" i="48"/>
  <c r="H140" i="48"/>
  <c r="I148" i="48"/>
  <c r="J148" i="48"/>
  <c r="L148" i="48"/>
  <c r="H148" i="48"/>
  <c r="I160" i="48"/>
  <c r="J160" i="48"/>
  <c r="L160" i="48"/>
  <c r="H160" i="48"/>
  <c r="I168" i="48"/>
  <c r="J168" i="48"/>
  <c r="L168" i="48"/>
  <c r="H168" i="48"/>
  <c r="I220" i="48"/>
  <c r="J220" i="48"/>
  <c r="L220" i="48"/>
  <c r="H220" i="48"/>
  <c r="I228" i="48"/>
  <c r="J228" i="48"/>
  <c r="L228" i="48"/>
  <c r="H228" i="48"/>
  <c r="I236" i="48"/>
  <c r="J236" i="48"/>
  <c r="L236" i="48"/>
  <c r="H236" i="48"/>
  <c r="I260" i="48"/>
  <c r="J260" i="48"/>
  <c r="L260" i="48"/>
  <c r="H260" i="48"/>
  <c r="I268" i="48"/>
  <c r="J268" i="48"/>
  <c r="L268" i="48"/>
  <c r="H268" i="48"/>
  <c r="I276" i="48"/>
  <c r="J276" i="48"/>
  <c r="L276" i="48"/>
  <c r="H276" i="48"/>
  <c r="I332" i="48"/>
  <c r="J332" i="48"/>
  <c r="L332" i="48"/>
  <c r="H332" i="48"/>
  <c r="I356" i="48"/>
  <c r="J356" i="48"/>
  <c r="L356" i="48"/>
  <c r="H356" i="48"/>
  <c r="I364" i="48"/>
  <c r="J364" i="48"/>
  <c r="L364" i="48"/>
  <c r="H364" i="48"/>
  <c r="I388" i="48"/>
  <c r="J388" i="48"/>
  <c r="L388" i="48"/>
  <c r="H388" i="48"/>
  <c r="I396" i="48"/>
  <c r="J396" i="48"/>
  <c r="L396" i="48"/>
  <c r="H396" i="48"/>
  <c r="I404" i="48"/>
  <c r="J404" i="48"/>
  <c r="L404" i="48"/>
  <c r="H404" i="48"/>
  <c r="I412" i="48"/>
  <c r="J412" i="48"/>
  <c r="L412" i="48"/>
  <c r="H412" i="48"/>
  <c r="H636" i="48"/>
  <c r="H604" i="48"/>
  <c r="H408" i="48"/>
  <c r="H344" i="48"/>
  <c r="H280" i="48"/>
  <c r="H216" i="48"/>
  <c r="F35" i="49"/>
  <c r="G35" i="49"/>
  <c r="H35" i="49"/>
  <c r="J35" i="49"/>
  <c r="I10" i="48"/>
  <c r="J10" i="48"/>
  <c r="L10" i="48"/>
  <c r="H10" i="48"/>
  <c r="I18" i="48"/>
  <c r="J18" i="48"/>
  <c r="L18" i="48"/>
  <c r="H18" i="48"/>
  <c r="I22" i="48"/>
  <c r="J22" i="48"/>
  <c r="L22" i="48"/>
  <c r="H22" i="48"/>
  <c r="I26" i="48"/>
  <c r="J26" i="48"/>
  <c r="L26" i="48"/>
  <c r="H26" i="48"/>
  <c r="I30" i="48"/>
  <c r="J30" i="48"/>
  <c r="L30" i="48"/>
  <c r="H30" i="48"/>
  <c r="I34" i="48"/>
  <c r="J34" i="48"/>
  <c r="L34" i="48"/>
  <c r="H34" i="48"/>
  <c r="I38" i="48"/>
  <c r="J38" i="48"/>
  <c r="L38" i="48"/>
  <c r="H38" i="48"/>
  <c r="H41" i="48"/>
  <c r="I44" i="48"/>
  <c r="J44" i="48"/>
  <c r="L44" i="48"/>
  <c r="H44" i="48"/>
  <c r="I55" i="48"/>
  <c r="J55" i="48"/>
  <c r="L55" i="48"/>
  <c r="I58" i="48"/>
  <c r="J58" i="48"/>
  <c r="L58" i="48"/>
  <c r="H58" i="48"/>
  <c r="I61" i="48"/>
  <c r="J61" i="48"/>
  <c r="L61" i="48"/>
  <c r="I64" i="48"/>
  <c r="J64" i="48"/>
  <c r="L64" i="48"/>
  <c r="H64" i="48"/>
  <c r="H67" i="48"/>
  <c r="I67" i="48"/>
  <c r="J67" i="48"/>
  <c r="L67" i="48"/>
  <c r="H628" i="48"/>
  <c r="H612" i="48"/>
  <c r="H596" i="48"/>
  <c r="H424" i="48"/>
  <c r="H392" i="48"/>
  <c r="H360" i="48"/>
  <c r="H328" i="48"/>
  <c r="H296" i="48"/>
  <c r="H264" i="48"/>
  <c r="H232" i="48"/>
  <c r="H200" i="48"/>
  <c r="H165" i="48"/>
  <c r="H101" i="48"/>
  <c r="H37" i="48"/>
  <c r="I24" i="48"/>
  <c r="J24" i="48"/>
  <c r="L24" i="48"/>
  <c r="H24" i="48"/>
  <c r="I32" i="48"/>
  <c r="J32" i="48"/>
  <c r="L32" i="48"/>
  <c r="H32" i="48"/>
  <c r="I60" i="48"/>
  <c r="J60" i="48"/>
  <c r="L60" i="48"/>
  <c r="H60" i="48"/>
  <c r="I84" i="48"/>
  <c r="J84" i="48"/>
  <c r="L84" i="48"/>
  <c r="H84" i="48"/>
  <c r="I100" i="48"/>
  <c r="J100" i="48"/>
  <c r="L100" i="48"/>
  <c r="H100" i="48"/>
  <c r="I120" i="48"/>
  <c r="J120" i="48"/>
  <c r="L120" i="48"/>
  <c r="H120" i="48"/>
  <c r="I136" i="48"/>
  <c r="J136" i="48"/>
  <c r="L136" i="48"/>
  <c r="H136" i="48"/>
  <c r="I152" i="48"/>
  <c r="J152" i="48"/>
  <c r="L152" i="48"/>
  <c r="H152" i="48"/>
  <c r="I188" i="48"/>
  <c r="J188" i="48"/>
  <c r="L188" i="48"/>
  <c r="H188" i="48"/>
  <c r="I244" i="48"/>
  <c r="J244" i="48"/>
  <c r="L244" i="48"/>
  <c r="H244" i="48"/>
  <c r="I252" i="48"/>
  <c r="J252" i="48"/>
  <c r="L252" i="48"/>
  <c r="H252" i="48"/>
  <c r="I308" i="48"/>
  <c r="J308" i="48"/>
  <c r="L308" i="48"/>
  <c r="H308" i="48"/>
  <c r="I316" i="48"/>
  <c r="J316" i="48"/>
  <c r="L316" i="48"/>
  <c r="H316" i="48"/>
  <c r="I324" i="48"/>
  <c r="J324" i="48"/>
  <c r="L324" i="48"/>
  <c r="H324" i="48"/>
  <c r="I436" i="48"/>
  <c r="J436" i="48"/>
  <c r="L436" i="48"/>
  <c r="H436" i="48"/>
  <c r="I11" i="48"/>
  <c r="J11" i="48"/>
  <c r="L11" i="48"/>
  <c r="H11" i="48"/>
  <c r="I15" i="48"/>
  <c r="J15" i="48"/>
  <c r="L15" i="48"/>
  <c r="H15" i="48"/>
  <c r="I19" i="48"/>
  <c r="J19" i="48"/>
  <c r="L19" i="48"/>
  <c r="H19" i="48"/>
  <c r="I23" i="48"/>
  <c r="J23" i="48"/>
  <c r="L23" i="48"/>
  <c r="H23" i="48"/>
  <c r="I27" i="48"/>
  <c r="J27" i="48"/>
  <c r="L27" i="48"/>
  <c r="H27" i="48"/>
  <c r="I31" i="48"/>
  <c r="J31" i="48"/>
  <c r="L31" i="48"/>
  <c r="H31" i="48"/>
  <c r="I35" i="48"/>
  <c r="J35" i="48"/>
  <c r="L35" i="48"/>
  <c r="H35" i="48"/>
  <c r="H45" i="48"/>
  <c r="I50" i="48"/>
  <c r="J50" i="48"/>
  <c r="L50" i="48"/>
  <c r="H50" i="48"/>
  <c r="I56" i="48"/>
  <c r="J56" i="48"/>
  <c r="L56" i="48"/>
  <c r="H56" i="48"/>
  <c r="H59" i="48"/>
  <c r="I59" i="48"/>
  <c r="J59" i="48"/>
  <c r="L59" i="48"/>
  <c r="I68" i="48"/>
  <c r="J68" i="48"/>
  <c r="L68" i="48"/>
  <c r="H68" i="48"/>
  <c r="I71" i="48"/>
  <c r="J71" i="48"/>
  <c r="L71" i="48"/>
  <c r="H71" i="48"/>
  <c r="I75" i="48"/>
  <c r="J75" i="48"/>
  <c r="L75" i="48"/>
  <c r="H75" i="48"/>
  <c r="I79" i="48"/>
  <c r="J79" i="48"/>
  <c r="L79" i="48"/>
  <c r="H79" i="48"/>
  <c r="I83" i="48"/>
  <c r="J83" i="48"/>
  <c r="L83" i="48"/>
  <c r="H83" i="48"/>
  <c r="I87" i="48"/>
  <c r="J87" i="48"/>
  <c r="L87" i="48"/>
  <c r="H87" i="48"/>
  <c r="I91" i="48"/>
  <c r="J91" i="48"/>
  <c r="L91" i="48"/>
  <c r="H91" i="48"/>
  <c r="I95" i="48"/>
  <c r="J95" i="48"/>
  <c r="L95" i="48"/>
  <c r="H95" i="48"/>
  <c r="I99" i="48"/>
  <c r="J99" i="48"/>
  <c r="L99" i="48"/>
  <c r="H99" i="48"/>
  <c r="I103" i="48"/>
  <c r="J103" i="48"/>
  <c r="L103" i="48"/>
  <c r="H103" i="48"/>
  <c r="I107" i="48"/>
  <c r="J107" i="48"/>
  <c r="L107" i="48"/>
  <c r="H107" i="48"/>
  <c r="I111" i="48"/>
  <c r="J111" i="48"/>
  <c r="L111" i="48"/>
  <c r="H111" i="48"/>
  <c r="I115" i="48"/>
  <c r="J115" i="48"/>
  <c r="L115" i="48"/>
  <c r="H115" i="48"/>
  <c r="I119" i="48"/>
  <c r="J119" i="48"/>
  <c r="L119" i="48"/>
  <c r="H119" i="48"/>
  <c r="I123" i="48"/>
  <c r="J123" i="48"/>
  <c r="L123" i="48"/>
  <c r="H123" i="48"/>
  <c r="I127" i="48"/>
  <c r="J127" i="48"/>
  <c r="L127" i="48"/>
  <c r="H127" i="48"/>
  <c r="I131" i="48"/>
  <c r="J131" i="48"/>
  <c r="L131" i="48"/>
  <c r="H131" i="48"/>
  <c r="I135" i="48"/>
  <c r="J135" i="48"/>
  <c r="L135" i="48"/>
  <c r="H135" i="48"/>
  <c r="I139" i="48"/>
  <c r="J139" i="48"/>
  <c r="L139" i="48"/>
  <c r="H139" i="48"/>
  <c r="I143" i="48"/>
  <c r="J143" i="48"/>
  <c r="L143" i="48"/>
  <c r="H143" i="48"/>
  <c r="I147" i="48"/>
  <c r="J147" i="48"/>
  <c r="L147" i="48"/>
  <c r="H147" i="48"/>
  <c r="I151" i="48"/>
  <c r="J151" i="48"/>
  <c r="L151" i="48"/>
  <c r="H151" i="48"/>
  <c r="I155" i="48"/>
  <c r="J155" i="48"/>
  <c r="L155" i="48"/>
  <c r="H155" i="48"/>
  <c r="I159" i="48"/>
  <c r="J159" i="48"/>
  <c r="L159" i="48"/>
  <c r="H159" i="48"/>
  <c r="I163" i="48"/>
  <c r="J163" i="48"/>
  <c r="L163" i="48"/>
  <c r="H163" i="48"/>
  <c r="I167" i="48"/>
  <c r="J167" i="48"/>
  <c r="L167" i="48"/>
  <c r="H167" i="48"/>
  <c r="I171" i="48"/>
  <c r="J171" i="48"/>
  <c r="L171" i="48"/>
  <c r="H171" i="48"/>
  <c r="I175" i="48"/>
  <c r="J175" i="48"/>
  <c r="L175" i="48"/>
  <c r="H175" i="48"/>
  <c r="I179" i="48"/>
  <c r="J179" i="48"/>
  <c r="L179" i="48"/>
  <c r="H179" i="48"/>
  <c r="I183" i="48"/>
  <c r="J183" i="48"/>
  <c r="L183" i="48"/>
  <c r="H183" i="48"/>
  <c r="I187" i="48"/>
  <c r="J187" i="48"/>
  <c r="L187" i="48"/>
  <c r="H187" i="48"/>
  <c r="I191" i="48"/>
  <c r="J191" i="48"/>
  <c r="L191" i="48"/>
  <c r="H191" i="48"/>
  <c r="I195" i="48"/>
  <c r="J195" i="48"/>
  <c r="L195" i="48"/>
  <c r="H195" i="48"/>
  <c r="I199" i="48"/>
  <c r="J199" i="48"/>
  <c r="L199" i="48"/>
  <c r="H199" i="48"/>
  <c r="I203" i="48"/>
  <c r="J203" i="48"/>
  <c r="L203" i="48"/>
  <c r="H203" i="48"/>
  <c r="I207" i="48"/>
  <c r="J207" i="48"/>
  <c r="L207" i="48"/>
  <c r="H207" i="48"/>
  <c r="I211" i="48"/>
  <c r="J211" i="48"/>
  <c r="L211" i="48"/>
  <c r="H211" i="48"/>
  <c r="I215" i="48"/>
  <c r="J215" i="48"/>
  <c r="L215" i="48"/>
  <c r="H215" i="48"/>
  <c r="I219" i="48"/>
  <c r="J219" i="48"/>
  <c r="L219" i="48"/>
  <c r="H219" i="48"/>
  <c r="I223" i="48"/>
  <c r="J223" i="48"/>
  <c r="L223" i="48"/>
  <c r="H223" i="48"/>
  <c r="I227" i="48"/>
  <c r="J227" i="48"/>
  <c r="L227" i="48"/>
  <c r="H227" i="48"/>
  <c r="I231" i="48"/>
  <c r="J231" i="48"/>
  <c r="L231" i="48"/>
  <c r="H231" i="48"/>
  <c r="I235" i="48"/>
  <c r="J235" i="48"/>
  <c r="L235" i="48"/>
  <c r="H235" i="48"/>
  <c r="I239" i="48"/>
  <c r="J239" i="48"/>
  <c r="L239" i="48"/>
  <c r="H239" i="48"/>
  <c r="I243" i="48"/>
  <c r="J243" i="48"/>
  <c r="L243" i="48"/>
  <c r="H243" i="48"/>
  <c r="I247" i="48"/>
  <c r="J247" i="48"/>
  <c r="L247" i="48"/>
  <c r="H247" i="48"/>
  <c r="I251" i="48"/>
  <c r="J251" i="48"/>
  <c r="L251" i="48"/>
  <c r="H251" i="48"/>
  <c r="I255" i="48"/>
  <c r="J255" i="48"/>
  <c r="L255" i="48"/>
  <c r="H255" i="48"/>
  <c r="I259" i="48"/>
  <c r="J259" i="48"/>
  <c r="L259" i="48"/>
  <c r="H259" i="48"/>
  <c r="I263" i="48"/>
  <c r="J263" i="48"/>
  <c r="L263" i="48"/>
  <c r="H263" i="48"/>
  <c r="I267" i="48"/>
  <c r="J267" i="48"/>
  <c r="L267" i="48"/>
  <c r="H267" i="48"/>
  <c r="I271" i="48"/>
  <c r="J271" i="48"/>
  <c r="L271" i="48"/>
  <c r="H271" i="48"/>
  <c r="H640" i="48"/>
  <c r="H624" i="48"/>
  <c r="H608" i="48"/>
  <c r="H592" i="48"/>
  <c r="H416" i="48"/>
  <c r="H384" i="48"/>
  <c r="H352" i="48"/>
  <c r="H320" i="48"/>
  <c r="H288" i="48"/>
  <c r="H256" i="48"/>
  <c r="H224" i="48"/>
  <c r="H192" i="48"/>
  <c r="H149" i="48"/>
  <c r="H85" i="48"/>
  <c r="H21" i="48"/>
  <c r="I189" i="48"/>
  <c r="J189" i="48"/>
  <c r="L189" i="48"/>
  <c r="H189" i="48"/>
  <c r="I193" i="48"/>
  <c r="J193" i="48"/>
  <c r="L193" i="48"/>
  <c r="H193" i="48"/>
  <c r="I197" i="48"/>
  <c r="J197" i="48"/>
  <c r="L197" i="48"/>
  <c r="H197" i="48"/>
  <c r="I201" i="48"/>
  <c r="J201" i="48"/>
  <c r="L201" i="48"/>
  <c r="H201" i="48"/>
  <c r="I205" i="48"/>
  <c r="J205" i="48"/>
  <c r="L205" i="48"/>
  <c r="H205" i="48"/>
  <c r="I209" i="48"/>
  <c r="J209" i="48"/>
  <c r="L209" i="48"/>
  <c r="H209" i="48"/>
  <c r="I213" i="48"/>
  <c r="J213" i="48"/>
  <c r="L213" i="48"/>
  <c r="H213" i="48"/>
  <c r="I217" i="48"/>
  <c r="J217" i="48"/>
  <c r="L217" i="48"/>
  <c r="H217" i="48"/>
  <c r="I221" i="48"/>
  <c r="J221" i="48"/>
  <c r="L221" i="48"/>
  <c r="H221" i="48"/>
  <c r="I225" i="48"/>
  <c r="J225" i="48"/>
  <c r="L225" i="48"/>
  <c r="H225" i="48"/>
  <c r="I229" i="48"/>
  <c r="J229" i="48"/>
  <c r="L229" i="48"/>
  <c r="H229" i="48"/>
  <c r="I233" i="48"/>
  <c r="J233" i="48"/>
  <c r="L233" i="48"/>
  <c r="H233" i="48"/>
  <c r="I237" i="48"/>
  <c r="J237" i="48"/>
  <c r="L237" i="48"/>
  <c r="H237" i="48"/>
  <c r="I241" i="48"/>
  <c r="J241" i="48"/>
  <c r="L241" i="48"/>
  <c r="H241" i="48"/>
  <c r="I245" i="48"/>
  <c r="J245" i="48"/>
  <c r="L245" i="48"/>
  <c r="H245" i="48"/>
  <c r="I249" i="48"/>
  <c r="J249" i="48"/>
  <c r="L249" i="48"/>
  <c r="H249" i="48"/>
  <c r="I253" i="48"/>
  <c r="J253" i="48"/>
  <c r="L253" i="48"/>
  <c r="H253" i="48"/>
  <c r="I257" i="48"/>
  <c r="J257" i="48"/>
  <c r="L257" i="48"/>
  <c r="H257" i="48"/>
  <c r="I261" i="48"/>
  <c r="J261" i="48"/>
  <c r="L261" i="48"/>
  <c r="H261" i="48"/>
  <c r="I265" i="48"/>
  <c r="J265" i="48"/>
  <c r="L265" i="48"/>
  <c r="H265" i="48"/>
  <c r="I269" i="48"/>
  <c r="J269" i="48"/>
  <c r="L269" i="48"/>
  <c r="H269" i="48"/>
  <c r="I273" i="48"/>
  <c r="J273" i="48"/>
  <c r="L273" i="48"/>
  <c r="H273" i="48"/>
  <c r="H277" i="48"/>
  <c r="H281" i="48"/>
  <c r="H285" i="48"/>
  <c r="H289" i="48"/>
  <c r="H293" i="48"/>
  <c r="H297" i="48"/>
  <c r="H301" i="48"/>
  <c r="H305" i="48"/>
  <c r="H309" i="48"/>
  <c r="H313" i="48"/>
  <c r="H317" i="48"/>
  <c r="H321" i="48"/>
  <c r="H325" i="48"/>
  <c r="H329" i="48"/>
  <c r="H333" i="48"/>
  <c r="H337" i="48"/>
  <c r="H341" i="48"/>
  <c r="I345" i="48"/>
  <c r="J345" i="48"/>
  <c r="L345" i="48"/>
  <c r="H345" i="48"/>
  <c r="I349" i="48"/>
  <c r="J349" i="48"/>
  <c r="L349" i="48"/>
  <c r="H349" i="48"/>
  <c r="I353" i="48"/>
  <c r="J353" i="48"/>
  <c r="L353" i="48"/>
  <c r="H353" i="48"/>
  <c r="I357" i="48"/>
  <c r="J357" i="48"/>
  <c r="L357" i="48"/>
  <c r="H357" i="48"/>
  <c r="I361" i="48"/>
  <c r="J361" i="48"/>
  <c r="L361" i="48"/>
  <c r="H361" i="48"/>
  <c r="I365" i="48"/>
  <c r="J365" i="48"/>
  <c r="L365" i="48"/>
  <c r="H365" i="48"/>
  <c r="I369" i="48"/>
  <c r="J369" i="48"/>
  <c r="L369" i="48"/>
  <c r="H369" i="48"/>
  <c r="I373" i="48"/>
  <c r="J373" i="48"/>
  <c r="L373" i="48"/>
  <c r="H373" i="48"/>
  <c r="I377" i="48"/>
  <c r="J377" i="48"/>
  <c r="L377" i="48"/>
  <c r="H377" i="48"/>
  <c r="I381" i="48"/>
  <c r="J381" i="48"/>
  <c r="L381" i="48"/>
  <c r="H381" i="48"/>
  <c r="I385" i="48"/>
  <c r="J385" i="48"/>
  <c r="L385" i="48"/>
  <c r="H385" i="48"/>
  <c r="I389" i="48"/>
  <c r="J389" i="48"/>
  <c r="L389" i="48"/>
  <c r="H389" i="48"/>
  <c r="I393" i="48"/>
  <c r="J393" i="48"/>
  <c r="L393" i="48"/>
  <c r="H393" i="48"/>
  <c r="I397" i="48"/>
  <c r="J397" i="48"/>
  <c r="L397" i="48"/>
  <c r="H397" i="48"/>
  <c r="I401" i="48"/>
  <c r="J401" i="48"/>
  <c r="L401" i="48"/>
  <c r="H401" i="48"/>
  <c r="I405" i="48"/>
  <c r="J405" i="48"/>
  <c r="L405" i="48"/>
  <c r="H405" i="48"/>
  <c r="I409" i="48"/>
  <c r="J409" i="48"/>
  <c r="L409" i="48"/>
  <c r="H409" i="48"/>
  <c r="I413" i="48"/>
  <c r="J413" i="48"/>
  <c r="L413" i="48"/>
  <c r="H413" i="48"/>
  <c r="I417" i="48"/>
  <c r="J417" i="48"/>
  <c r="L417" i="48"/>
  <c r="H417" i="48"/>
  <c r="I421" i="48"/>
  <c r="J421" i="48"/>
  <c r="L421" i="48"/>
  <c r="H421" i="48"/>
  <c r="I425" i="48"/>
  <c r="J425" i="48"/>
  <c r="L425" i="48"/>
  <c r="H425" i="48"/>
  <c r="I429" i="48"/>
  <c r="J429" i="48"/>
  <c r="L429" i="48"/>
  <c r="H429" i="48"/>
  <c r="I433" i="48"/>
  <c r="J433" i="48"/>
  <c r="L433" i="48"/>
  <c r="H433" i="48"/>
  <c r="I437" i="48"/>
  <c r="J437" i="48"/>
  <c r="L437" i="48"/>
  <c r="H437" i="48"/>
  <c r="I441" i="48"/>
  <c r="J441" i="48"/>
  <c r="L441" i="48"/>
  <c r="H441" i="48"/>
  <c r="I445" i="48"/>
  <c r="J445" i="48"/>
  <c r="L445" i="48"/>
  <c r="H445" i="48"/>
  <c r="H449" i="48"/>
  <c r="H453" i="48"/>
  <c r="H457" i="48"/>
  <c r="H461" i="48"/>
  <c r="H465" i="48"/>
  <c r="H469" i="48"/>
  <c r="H473" i="48"/>
  <c r="H477" i="48"/>
  <c r="H481" i="48"/>
  <c r="H485" i="48"/>
  <c r="H683" i="48"/>
  <c r="H679" i="48"/>
  <c r="H675" i="48"/>
  <c r="H671" i="48"/>
  <c r="H667" i="48"/>
  <c r="H663" i="48"/>
  <c r="H659" i="48"/>
  <c r="H655" i="48"/>
  <c r="H651" i="48"/>
  <c r="H647" i="48"/>
  <c r="H643" i="48"/>
  <c r="H639" i="48"/>
  <c r="H635" i="48"/>
  <c r="H631" i="48"/>
  <c r="H627" i="48"/>
  <c r="H623" i="48"/>
  <c r="H619" i="48"/>
  <c r="H615" i="48"/>
  <c r="H607" i="48"/>
  <c r="H603" i="48"/>
  <c r="H599" i="48"/>
  <c r="H595" i="48"/>
  <c r="H591" i="48"/>
  <c r="H587" i="48"/>
  <c r="H583" i="48"/>
  <c r="H579" i="48"/>
  <c r="H575" i="48"/>
  <c r="H571" i="48"/>
  <c r="H567" i="48"/>
  <c r="H563" i="48"/>
  <c r="H559" i="48"/>
  <c r="H555" i="48"/>
  <c r="H551" i="48"/>
  <c r="H547" i="48"/>
  <c r="H543" i="48"/>
  <c r="H539" i="48"/>
  <c r="H519" i="48"/>
  <c r="H513" i="48"/>
  <c r="H503" i="48"/>
  <c r="H487" i="48"/>
  <c r="H479" i="48"/>
  <c r="H471" i="48"/>
  <c r="H463" i="48"/>
  <c r="H455" i="48"/>
  <c r="H447" i="48"/>
  <c r="H439" i="48"/>
  <c r="H431" i="48"/>
  <c r="H423" i="48"/>
  <c r="H415" i="48"/>
  <c r="H407" i="48"/>
  <c r="H399" i="48"/>
  <c r="H391" i="48"/>
  <c r="H383" i="48"/>
  <c r="H375" i="48"/>
  <c r="H367" i="48"/>
  <c r="H359" i="48"/>
  <c r="H351" i="48"/>
  <c r="H343" i="48"/>
  <c r="F18" i="49"/>
  <c r="G18" i="49"/>
  <c r="H18" i="49"/>
  <c r="J18" i="49"/>
  <c r="F24" i="49"/>
  <c r="G24" i="49"/>
  <c r="H24" i="49"/>
  <c r="J24" i="49"/>
  <c r="F27" i="49"/>
  <c r="G27" i="49"/>
  <c r="H27" i="49"/>
  <c r="J27" i="49"/>
  <c r="I46" i="48"/>
  <c r="J46" i="48"/>
  <c r="L46" i="48"/>
  <c r="H46" i="48"/>
  <c r="H49" i="48"/>
  <c r="I54" i="48"/>
  <c r="J54" i="48"/>
  <c r="L54" i="48"/>
  <c r="H54" i="48"/>
  <c r="H57" i="48"/>
  <c r="I62" i="48"/>
  <c r="J62" i="48"/>
  <c r="L62" i="48"/>
  <c r="H62" i="48"/>
  <c r="H65" i="48"/>
  <c r="I70" i="48"/>
  <c r="J70" i="48"/>
  <c r="L70" i="48"/>
  <c r="H70" i="48"/>
  <c r="I74" i="48"/>
  <c r="J74" i="48"/>
  <c r="L74" i="48"/>
  <c r="H74" i="48"/>
  <c r="I78" i="48"/>
  <c r="J78" i="48"/>
  <c r="L78" i="48"/>
  <c r="H78" i="48"/>
  <c r="I82" i="48"/>
  <c r="J82" i="48"/>
  <c r="L82" i="48"/>
  <c r="H82" i="48"/>
  <c r="I86" i="48"/>
  <c r="J86" i="48"/>
  <c r="L86" i="48"/>
  <c r="H86" i="48"/>
  <c r="I90" i="48"/>
  <c r="J90" i="48"/>
  <c r="L90" i="48"/>
  <c r="H90" i="48"/>
  <c r="I94" i="48"/>
  <c r="J94" i="48"/>
  <c r="L94" i="48"/>
  <c r="H94" i="48"/>
  <c r="I98" i="48"/>
  <c r="J98" i="48"/>
  <c r="L98" i="48"/>
  <c r="H98" i="48"/>
  <c r="I102" i="48"/>
  <c r="J102" i="48"/>
  <c r="L102" i="48"/>
  <c r="H102" i="48"/>
  <c r="I106" i="48"/>
  <c r="J106" i="48"/>
  <c r="L106" i="48"/>
  <c r="H106" i="48"/>
  <c r="I110" i="48"/>
  <c r="J110" i="48"/>
  <c r="L110" i="48"/>
  <c r="H110" i="48"/>
  <c r="I114" i="48"/>
  <c r="J114" i="48"/>
  <c r="L114" i="48"/>
  <c r="H114" i="48"/>
  <c r="I118" i="48"/>
  <c r="J118" i="48"/>
  <c r="L118" i="48"/>
  <c r="H118" i="48"/>
  <c r="I122" i="48"/>
  <c r="J122" i="48"/>
  <c r="L122" i="48"/>
  <c r="H122" i="48"/>
  <c r="I126" i="48"/>
  <c r="J126" i="48"/>
  <c r="L126" i="48"/>
  <c r="H126" i="48"/>
  <c r="I130" i="48"/>
  <c r="J130" i="48"/>
  <c r="L130" i="48"/>
  <c r="H130" i="48"/>
  <c r="I134" i="48"/>
  <c r="J134" i="48"/>
  <c r="L134" i="48"/>
  <c r="H134" i="48"/>
  <c r="I138" i="48"/>
  <c r="J138" i="48"/>
  <c r="L138" i="48"/>
  <c r="H138" i="48"/>
  <c r="I142" i="48"/>
  <c r="J142" i="48"/>
  <c r="L142" i="48"/>
  <c r="H142" i="48"/>
  <c r="I146" i="48"/>
  <c r="J146" i="48"/>
  <c r="L146" i="48"/>
  <c r="H146" i="48"/>
  <c r="I150" i="48"/>
  <c r="J150" i="48"/>
  <c r="L150" i="48"/>
  <c r="H150" i="48"/>
  <c r="I154" i="48"/>
  <c r="J154" i="48"/>
  <c r="L154" i="48"/>
  <c r="H154" i="48"/>
  <c r="I158" i="48"/>
  <c r="J158" i="48"/>
  <c r="L158" i="48"/>
  <c r="H158" i="48"/>
  <c r="I162" i="48"/>
  <c r="J162" i="48"/>
  <c r="L162" i="48"/>
  <c r="H162" i="48"/>
  <c r="I166" i="48"/>
  <c r="J166" i="48"/>
  <c r="L166" i="48"/>
  <c r="H166" i="48"/>
  <c r="I174" i="48"/>
  <c r="J174" i="48"/>
  <c r="L174" i="48"/>
  <c r="H174" i="48"/>
  <c r="I178" i="48"/>
  <c r="J178" i="48"/>
  <c r="L178" i="48"/>
  <c r="H178" i="48"/>
  <c r="I182" i="48"/>
  <c r="J182" i="48"/>
  <c r="L182" i="48"/>
  <c r="H182" i="48"/>
  <c r="I186" i="48"/>
  <c r="J186" i="48"/>
  <c r="L186" i="48"/>
  <c r="H186" i="48"/>
  <c r="I190" i="48"/>
  <c r="J190" i="48"/>
  <c r="L190" i="48"/>
  <c r="H190" i="48"/>
  <c r="I194" i="48"/>
  <c r="J194" i="48"/>
  <c r="L194" i="48"/>
  <c r="H194" i="48"/>
  <c r="I198" i="48"/>
  <c r="J198" i="48"/>
  <c r="L198" i="48"/>
  <c r="H198" i="48"/>
  <c r="I202" i="48"/>
  <c r="J202" i="48"/>
  <c r="L202" i="48"/>
  <c r="H202" i="48"/>
  <c r="I206" i="48"/>
  <c r="J206" i="48"/>
  <c r="L206" i="48"/>
  <c r="H206" i="48"/>
  <c r="I210" i="48"/>
  <c r="J210" i="48"/>
  <c r="L210" i="48"/>
  <c r="H210" i="48"/>
  <c r="I214" i="48"/>
  <c r="J214" i="48"/>
  <c r="L214" i="48"/>
  <c r="H214" i="48"/>
  <c r="I218" i="48"/>
  <c r="J218" i="48"/>
  <c r="L218" i="48"/>
  <c r="H218" i="48"/>
  <c r="I222" i="48"/>
  <c r="J222" i="48"/>
  <c r="L222" i="48"/>
  <c r="H222" i="48"/>
  <c r="I226" i="48"/>
  <c r="J226" i="48"/>
  <c r="L226" i="48"/>
  <c r="H226" i="48"/>
  <c r="I230" i="48"/>
  <c r="J230" i="48"/>
  <c r="L230" i="48"/>
  <c r="H230" i="48"/>
  <c r="I234" i="48"/>
  <c r="J234" i="48"/>
  <c r="L234" i="48"/>
  <c r="H234" i="48"/>
  <c r="I238" i="48"/>
  <c r="J238" i="48"/>
  <c r="L238" i="48"/>
  <c r="H238" i="48"/>
  <c r="I242" i="48"/>
  <c r="J242" i="48"/>
  <c r="L242" i="48"/>
  <c r="H242" i="48"/>
  <c r="I246" i="48"/>
  <c r="J246" i="48"/>
  <c r="L246" i="48"/>
  <c r="H246" i="48"/>
  <c r="I250" i="48"/>
  <c r="J250" i="48"/>
  <c r="L250" i="48"/>
  <c r="H250" i="48"/>
  <c r="I254" i="48"/>
  <c r="J254" i="48"/>
  <c r="L254" i="48"/>
  <c r="H254" i="48"/>
  <c r="I258" i="48"/>
  <c r="J258" i="48"/>
  <c r="L258" i="48"/>
  <c r="H258" i="48"/>
  <c r="I262" i="48"/>
  <c r="J262" i="48"/>
  <c r="L262" i="48"/>
  <c r="H262" i="48"/>
  <c r="I266" i="48"/>
  <c r="J266" i="48"/>
  <c r="L266" i="48"/>
  <c r="H266" i="48"/>
  <c r="I270" i="48"/>
  <c r="J270" i="48"/>
  <c r="L270" i="48"/>
  <c r="H270" i="48"/>
  <c r="I274" i="48"/>
  <c r="J274" i="48"/>
  <c r="L274" i="48"/>
  <c r="H274" i="48"/>
  <c r="I278" i="48"/>
  <c r="J278" i="48"/>
  <c r="L278" i="48"/>
  <c r="H278" i="48"/>
  <c r="I282" i="48"/>
  <c r="J282" i="48"/>
  <c r="L282" i="48"/>
  <c r="H282" i="48"/>
  <c r="I286" i="48"/>
  <c r="J286" i="48"/>
  <c r="L286" i="48"/>
  <c r="H286" i="48"/>
  <c r="I290" i="48"/>
  <c r="J290" i="48"/>
  <c r="L290" i="48"/>
  <c r="H290" i="48"/>
  <c r="I294" i="48"/>
  <c r="J294" i="48"/>
  <c r="L294" i="48"/>
  <c r="H294" i="48"/>
  <c r="I298" i="48"/>
  <c r="J298" i="48"/>
  <c r="L298" i="48"/>
  <c r="H298" i="48"/>
  <c r="I302" i="48"/>
  <c r="J302" i="48"/>
  <c r="L302" i="48"/>
  <c r="H302" i="48"/>
  <c r="I306" i="48"/>
  <c r="J306" i="48"/>
  <c r="L306" i="48"/>
  <c r="H306" i="48"/>
  <c r="I310" i="48"/>
  <c r="J310" i="48"/>
  <c r="L310" i="48"/>
  <c r="H310" i="48"/>
  <c r="I314" i="48"/>
  <c r="J314" i="48"/>
  <c r="L314" i="48"/>
  <c r="H314" i="48"/>
  <c r="I318" i="48"/>
  <c r="J318" i="48"/>
  <c r="L318" i="48"/>
  <c r="H318" i="48"/>
  <c r="I322" i="48"/>
  <c r="J322" i="48"/>
  <c r="L322" i="48"/>
  <c r="H322" i="48"/>
  <c r="I326" i="48"/>
  <c r="J326" i="48"/>
  <c r="L326" i="48"/>
  <c r="H326" i="48"/>
  <c r="I330" i="48"/>
  <c r="J330" i="48"/>
  <c r="L330" i="48"/>
  <c r="H330" i="48"/>
  <c r="I334" i="48"/>
  <c r="J334" i="48"/>
  <c r="L334" i="48"/>
  <c r="H334" i="48"/>
  <c r="I338" i="48"/>
  <c r="J338" i="48"/>
  <c r="L338" i="48"/>
  <c r="H338" i="48"/>
  <c r="I342" i="48"/>
  <c r="J342" i="48"/>
  <c r="L342" i="48"/>
  <c r="H342" i="48"/>
  <c r="I346" i="48"/>
  <c r="J346" i="48"/>
  <c r="L346" i="48"/>
  <c r="H346" i="48"/>
  <c r="I350" i="48"/>
  <c r="J350" i="48"/>
  <c r="L350" i="48"/>
  <c r="H350" i="48"/>
  <c r="I354" i="48"/>
  <c r="J354" i="48"/>
  <c r="L354" i="48"/>
  <c r="H354" i="48"/>
  <c r="I358" i="48"/>
  <c r="J358" i="48"/>
  <c r="L358" i="48"/>
  <c r="H358" i="48"/>
  <c r="I362" i="48"/>
  <c r="J362" i="48"/>
  <c r="L362" i="48"/>
  <c r="H362" i="48"/>
  <c r="I366" i="48"/>
  <c r="J366" i="48"/>
  <c r="L366" i="48"/>
  <c r="H366" i="48"/>
  <c r="I370" i="48"/>
  <c r="J370" i="48"/>
  <c r="L370" i="48"/>
  <c r="H370" i="48"/>
  <c r="I374" i="48"/>
  <c r="J374" i="48"/>
  <c r="L374" i="48"/>
  <c r="H374" i="48"/>
  <c r="I378" i="48"/>
  <c r="J378" i="48"/>
  <c r="L378" i="48"/>
  <c r="H378" i="48"/>
  <c r="I382" i="48"/>
  <c r="J382" i="48"/>
  <c r="L382" i="48"/>
  <c r="H382" i="48"/>
  <c r="I386" i="48"/>
  <c r="J386" i="48"/>
  <c r="L386" i="48"/>
  <c r="H386" i="48"/>
  <c r="I390" i="48"/>
  <c r="J390" i="48"/>
  <c r="L390" i="48"/>
  <c r="H390" i="48"/>
  <c r="I394" i="48"/>
  <c r="J394" i="48"/>
  <c r="L394" i="48"/>
  <c r="H394" i="48"/>
  <c r="I398" i="48"/>
  <c r="J398" i="48"/>
  <c r="L398" i="48"/>
  <c r="H398" i="48"/>
  <c r="I402" i="48"/>
  <c r="J402" i="48"/>
  <c r="L402" i="48"/>
  <c r="H402" i="48"/>
  <c r="I406" i="48"/>
  <c r="J406" i="48"/>
  <c r="L406" i="48"/>
  <c r="H406" i="48"/>
  <c r="I410" i="48"/>
  <c r="J410" i="48"/>
  <c r="L410" i="48"/>
  <c r="H410" i="48"/>
  <c r="I414" i="48"/>
  <c r="J414" i="48"/>
  <c r="L414" i="48"/>
  <c r="H414" i="48"/>
  <c r="I418" i="48"/>
  <c r="J418" i="48"/>
  <c r="L418" i="48"/>
  <c r="H418" i="48"/>
  <c r="I422" i="48"/>
  <c r="J422" i="48"/>
  <c r="L422" i="48"/>
  <c r="H422" i="48"/>
  <c r="I426" i="48"/>
  <c r="J426" i="48"/>
  <c r="L426" i="48"/>
  <c r="H426" i="48"/>
  <c r="I430" i="48"/>
  <c r="J430" i="48"/>
  <c r="L430" i="48"/>
  <c r="H430" i="48"/>
  <c r="I434" i="48"/>
  <c r="J434" i="48"/>
  <c r="L434" i="48"/>
  <c r="H434" i="48"/>
  <c r="I438" i="48"/>
  <c r="J438" i="48"/>
  <c r="L438" i="48"/>
  <c r="H438" i="48"/>
  <c r="I506" i="48"/>
  <c r="J506" i="48"/>
  <c r="L506" i="48"/>
  <c r="H506" i="48"/>
  <c r="I510" i="48"/>
  <c r="J510" i="48"/>
  <c r="L510" i="48"/>
  <c r="H510" i="48"/>
  <c r="I514" i="48"/>
  <c r="J514" i="48"/>
  <c r="L514" i="48"/>
  <c r="H514" i="48"/>
  <c r="I518" i="48"/>
  <c r="J518" i="48"/>
  <c r="L518" i="48"/>
  <c r="H518" i="48"/>
  <c r="I522" i="48"/>
  <c r="J522" i="48"/>
  <c r="L522" i="48"/>
  <c r="H522" i="48"/>
  <c r="I526" i="48"/>
  <c r="J526" i="48"/>
  <c r="L526" i="48"/>
  <c r="H526" i="48"/>
  <c r="I530" i="48"/>
  <c r="J530" i="48"/>
  <c r="L530" i="48"/>
  <c r="H530" i="48"/>
  <c r="I534" i="48"/>
  <c r="J534" i="48"/>
  <c r="L534" i="48"/>
  <c r="H534" i="48"/>
  <c r="H642" i="48"/>
  <c r="H638" i="48"/>
  <c r="H634" i="48"/>
  <c r="H630" i="48"/>
  <c r="H626" i="48"/>
  <c r="H622" i="48"/>
  <c r="H618" i="48"/>
  <c r="H614" i="48"/>
  <c r="H610" i="48"/>
  <c r="H606" i="48"/>
  <c r="H602" i="48"/>
  <c r="H598" i="48"/>
  <c r="H594" i="48"/>
  <c r="H590" i="48"/>
  <c r="H586" i="48"/>
  <c r="H582" i="48"/>
  <c r="H578" i="48"/>
  <c r="H574" i="48"/>
  <c r="H570" i="48"/>
  <c r="H566" i="48"/>
  <c r="H562" i="48"/>
  <c r="H558" i="48"/>
  <c r="H554" i="48"/>
  <c r="H550" i="48"/>
  <c r="H546" i="48"/>
  <c r="H542" i="48"/>
  <c r="H538" i="48"/>
  <c r="H523" i="48"/>
  <c r="H517" i="48"/>
  <c r="H507" i="48"/>
  <c r="H491" i="48"/>
  <c r="H681" i="48"/>
  <c r="H677" i="48"/>
  <c r="H673" i="48"/>
  <c r="H669" i="48"/>
  <c r="H665" i="48"/>
  <c r="H661" i="48"/>
  <c r="H657" i="48"/>
  <c r="H653" i="48"/>
  <c r="H649" i="48"/>
  <c r="H645" i="48"/>
  <c r="H641" i="48"/>
  <c r="H637" i="48"/>
  <c r="H633" i="48"/>
  <c r="H629" i="48"/>
  <c r="H625" i="48"/>
  <c r="H621" i="48"/>
  <c r="H617" i="48"/>
  <c r="H609" i="48"/>
  <c r="H605" i="48"/>
  <c r="H601" i="48"/>
  <c r="H597" i="48"/>
  <c r="H593" i="48"/>
  <c r="H589" i="48"/>
  <c r="H585" i="48"/>
  <c r="H581" i="48"/>
  <c r="H577" i="48"/>
  <c r="H573" i="48"/>
  <c r="H569" i="48"/>
  <c r="H565" i="48"/>
  <c r="H561" i="48"/>
  <c r="H557" i="48"/>
  <c r="H553" i="48"/>
  <c r="H549" i="48"/>
  <c r="H545" i="48"/>
  <c r="H541" i="48"/>
  <c r="H521" i="48"/>
  <c r="H511" i="48"/>
  <c r="H505" i="48"/>
  <c r="H495" i="48"/>
  <c r="H483" i="48"/>
  <c r="H475" i="48"/>
  <c r="H467" i="48"/>
  <c r="H459" i="48"/>
  <c r="H451" i="48"/>
  <c r="H443" i="48"/>
  <c r="H435" i="48"/>
  <c r="H427" i="48"/>
  <c r="H419" i="48"/>
  <c r="H411" i="48"/>
  <c r="H403" i="48"/>
  <c r="H395" i="48"/>
  <c r="H387" i="48"/>
  <c r="H379" i="48"/>
  <c r="H371" i="48"/>
  <c r="H363" i="48"/>
  <c r="H355" i="48"/>
  <c r="H347" i="48"/>
  <c r="H170" i="48"/>
  <c r="F13" i="49"/>
  <c r="G13" i="49"/>
  <c r="H13" i="49"/>
  <c r="J13" i="49"/>
  <c r="F10" i="49"/>
  <c r="G10" i="49"/>
  <c r="H10" i="49"/>
  <c r="J10" i="49"/>
  <c r="F16" i="49"/>
  <c r="G16" i="49"/>
  <c r="H16" i="49"/>
  <c r="J16" i="49"/>
  <c r="F19" i="49"/>
  <c r="G19" i="49"/>
  <c r="H19" i="49"/>
  <c r="J19" i="49"/>
  <c r="F42" i="49"/>
  <c r="G42" i="49"/>
  <c r="H42" i="49"/>
  <c r="J42" i="49"/>
  <c r="F11" i="49"/>
  <c r="G11" i="49"/>
  <c r="H11" i="49"/>
  <c r="J11" i="49"/>
  <c r="F34" i="49"/>
  <c r="G34" i="49"/>
  <c r="H34" i="49"/>
  <c r="J34" i="49"/>
  <c r="F40" i="49"/>
  <c r="G40" i="49"/>
  <c r="H40" i="49"/>
  <c r="J40" i="49"/>
  <c r="F43" i="49"/>
  <c r="G43" i="49"/>
  <c r="H43" i="49"/>
  <c r="J43" i="49"/>
  <c r="F47" i="49"/>
  <c r="G47" i="49"/>
  <c r="H47" i="49"/>
  <c r="J47" i="49"/>
  <c r="F51" i="49"/>
  <c r="G51" i="49"/>
  <c r="H51" i="49"/>
  <c r="J51" i="49"/>
  <c r="F55" i="49"/>
  <c r="G55" i="49"/>
  <c r="H55" i="49"/>
  <c r="J55" i="49"/>
  <c r="F59" i="49"/>
  <c r="G59" i="49"/>
  <c r="H59" i="49"/>
  <c r="J59" i="49"/>
  <c r="F63" i="49"/>
  <c r="G63" i="49"/>
  <c r="H63" i="49"/>
  <c r="J63" i="49"/>
  <c r="F67" i="49"/>
  <c r="G67" i="49"/>
  <c r="H67" i="49"/>
  <c r="J67" i="49"/>
  <c r="F71" i="49"/>
  <c r="G71" i="49"/>
  <c r="H71" i="49"/>
  <c r="J71" i="49"/>
  <c r="F75" i="49"/>
  <c r="G75" i="49"/>
  <c r="H75" i="49"/>
  <c r="J75" i="49"/>
  <c r="F79" i="49"/>
  <c r="G79" i="49"/>
  <c r="H79" i="49"/>
  <c r="J79" i="49"/>
  <c r="F83" i="49"/>
  <c r="G83" i="49"/>
  <c r="H83" i="49"/>
  <c r="J83" i="49"/>
  <c r="F87" i="49"/>
  <c r="G87" i="49"/>
  <c r="H87" i="49"/>
  <c r="J87" i="49"/>
  <c r="F91" i="49"/>
  <c r="G91" i="49"/>
  <c r="H91" i="49"/>
  <c r="J91" i="49"/>
  <c r="F95" i="49"/>
  <c r="G95" i="49"/>
  <c r="H95" i="49"/>
  <c r="J95" i="49"/>
  <c r="F99" i="49"/>
  <c r="G99" i="49"/>
  <c r="H99" i="49"/>
  <c r="J99" i="49"/>
  <c r="F103" i="49"/>
  <c r="G103" i="49"/>
  <c r="H103" i="49"/>
  <c r="J103" i="49"/>
  <c r="F443" i="49"/>
  <c r="G443" i="49"/>
  <c r="H443" i="49"/>
  <c r="J443" i="49"/>
  <c r="F459" i="49"/>
  <c r="G459" i="49"/>
  <c r="H459" i="49"/>
  <c r="J459" i="49"/>
  <c r="F475" i="49"/>
  <c r="G475" i="49"/>
  <c r="H475" i="49"/>
  <c r="J475" i="49"/>
  <c r="F491" i="49"/>
  <c r="G491" i="49"/>
  <c r="H491" i="49"/>
  <c r="J491" i="49"/>
  <c r="F498" i="49"/>
  <c r="G498" i="49"/>
  <c r="H498" i="49"/>
  <c r="J498" i="49"/>
  <c r="F502" i="49"/>
  <c r="G502" i="49"/>
  <c r="H502" i="49"/>
  <c r="J502" i="49"/>
  <c r="F506" i="49"/>
  <c r="G506" i="49"/>
  <c r="H506" i="49"/>
  <c r="J506" i="49"/>
  <c r="F510" i="49"/>
  <c r="G510" i="49"/>
  <c r="H510" i="49"/>
  <c r="J510" i="49"/>
  <c r="F514" i="49"/>
  <c r="G514" i="49"/>
  <c r="H514" i="49"/>
  <c r="J514" i="49"/>
  <c r="F518" i="49"/>
  <c r="G518" i="49"/>
  <c r="H518" i="49"/>
  <c r="J518" i="49"/>
  <c r="F522" i="49"/>
  <c r="G522" i="49"/>
  <c r="H522" i="49"/>
  <c r="J522" i="49"/>
  <c r="F526" i="49"/>
  <c r="G526" i="49"/>
  <c r="H526" i="49"/>
  <c r="J526" i="49"/>
  <c r="F530" i="49"/>
  <c r="G530" i="49"/>
  <c r="H530" i="49"/>
  <c r="J530" i="49"/>
  <c r="F534" i="49"/>
  <c r="G534" i="49"/>
  <c r="H534" i="49"/>
  <c r="J534" i="49"/>
  <c r="F538" i="49"/>
  <c r="G538" i="49"/>
  <c r="H538" i="49"/>
  <c r="J538" i="49"/>
  <c r="F542" i="49"/>
  <c r="G542" i="49"/>
  <c r="H542" i="49"/>
  <c r="J542" i="49"/>
  <c r="F546" i="49"/>
  <c r="G546" i="49"/>
  <c r="H546" i="49"/>
  <c r="J546" i="49"/>
  <c r="F550" i="49"/>
  <c r="G550" i="49"/>
  <c r="H550" i="49"/>
  <c r="J550" i="49"/>
  <c r="F554" i="49"/>
  <c r="G554" i="49"/>
  <c r="H554" i="49"/>
  <c r="J554" i="49"/>
  <c r="F558" i="49"/>
  <c r="G558" i="49"/>
  <c r="H558" i="49"/>
  <c r="J558" i="49"/>
  <c r="F568" i="49"/>
  <c r="G568" i="49"/>
  <c r="H568" i="49"/>
  <c r="J568" i="49"/>
  <c r="F584" i="49"/>
  <c r="G584" i="49"/>
  <c r="H584" i="49"/>
  <c r="J584" i="49"/>
  <c r="F600" i="49"/>
  <c r="G600" i="49"/>
  <c r="H600" i="49"/>
  <c r="J600" i="49"/>
  <c r="F616" i="49"/>
  <c r="G616" i="49"/>
  <c r="H616" i="49"/>
  <c r="J616" i="49"/>
  <c r="F632" i="49"/>
  <c r="G632" i="49"/>
  <c r="H632" i="49"/>
  <c r="J632" i="49"/>
  <c r="F14" i="49"/>
  <c r="G14" i="49"/>
  <c r="H14" i="49"/>
  <c r="J14" i="49"/>
  <c r="F22" i="49"/>
  <c r="G22" i="49"/>
  <c r="H22" i="49"/>
  <c r="J22" i="49"/>
  <c r="F30" i="49"/>
  <c r="G30" i="49"/>
  <c r="H30" i="49"/>
  <c r="J30" i="49"/>
  <c r="F38" i="49"/>
  <c r="G38" i="49"/>
  <c r="H38" i="49"/>
  <c r="J38" i="49"/>
  <c r="F44" i="49"/>
  <c r="G44" i="49"/>
  <c r="H44" i="49"/>
  <c r="J44" i="49"/>
  <c r="F48" i="49"/>
  <c r="G48" i="49"/>
  <c r="H48" i="49"/>
  <c r="J48" i="49"/>
  <c r="F52" i="49"/>
  <c r="G52" i="49"/>
  <c r="H52" i="49"/>
  <c r="J52" i="49"/>
  <c r="F56" i="49"/>
  <c r="G56" i="49"/>
  <c r="H56" i="49"/>
  <c r="J56" i="49"/>
  <c r="F60" i="49"/>
  <c r="G60" i="49"/>
  <c r="H60" i="49"/>
  <c r="J60" i="49"/>
  <c r="F64" i="49"/>
  <c r="G64" i="49"/>
  <c r="H64" i="49"/>
  <c r="J64" i="49"/>
  <c r="F68" i="49"/>
  <c r="G68" i="49"/>
  <c r="H68" i="49"/>
  <c r="J68" i="49"/>
  <c r="F72" i="49"/>
  <c r="G72" i="49"/>
  <c r="H72" i="49"/>
  <c r="J72" i="49"/>
  <c r="F76" i="49"/>
  <c r="G76" i="49"/>
  <c r="H76" i="49"/>
  <c r="J76" i="49"/>
  <c r="F80" i="49"/>
  <c r="G80" i="49"/>
  <c r="H80" i="49"/>
  <c r="J80" i="49"/>
  <c r="F84" i="49"/>
  <c r="G84" i="49"/>
  <c r="H84" i="49"/>
  <c r="J84" i="49"/>
  <c r="F88" i="49"/>
  <c r="G88" i="49"/>
  <c r="H88" i="49"/>
  <c r="J88" i="49"/>
  <c r="F92" i="49"/>
  <c r="G92" i="49"/>
  <c r="H92" i="49"/>
  <c r="J92" i="49"/>
  <c r="F96" i="49"/>
  <c r="G96" i="49"/>
  <c r="H96" i="49"/>
  <c r="J96" i="49"/>
  <c r="F100" i="49"/>
  <c r="G100" i="49"/>
  <c r="H100" i="49"/>
  <c r="J100" i="49"/>
  <c r="F104" i="49"/>
  <c r="G104" i="49"/>
  <c r="H104" i="49"/>
  <c r="J104" i="49"/>
  <c r="G674" i="49"/>
  <c r="H674" i="49"/>
  <c r="J674" i="49"/>
  <c r="F674" i="49"/>
  <c r="G678" i="49"/>
  <c r="H678" i="49"/>
  <c r="J678" i="49"/>
  <c r="F678" i="49"/>
  <c r="G682" i="49"/>
  <c r="H682" i="49"/>
  <c r="J682" i="49"/>
  <c r="F682" i="49"/>
  <c r="F12" i="49"/>
  <c r="G12" i="49"/>
  <c r="H12" i="49"/>
  <c r="J12" i="49"/>
  <c r="F20" i="49"/>
  <c r="G20" i="49"/>
  <c r="H20" i="49"/>
  <c r="J20" i="49"/>
  <c r="F28" i="49"/>
  <c r="G28" i="49"/>
  <c r="H28" i="49"/>
  <c r="J28" i="49"/>
  <c r="F36" i="49"/>
  <c r="G36" i="49"/>
  <c r="H36" i="49"/>
  <c r="J36" i="49"/>
  <c r="F45" i="49"/>
  <c r="G45" i="49"/>
  <c r="H45" i="49"/>
  <c r="J45" i="49"/>
  <c r="F49" i="49"/>
  <c r="G49" i="49"/>
  <c r="H49" i="49"/>
  <c r="J49" i="49"/>
  <c r="F53" i="49"/>
  <c r="G53" i="49"/>
  <c r="H53" i="49"/>
  <c r="J53" i="49"/>
  <c r="F57" i="49"/>
  <c r="G57" i="49"/>
  <c r="H57" i="49"/>
  <c r="J57" i="49"/>
  <c r="F61" i="49"/>
  <c r="G61" i="49"/>
  <c r="H61" i="49"/>
  <c r="J61" i="49"/>
  <c r="F65" i="49"/>
  <c r="G65" i="49"/>
  <c r="H65" i="49"/>
  <c r="J65" i="49"/>
  <c r="F69" i="49"/>
  <c r="G69" i="49"/>
  <c r="H69" i="49"/>
  <c r="J69" i="49"/>
  <c r="F73" i="49"/>
  <c r="G73" i="49"/>
  <c r="H73" i="49"/>
  <c r="J73" i="49"/>
  <c r="F77" i="49"/>
  <c r="G77" i="49"/>
  <c r="H77" i="49"/>
  <c r="J77" i="49"/>
  <c r="F81" i="49"/>
  <c r="G81" i="49"/>
  <c r="H81" i="49"/>
  <c r="J81" i="49"/>
  <c r="F85" i="49"/>
  <c r="G85" i="49"/>
  <c r="H85" i="49"/>
  <c r="J85" i="49"/>
  <c r="F89" i="49"/>
  <c r="G89" i="49"/>
  <c r="H89" i="49"/>
  <c r="J89" i="49"/>
  <c r="F93" i="49"/>
  <c r="G93" i="49"/>
  <c r="H93" i="49"/>
  <c r="J93" i="49"/>
  <c r="F97" i="49"/>
  <c r="G97" i="49"/>
  <c r="H97" i="49"/>
  <c r="J97" i="49"/>
  <c r="F101" i="49"/>
  <c r="G101" i="49"/>
  <c r="H101" i="49"/>
  <c r="J101" i="49"/>
  <c r="F451" i="49"/>
  <c r="G451" i="49"/>
  <c r="H451" i="49"/>
  <c r="J451" i="49"/>
  <c r="F467" i="49"/>
  <c r="G467" i="49"/>
  <c r="H467" i="49"/>
  <c r="J467" i="49"/>
  <c r="F483" i="49"/>
  <c r="G483" i="49"/>
  <c r="H483" i="49"/>
  <c r="J483" i="49"/>
  <c r="F496" i="49"/>
  <c r="G496" i="49"/>
  <c r="H496" i="49"/>
  <c r="J496" i="49"/>
  <c r="F500" i="49"/>
  <c r="G500" i="49"/>
  <c r="H500" i="49"/>
  <c r="J500" i="49"/>
  <c r="F504" i="49"/>
  <c r="G504" i="49"/>
  <c r="H504" i="49"/>
  <c r="J504" i="49"/>
  <c r="F508" i="49"/>
  <c r="G508" i="49"/>
  <c r="H508" i="49"/>
  <c r="J508" i="49"/>
  <c r="F512" i="49"/>
  <c r="G512" i="49"/>
  <c r="H512" i="49"/>
  <c r="J512" i="49"/>
  <c r="F516" i="49"/>
  <c r="G516" i="49"/>
  <c r="H516" i="49"/>
  <c r="J516" i="49"/>
  <c r="F520" i="49"/>
  <c r="G520" i="49"/>
  <c r="H520" i="49"/>
  <c r="J520" i="49"/>
  <c r="F524" i="49"/>
  <c r="G524" i="49"/>
  <c r="H524" i="49"/>
  <c r="J524" i="49"/>
  <c r="F528" i="49"/>
  <c r="G528" i="49"/>
  <c r="H528" i="49"/>
  <c r="J528" i="49"/>
  <c r="F532" i="49"/>
  <c r="G532" i="49"/>
  <c r="H532" i="49"/>
  <c r="J532" i="49"/>
  <c r="F536" i="49"/>
  <c r="G536" i="49"/>
  <c r="H536" i="49"/>
  <c r="J536" i="49"/>
  <c r="F540" i="49"/>
  <c r="G540" i="49"/>
  <c r="H540" i="49"/>
  <c r="J540" i="49"/>
  <c r="F544" i="49"/>
  <c r="G544" i="49"/>
  <c r="H544" i="49"/>
  <c r="J544" i="49"/>
  <c r="F548" i="49"/>
  <c r="G548" i="49"/>
  <c r="H548" i="49"/>
  <c r="J548" i="49"/>
  <c r="F552" i="49"/>
  <c r="G552" i="49"/>
  <c r="H552" i="49"/>
  <c r="J552" i="49"/>
  <c r="F556" i="49"/>
  <c r="G556" i="49"/>
  <c r="H556" i="49"/>
  <c r="J556" i="49"/>
  <c r="F560" i="49"/>
  <c r="G560" i="49"/>
  <c r="H560" i="49"/>
  <c r="J560" i="49"/>
  <c r="F576" i="49"/>
  <c r="G576" i="49"/>
  <c r="H576" i="49"/>
  <c r="J576" i="49"/>
  <c r="F592" i="49"/>
  <c r="G592" i="49"/>
  <c r="H592" i="49"/>
  <c r="J592" i="49"/>
  <c r="F608" i="49"/>
  <c r="G608" i="49"/>
  <c r="H608" i="49"/>
  <c r="J608" i="49"/>
  <c r="F624" i="49"/>
  <c r="G624" i="49"/>
  <c r="H624" i="49"/>
  <c r="J624" i="49"/>
  <c r="F640" i="49"/>
  <c r="G640" i="49"/>
  <c r="H640" i="49"/>
  <c r="J640" i="49"/>
  <c r="F46" i="49"/>
  <c r="G46" i="49"/>
  <c r="H46" i="49"/>
  <c r="J46" i="49"/>
  <c r="F50" i="49"/>
  <c r="G50" i="49"/>
  <c r="H50" i="49"/>
  <c r="J50" i="49"/>
  <c r="F54" i="49"/>
  <c r="G54" i="49"/>
  <c r="H54" i="49"/>
  <c r="J54" i="49"/>
  <c r="F58" i="49"/>
  <c r="G58" i="49"/>
  <c r="H58" i="49"/>
  <c r="J58" i="49"/>
  <c r="F62" i="49"/>
  <c r="G62" i="49"/>
  <c r="H62" i="49"/>
  <c r="J62" i="49"/>
  <c r="F66" i="49"/>
  <c r="G66" i="49"/>
  <c r="H66" i="49"/>
  <c r="J66" i="49"/>
  <c r="F70" i="49"/>
  <c r="G70" i="49"/>
  <c r="H70" i="49"/>
  <c r="J70" i="49"/>
  <c r="F74" i="49"/>
  <c r="G74" i="49"/>
  <c r="H74" i="49"/>
  <c r="J74" i="49"/>
  <c r="F78" i="49"/>
  <c r="G78" i="49"/>
  <c r="H78" i="49"/>
  <c r="J78" i="49"/>
  <c r="F82" i="49"/>
  <c r="G82" i="49"/>
  <c r="H82" i="49"/>
  <c r="J82" i="49"/>
  <c r="F86" i="49"/>
  <c r="G86" i="49"/>
  <c r="H86" i="49"/>
  <c r="J86" i="49"/>
  <c r="F90" i="49"/>
  <c r="G90" i="49"/>
  <c r="H90" i="49"/>
  <c r="J90" i="49"/>
  <c r="F94" i="49"/>
  <c r="G94" i="49"/>
  <c r="H94" i="49"/>
  <c r="J94" i="49"/>
  <c r="F98" i="49"/>
  <c r="G98" i="49"/>
  <c r="H98" i="49"/>
  <c r="J98" i="49"/>
  <c r="F102" i="49"/>
  <c r="G102" i="49"/>
  <c r="H102" i="49"/>
  <c r="J102" i="49"/>
  <c r="F676" i="49"/>
  <c r="G447" i="49"/>
  <c r="H447" i="49"/>
  <c r="J447" i="49"/>
  <c r="G455" i="49"/>
  <c r="H455" i="49"/>
  <c r="J455" i="49"/>
  <c r="G463" i="49"/>
  <c r="H463" i="49"/>
  <c r="J463" i="49"/>
  <c r="G471" i="49"/>
  <c r="H471" i="49"/>
  <c r="J471" i="49"/>
  <c r="G479" i="49"/>
  <c r="H479" i="49"/>
  <c r="J479" i="49"/>
  <c r="G487" i="49"/>
  <c r="H487" i="49"/>
  <c r="J487" i="49"/>
  <c r="G495" i="49"/>
  <c r="H495" i="49"/>
  <c r="J495" i="49"/>
  <c r="G497" i="49"/>
  <c r="H497" i="49"/>
  <c r="J497" i="49"/>
  <c r="G499" i="49"/>
  <c r="H499" i="49"/>
  <c r="J499" i="49"/>
  <c r="G501" i="49"/>
  <c r="H501" i="49"/>
  <c r="J501" i="49"/>
  <c r="G503" i="49"/>
  <c r="H503" i="49"/>
  <c r="J503" i="49"/>
  <c r="G505" i="49"/>
  <c r="H505" i="49"/>
  <c r="J505" i="49"/>
  <c r="G507" i="49"/>
  <c r="H507" i="49"/>
  <c r="J507" i="49"/>
  <c r="G509" i="49"/>
  <c r="H509" i="49"/>
  <c r="J509" i="49"/>
  <c r="G511" i="49"/>
  <c r="H511" i="49"/>
  <c r="J511" i="49"/>
  <c r="G513" i="49"/>
  <c r="H513" i="49"/>
  <c r="J513" i="49"/>
  <c r="G515" i="49"/>
  <c r="H515" i="49"/>
  <c r="J515" i="49"/>
  <c r="G517" i="49"/>
  <c r="H517" i="49"/>
  <c r="J517" i="49"/>
  <c r="G519" i="49"/>
  <c r="H519" i="49"/>
  <c r="J519" i="49"/>
  <c r="G521" i="49"/>
  <c r="H521" i="49"/>
  <c r="J521" i="49"/>
  <c r="G523" i="49"/>
  <c r="H523" i="49"/>
  <c r="J523" i="49"/>
  <c r="G525" i="49"/>
  <c r="H525" i="49"/>
  <c r="J525" i="49"/>
  <c r="G527" i="49"/>
  <c r="H527" i="49"/>
  <c r="J527" i="49"/>
  <c r="G529" i="49"/>
  <c r="H529" i="49"/>
  <c r="J529" i="49"/>
  <c r="G531" i="49"/>
  <c r="H531" i="49"/>
  <c r="J531" i="49"/>
  <c r="G533" i="49"/>
  <c r="H533" i="49"/>
  <c r="J533" i="49"/>
  <c r="G535" i="49"/>
  <c r="H535" i="49"/>
  <c r="J535" i="49"/>
  <c r="G537" i="49"/>
  <c r="H537" i="49"/>
  <c r="J537" i="49"/>
  <c r="G539" i="49"/>
  <c r="H539" i="49"/>
  <c r="J539" i="49"/>
  <c r="G541" i="49"/>
  <c r="H541" i="49"/>
  <c r="J541" i="49"/>
  <c r="G543" i="49"/>
  <c r="H543" i="49"/>
  <c r="J543" i="49"/>
  <c r="G545" i="49"/>
  <c r="H545" i="49"/>
  <c r="J545" i="49"/>
  <c r="G547" i="49"/>
  <c r="H547" i="49"/>
  <c r="J547" i="49"/>
  <c r="G549" i="49"/>
  <c r="H549" i="49"/>
  <c r="J549" i="49"/>
  <c r="G551" i="49"/>
  <c r="H551" i="49"/>
  <c r="J551" i="49"/>
  <c r="G553" i="49"/>
  <c r="H553" i="49"/>
  <c r="J553" i="49"/>
  <c r="G555" i="49"/>
  <c r="H555" i="49"/>
  <c r="J555" i="49"/>
  <c r="G557" i="49"/>
  <c r="H557" i="49"/>
  <c r="J557" i="49"/>
  <c r="G559" i="49"/>
  <c r="H559" i="49"/>
  <c r="J559" i="49"/>
  <c r="G564" i="49"/>
  <c r="H564" i="49"/>
  <c r="J564" i="49"/>
  <c r="G572" i="49"/>
  <c r="H572" i="49"/>
  <c r="J572" i="49"/>
  <c r="G580" i="49"/>
  <c r="H580" i="49"/>
  <c r="J580" i="49"/>
  <c r="G588" i="49"/>
  <c r="H588" i="49"/>
  <c r="J588" i="49"/>
  <c r="G596" i="49"/>
  <c r="H596" i="49"/>
  <c r="J596" i="49"/>
  <c r="G604" i="49"/>
  <c r="H604" i="49"/>
  <c r="J604" i="49"/>
  <c r="G612" i="49"/>
  <c r="H612" i="49"/>
  <c r="J612" i="49"/>
  <c r="G620" i="49"/>
  <c r="H620" i="49"/>
  <c r="J620" i="49"/>
  <c r="G628" i="49"/>
  <c r="H628" i="49"/>
  <c r="J628" i="49"/>
  <c r="G636" i="49"/>
  <c r="H636" i="49"/>
  <c r="J636" i="49"/>
  <c r="G8" i="49"/>
  <c r="H8" i="49"/>
  <c r="H8" i="48"/>
  <c r="I8" i="48"/>
  <c r="J8" i="48"/>
  <c r="L8" i="48"/>
  <c r="F105" i="49"/>
  <c r="G105" i="49"/>
  <c r="H105" i="49"/>
  <c r="J105" i="49"/>
  <c r="F107" i="49"/>
  <c r="G107" i="49"/>
  <c r="H107" i="49"/>
  <c r="J107" i="49"/>
  <c r="F109" i="49"/>
  <c r="G109" i="49"/>
  <c r="H109" i="49"/>
  <c r="J109" i="49"/>
  <c r="F111" i="49"/>
  <c r="G111" i="49"/>
  <c r="H111" i="49"/>
  <c r="J111" i="49"/>
  <c r="F113" i="49"/>
  <c r="G113" i="49"/>
  <c r="H113" i="49"/>
  <c r="J113" i="49"/>
  <c r="F115" i="49"/>
  <c r="G115" i="49"/>
  <c r="H115" i="49"/>
  <c r="J115" i="49"/>
  <c r="F117" i="49"/>
  <c r="G117" i="49"/>
  <c r="H117" i="49"/>
  <c r="J117" i="49"/>
  <c r="F119" i="49"/>
  <c r="G119" i="49"/>
  <c r="H119" i="49"/>
  <c r="J119" i="49"/>
  <c r="F121" i="49"/>
  <c r="G121" i="49"/>
  <c r="H121" i="49"/>
  <c r="J121" i="49"/>
  <c r="F123" i="49"/>
  <c r="G123" i="49"/>
  <c r="H123" i="49"/>
  <c r="J123" i="49"/>
  <c r="F125" i="49"/>
  <c r="G125" i="49"/>
  <c r="H125" i="49"/>
  <c r="J125" i="49"/>
  <c r="F127" i="49"/>
  <c r="G127" i="49"/>
  <c r="H127" i="49"/>
  <c r="J127" i="49"/>
  <c r="F129" i="49"/>
  <c r="G129" i="49"/>
  <c r="H129" i="49"/>
  <c r="J129" i="49"/>
  <c r="F131" i="49"/>
  <c r="G131" i="49"/>
  <c r="H131" i="49"/>
  <c r="J131" i="49"/>
  <c r="F133" i="49"/>
  <c r="G133" i="49"/>
  <c r="H133" i="49"/>
  <c r="J133" i="49"/>
  <c r="F135" i="49"/>
  <c r="G135" i="49"/>
  <c r="H135" i="49"/>
  <c r="J135" i="49"/>
  <c r="F137" i="49"/>
  <c r="G137" i="49"/>
  <c r="H137" i="49"/>
  <c r="J137" i="49"/>
  <c r="F139" i="49"/>
  <c r="G139" i="49"/>
  <c r="H139" i="49"/>
  <c r="J139" i="49"/>
  <c r="F141" i="49"/>
  <c r="G141" i="49"/>
  <c r="H141" i="49"/>
  <c r="J141" i="49"/>
  <c r="F143" i="49"/>
  <c r="G143" i="49"/>
  <c r="H143" i="49"/>
  <c r="J143" i="49"/>
  <c r="F145" i="49"/>
  <c r="G145" i="49"/>
  <c r="H145" i="49"/>
  <c r="J145" i="49"/>
  <c r="F147" i="49"/>
  <c r="G147" i="49"/>
  <c r="H147" i="49"/>
  <c r="J147" i="49"/>
  <c r="F149" i="49"/>
  <c r="G149" i="49"/>
  <c r="H149" i="49"/>
  <c r="J149" i="49"/>
  <c r="F151" i="49"/>
  <c r="G151" i="49"/>
  <c r="H151" i="49"/>
  <c r="J151" i="49"/>
  <c r="F153" i="49"/>
  <c r="G153" i="49"/>
  <c r="H153" i="49"/>
  <c r="J153" i="49"/>
  <c r="F155" i="49"/>
  <c r="G155" i="49"/>
  <c r="H155" i="49"/>
  <c r="J155" i="49"/>
  <c r="F157" i="49"/>
  <c r="G157" i="49"/>
  <c r="H157" i="49"/>
  <c r="J157" i="49"/>
  <c r="F159" i="49"/>
  <c r="G159" i="49"/>
  <c r="H159" i="49"/>
  <c r="J159" i="49"/>
  <c r="F161" i="49"/>
  <c r="G161" i="49"/>
  <c r="H161" i="49"/>
  <c r="J161" i="49"/>
  <c r="F163" i="49"/>
  <c r="G163" i="49"/>
  <c r="H163" i="49"/>
  <c r="J163" i="49"/>
  <c r="F165" i="49"/>
  <c r="G165" i="49"/>
  <c r="H165" i="49"/>
  <c r="J165" i="49"/>
  <c r="F167" i="49"/>
  <c r="G167" i="49"/>
  <c r="H167" i="49"/>
  <c r="J167" i="49"/>
  <c r="F169" i="49"/>
  <c r="G169" i="49"/>
  <c r="H169" i="49"/>
  <c r="J169" i="49"/>
  <c r="F106" i="49"/>
  <c r="G106" i="49"/>
  <c r="H106" i="49"/>
  <c r="J106" i="49"/>
  <c r="F108" i="49"/>
  <c r="G108" i="49"/>
  <c r="H108" i="49"/>
  <c r="J108" i="49"/>
  <c r="F110" i="49"/>
  <c r="G110" i="49"/>
  <c r="H110" i="49"/>
  <c r="J110" i="49"/>
  <c r="F112" i="49"/>
  <c r="G112" i="49"/>
  <c r="H112" i="49"/>
  <c r="J112" i="49"/>
  <c r="F114" i="49"/>
  <c r="G114" i="49"/>
  <c r="H114" i="49"/>
  <c r="J114" i="49"/>
  <c r="F116" i="49"/>
  <c r="G116" i="49"/>
  <c r="H116" i="49"/>
  <c r="J116" i="49"/>
  <c r="F118" i="49"/>
  <c r="G118" i="49"/>
  <c r="H118" i="49"/>
  <c r="J118" i="49"/>
  <c r="F120" i="49"/>
  <c r="G120" i="49"/>
  <c r="H120" i="49"/>
  <c r="J120" i="49"/>
  <c r="F122" i="49"/>
  <c r="G122" i="49"/>
  <c r="H122" i="49"/>
  <c r="J122" i="49"/>
  <c r="F124" i="49"/>
  <c r="G124" i="49"/>
  <c r="H124" i="49"/>
  <c r="J124" i="49"/>
  <c r="F126" i="49"/>
  <c r="G126" i="49"/>
  <c r="H126" i="49"/>
  <c r="J126" i="49"/>
  <c r="F128" i="49"/>
  <c r="G128" i="49"/>
  <c r="H128" i="49"/>
  <c r="J128" i="49"/>
  <c r="F130" i="49"/>
  <c r="G130" i="49"/>
  <c r="H130" i="49"/>
  <c r="J130" i="49"/>
  <c r="F132" i="49"/>
  <c r="G132" i="49"/>
  <c r="H132" i="49"/>
  <c r="J132" i="49"/>
  <c r="F134" i="49"/>
  <c r="G134" i="49"/>
  <c r="H134" i="49"/>
  <c r="J134" i="49"/>
  <c r="F136" i="49"/>
  <c r="G136" i="49"/>
  <c r="H136" i="49"/>
  <c r="J136" i="49"/>
  <c r="F138" i="49"/>
  <c r="G138" i="49"/>
  <c r="H138" i="49"/>
  <c r="J138" i="49"/>
  <c r="F140" i="49"/>
  <c r="G140" i="49"/>
  <c r="H140" i="49"/>
  <c r="J140" i="49"/>
  <c r="F142" i="49"/>
  <c r="G142" i="49"/>
  <c r="H142" i="49"/>
  <c r="J142" i="49"/>
  <c r="F144" i="49"/>
  <c r="G144" i="49"/>
  <c r="H144" i="49"/>
  <c r="J144" i="49"/>
  <c r="F146" i="49"/>
  <c r="G146" i="49"/>
  <c r="H146" i="49"/>
  <c r="J146" i="49"/>
  <c r="F148" i="49"/>
  <c r="G148" i="49"/>
  <c r="H148" i="49"/>
  <c r="J148" i="49"/>
  <c r="F150" i="49"/>
  <c r="G150" i="49"/>
  <c r="H150" i="49"/>
  <c r="J150" i="49"/>
  <c r="F152" i="49"/>
  <c r="G152" i="49"/>
  <c r="H152" i="49"/>
  <c r="J152" i="49"/>
  <c r="F154" i="49"/>
  <c r="G154" i="49"/>
  <c r="H154" i="49"/>
  <c r="J154" i="49"/>
  <c r="F156" i="49"/>
  <c r="G156" i="49"/>
  <c r="H156" i="49"/>
  <c r="J156" i="49"/>
  <c r="F158" i="49"/>
  <c r="G158" i="49"/>
  <c r="H158" i="49"/>
  <c r="J158" i="49"/>
  <c r="F160" i="49"/>
  <c r="G160" i="49"/>
  <c r="H160" i="49"/>
  <c r="J160" i="49"/>
  <c r="F162" i="49"/>
  <c r="G162" i="49"/>
  <c r="H162" i="49"/>
  <c r="J162" i="49"/>
  <c r="F164" i="49"/>
  <c r="G164" i="49"/>
  <c r="H164" i="49"/>
  <c r="J164" i="49"/>
  <c r="F166" i="49"/>
  <c r="G166" i="49"/>
  <c r="H166" i="49"/>
  <c r="J166" i="49"/>
  <c r="F168" i="49"/>
  <c r="G168" i="49"/>
  <c r="H168" i="49"/>
  <c r="J168" i="49"/>
  <c r="G170" i="49"/>
  <c r="H170" i="49"/>
  <c r="J170" i="49"/>
  <c r="F170" i="49"/>
  <c r="G172" i="49"/>
  <c r="H172" i="49"/>
  <c r="J172" i="49"/>
  <c r="F172" i="49"/>
  <c r="G174" i="49"/>
  <c r="H174" i="49"/>
  <c r="J174" i="49"/>
  <c r="F174" i="49"/>
  <c r="G176" i="49"/>
  <c r="H176" i="49"/>
  <c r="J176" i="49"/>
  <c r="F176" i="49"/>
  <c r="G178" i="49"/>
  <c r="H178" i="49"/>
  <c r="J178" i="49"/>
  <c r="F178" i="49"/>
  <c r="G180" i="49"/>
  <c r="H180" i="49"/>
  <c r="J180" i="49"/>
  <c r="F180" i="49"/>
  <c r="G182" i="49"/>
  <c r="H182" i="49"/>
  <c r="J182" i="49"/>
  <c r="F182" i="49"/>
  <c r="G184" i="49"/>
  <c r="H184" i="49"/>
  <c r="J184" i="49"/>
  <c r="F184" i="49"/>
  <c r="G186" i="49"/>
  <c r="H186" i="49"/>
  <c r="J186" i="49"/>
  <c r="F186" i="49"/>
  <c r="G188" i="49"/>
  <c r="H188" i="49"/>
  <c r="J188" i="49"/>
  <c r="F188" i="49"/>
  <c r="G190" i="49"/>
  <c r="H190" i="49"/>
  <c r="J190" i="49"/>
  <c r="F190" i="49"/>
  <c r="G192" i="49"/>
  <c r="H192" i="49"/>
  <c r="J192" i="49"/>
  <c r="F192" i="49"/>
  <c r="G194" i="49"/>
  <c r="H194" i="49"/>
  <c r="J194" i="49"/>
  <c r="F194" i="49"/>
  <c r="G196" i="49"/>
  <c r="H196" i="49"/>
  <c r="J196" i="49"/>
  <c r="F196" i="49"/>
  <c r="G198" i="49"/>
  <c r="H198" i="49"/>
  <c r="J198" i="49"/>
  <c r="F198" i="49"/>
  <c r="G200" i="49"/>
  <c r="H200" i="49"/>
  <c r="J200" i="49"/>
  <c r="F200" i="49"/>
  <c r="G202" i="49"/>
  <c r="H202" i="49"/>
  <c r="J202" i="49"/>
  <c r="F202" i="49"/>
  <c r="G204" i="49"/>
  <c r="H204" i="49"/>
  <c r="J204" i="49"/>
  <c r="F204" i="49"/>
  <c r="G206" i="49"/>
  <c r="H206" i="49"/>
  <c r="J206" i="49"/>
  <c r="F206" i="49"/>
  <c r="G208" i="49"/>
  <c r="H208" i="49"/>
  <c r="J208" i="49"/>
  <c r="F208" i="49"/>
  <c r="G210" i="49"/>
  <c r="H210" i="49"/>
  <c r="J210" i="49"/>
  <c r="F210" i="49"/>
  <c r="G212" i="49"/>
  <c r="H212" i="49"/>
  <c r="J212" i="49"/>
  <c r="F212" i="49"/>
  <c r="G214" i="49"/>
  <c r="H214" i="49"/>
  <c r="J214" i="49"/>
  <c r="F214" i="49"/>
  <c r="G216" i="49"/>
  <c r="H216" i="49"/>
  <c r="J216" i="49"/>
  <c r="F216" i="49"/>
  <c r="G218" i="49"/>
  <c r="H218" i="49"/>
  <c r="J218" i="49"/>
  <c r="F218" i="49"/>
  <c r="G220" i="49"/>
  <c r="H220" i="49"/>
  <c r="J220" i="49"/>
  <c r="F220" i="49"/>
  <c r="G222" i="49"/>
  <c r="H222" i="49"/>
  <c r="J222" i="49"/>
  <c r="F222" i="49"/>
  <c r="G224" i="49"/>
  <c r="H224" i="49"/>
  <c r="J224" i="49"/>
  <c r="F224" i="49"/>
  <c r="G226" i="49"/>
  <c r="H226" i="49"/>
  <c r="J226" i="49"/>
  <c r="F226" i="49"/>
  <c r="G228" i="49"/>
  <c r="H228" i="49"/>
  <c r="J228" i="49"/>
  <c r="F228" i="49"/>
  <c r="G230" i="49"/>
  <c r="H230" i="49"/>
  <c r="J230" i="49"/>
  <c r="F230" i="49"/>
  <c r="G232" i="49"/>
  <c r="H232" i="49"/>
  <c r="J232" i="49"/>
  <c r="F232" i="49"/>
  <c r="G234" i="49"/>
  <c r="H234" i="49"/>
  <c r="J234" i="49"/>
  <c r="F234" i="49"/>
  <c r="G236" i="49"/>
  <c r="H236" i="49"/>
  <c r="J236" i="49"/>
  <c r="F236" i="49"/>
  <c r="G238" i="49"/>
  <c r="H238" i="49"/>
  <c r="J238" i="49"/>
  <c r="F238" i="49"/>
  <c r="G240" i="49"/>
  <c r="H240" i="49"/>
  <c r="J240" i="49"/>
  <c r="F240" i="49"/>
  <c r="G242" i="49"/>
  <c r="H242" i="49"/>
  <c r="J242" i="49"/>
  <c r="F242" i="49"/>
  <c r="G244" i="49"/>
  <c r="H244" i="49"/>
  <c r="J244" i="49"/>
  <c r="F244" i="49"/>
  <c r="G246" i="49"/>
  <c r="H246" i="49"/>
  <c r="J246" i="49"/>
  <c r="F246" i="49"/>
  <c r="G248" i="49"/>
  <c r="H248" i="49"/>
  <c r="J248" i="49"/>
  <c r="F248" i="49"/>
  <c r="G250" i="49"/>
  <c r="H250" i="49"/>
  <c r="J250" i="49"/>
  <c r="F250" i="49"/>
  <c r="G252" i="49"/>
  <c r="H252" i="49"/>
  <c r="J252" i="49"/>
  <c r="F252" i="49"/>
  <c r="G254" i="49"/>
  <c r="H254" i="49"/>
  <c r="J254" i="49"/>
  <c r="F254" i="49"/>
  <c r="G256" i="49"/>
  <c r="H256" i="49"/>
  <c r="J256" i="49"/>
  <c r="F256" i="49"/>
  <c r="G258" i="49"/>
  <c r="H258" i="49"/>
  <c r="J258" i="49"/>
  <c r="F258" i="49"/>
  <c r="G260" i="49"/>
  <c r="H260" i="49"/>
  <c r="J260" i="49"/>
  <c r="F260" i="49"/>
  <c r="G262" i="49"/>
  <c r="H262" i="49"/>
  <c r="J262" i="49"/>
  <c r="F262" i="49"/>
  <c r="G264" i="49"/>
  <c r="H264" i="49"/>
  <c r="J264" i="49"/>
  <c r="F264" i="49"/>
  <c r="G266" i="49"/>
  <c r="H266" i="49"/>
  <c r="J266" i="49"/>
  <c r="F266" i="49"/>
  <c r="G268" i="49"/>
  <c r="H268" i="49"/>
  <c r="J268" i="49"/>
  <c r="F268" i="49"/>
  <c r="G270" i="49"/>
  <c r="H270" i="49"/>
  <c r="J270" i="49"/>
  <c r="F270" i="49"/>
  <c r="G272" i="49"/>
  <c r="H272" i="49"/>
  <c r="J272" i="49"/>
  <c r="F272" i="49"/>
  <c r="G274" i="49"/>
  <c r="H274" i="49"/>
  <c r="J274" i="49"/>
  <c r="F274" i="49"/>
  <c r="G276" i="49"/>
  <c r="H276" i="49"/>
  <c r="J276" i="49"/>
  <c r="F276" i="49"/>
  <c r="G278" i="49"/>
  <c r="H278" i="49"/>
  <c r="J278" i="49"/>
  <c r="F278" i="49"/>
  <c r="G280" i="49"/>
  <c r="H280" i="49"/>
  <c r="J280" i="49"/>
  <c r="F280" i="49"/>
  <c r="G282" i="49"/>
  <c r="H282" i="49"/>
  <c r="J282" i="49"/>
  <c r="F282" i="49"/>
  <c r="G284" i="49"/>
  <c r="H284" i="49"/>
  <c r="J284" i="49"/>
  <c r="F284" i="49"/>
  <c r="G286" i="49"/>
  <c r="H286" i="49"/>
  <c r="J286" i="49"/>
  <c r="F286" i="49"/>
  <c r="G288" i="49"/>
  <c r="H288" i="49"/>
  <c r="J288" i="49"/>
  <c r="F288" i="49"/>
  <c r="G290" i="49"/>
  <c r="H290" i="49"/>
  <c r="J290" i="49"/>
  <c r="F290" i="49"/>
  <c r="G292" i="49"/>
  <c r="H292" i="49"/>
  <c r="J292" i="49"/>
  <c r="F292" i="49"/>
  <c r="G294" i="49"/>
  <c r="H294" i="49"/>
  <c r="J294" i="49"/>
  <c r="F294" i="49"/>
  <c r="G296" i="49"/>
  <c r="H296" i="49"/>
  <c r="J296" i="49"/>
  <c r="F296" i="49"/>
  <c r="G298" i="49"/>
  <c r="H298" i="49"/>
  <c r="J298" i="49"/>
  <c r="F298" i="49"/>
  <c r="G300" i="49"/>
  <c r="H300" i="49"/>
  <c r="J300" i="49"/>
  <c r="F300" i="49"/>
  <c r="G302" i="49"/>
  <c r="H302" i="49"/>
  <c r="J302" i="49"/>
  <c r="F302" i="49"/>
  <c r="G304" i="49"/>
  <c r="H304" i="49"/>
  <c r="J304" i="49"/>
  <c r="F304" i="49"/>
  <c r="G306" i="49"/>
  <c r="H306" i="49"/>
  <c r="J306" i="49"/>
  <c r="F306" i="49"/>
  <c r="G308" i="49"/>
  <c r="H308" i="49"/>
  <c r="J308" i="49"/>
  <c r="F308" i="49"/>
  <c r="G310" i="49"/>
  <c r="H310" i="49"/>
  <c r="J310" i="49"/>
  <c r="F310" i="49"/>
  <c r="G312" i="49"/>
  <c r="H312" i="49"/>
  <c r="J312" i="49"/>
  <c r="F312" i="49"/>
  <c r="G314" i="49"/>
  <c r="H314" i="49"/>
  <c r="J314" i="49"/>
  <c r="F314" i="49"/>
  <c r="G316" i="49"/>
  <c r="H316" i="49"/>
  <c r="J316" i="49"/>
  <c r="F316" i="49"/>
  <c r="G318" i="49"/>
  <c r="H318" i="49"/>
  <c r="J318" i="49"/>
  <c r="F318" i="49"/>
  <c r="G320" i="49"/>
  <c r="H320" i="49"/>
  <c r="J320" i="49"/>
  <c r="F320" i="49"/>
  <c r="G322" i="49"/>
  <c r="H322" i="49"/>
  <c r="J322" i="49"/>
  <c r="F322" i="49"/>
  <c r="G324" i="49"/>
  <c r="H324" i="49"/>
  <c r="J324" i="49"/>
  <c r="F324" i="49"/>
  <c r="G326" i="49"/>
  <c r="H326" i="49"/>
  <c r="J326" i="49"/>
  <c r="F326" i="49"/>
  <c r="G328" i="49"/>
  <c r="H328" i="49"/>
  <c r="J328" i="49"/>
  <c r="F328" i="49"/>
  <c r="G330" i="49"/>
  <c r="H330" i="49"/>
  <c r="J330" i="49"/>
  <c r="F330" i="49"/>
  <c r="G332" i="49"/>
  <c r="H332" i="49"/>
  <c r="J332" i="49"/>
  <c r="F332" i="49"/>
  <c r="G334" i="49"/>
  <c r="H334" i="49"/>
  <c r="J334" i="49"/>
  <c r="F334" i="49"/>
  <c r="G336" i="49"/>
  <c r="H336" i="49"/>
  <c r="J336" i="49"/>
  <c r="F336" i="49"/>
  <c r="G338" i="49"/>
  <c r="H338" i="49"/>
  <c r="J338" i="49"/>
  <c r="F338" i="49"/>
  <c r="G340" i="49"/>
  <c r="H340" i="49"/>
  <c r="J340" i="49"/>
  <c r="F340" i="49"/>
  <c r="G342" i="49"/>
  <c r="H342" i="49"/>
  <c r="J342" i="49"/>
  <c r="F342" i="49"/>
  <c r="G344" i="49"/>
  <c r="H344" i="49"/>
  <c r="J344" i="49"/>
  <c r="F344" i="49"/>
  <c r="G346" i="49"/>
  <c r="H346" i="49"/>
  <c r="J346" i="49"/>
  <c r="F346" i="49"/>
  <c r="G348" i="49"/>
  <c r="H348" i="49"/>
  <c r="J348" i="49"/>
  <c r="F348" i="49"/>
  <c r="G350" i="49"/>
  <c r="H350" i="49"/>
  <c r="J350" i="49"/>
  <c r="F350" i="49"/>
  <c r="G352" i="49"/>
  <c r="H352" i="49"/>
  <c r="J352" i="49"/>
  <c r="F352" i="49"/>
  <c r="G354" i="49"/>
  <c r="H354" i="49"/>
  <c r="J354" i="49"/>
  <c r="F354" i="49"/>
  <c r="G356" i="49"/>
  <c r="H356" i="49"/>
  <c r="J356" i="49"/>
  <c r="F356" i="49"/>
  <c r="G358" i="49"/>
  <c r="H358" i="49"/>
  <c r="J358" i="49"/>
  <c r="F358" i="49"/>
  <c r="G360" i="49"/>
  <c r="H360" i="49"/>
  <c r="J360" i="49"/>
  <c r="F360" i="49"/>
  <c r="G362" i="49"/>
  <c r="H362" i="49"/>
  <c r="J362" i="49"/>
  <c r="F362" i="49"/>
  <c r="G364" i="49"/>
  <c r="H364" i="49"/>
  <c r="J364" i="49"/>
  <c r="F364" i="49"/>
  <c r="G366" i="49"/>
  <c r="H366" i="49"/>
  <c r="J366" i="49"/>
  <c r="F366" i="49"/>
  <c r="G368" i="49"/>
  <c r="H368" i="49"/>
  <c r="J368" i="49"/>
  <c r="F368" i="49"/>
  <c r="G370" i="49"/>
  <c r="H370" i="49"/>
  <c r="J370" i="49"/>
  <c r="F370" i="49"/>
  <c r="G372" i="49"/>
  <c r="H372" i="49"/>
  <c r="J372" i="49"/>
  <c r="F372" i="49"/>
  <c r="G374" i="49"/>
  <c r="H374" i="49"/>
  <c r="J374" i="49"/>
  <c r="F374" i="49"/>
  <c r="G376" i="49"/>
  <c r="H376" i="49"/>
  <c r="J376" i="49"/>
  <c r="F376" i="49"/>
  <c r="G378" i="49"/>
  <c r="H378" i="49"/>
  <c r="J378" i="49"/>
  <c r="F378" i="49"/>
  <c r="G380" i="49"/>
  <c r="H380" i="49"/>
  <c r="J380" i="49"/>
  <c r="F380" i="49"/>
  <c r="G382" i="49"/>
  <c r="H382" i="49"/>
  <c r="J382" i="49"/>
  <c r="F382" i="49"/>
  <c r="G384" i="49"/>
  <c r="H384" i="49"/>
  <c r="J384" i="49"/>
  <c r="F384" i="49"/>
  <c r="G386" i="49"/>
  <c r="H386" i="49"/>
  <c r="J386" i="49"/>
  <c r="F386" i="49"/>
  <c r="G388" i="49"/>
  <c r="H388" i="49"/>
  <c r="J388" i="49"/>
  <c r="F388" i="49"/>
  <c r="G390" i="49"/>
  <c r="H390" i="49"/>
  <c r="J390" i="49"/>
  <c r="F390" i="49"/>
  <c r="G392" i="49"/>
  <c r="H392" i="49"/>
  <c r="J392" i="49"/>
  <c r="F392" i="49"/>
  <c r="G394" i="49"/>
  <c r="H394" i="49"/>
  <c r="J394" i="49"/>
  <c r="F394" i="49"/>
  <c r="G396" i="49"/>
  <c r="H396" i="49"/>
  <c r="J396" i="49"/>
  <c r="F396" i="49"/>
  <c r="G398" i="49"/>
  <c r="H398" i="49"/>
  <c r="J398" i="49"/>
  <c r="F398" i="49"/>
  <c r="G400" i="49"/>
  <c r="H400" i="49"/>
  <c r="J400" i="49"/>
  <c r="F400" i="49"/>
  <c r="G402" i="49"/>
  <c r="H402" i="49"/>
  <c r="J402" i="49"/>
  <c r="F402" i="49"/>
  <c r="G404" i="49"/>
  <c r="H404" i="49"/>
  <c r="J404" i="49"/>
  <c r="F404" i="49"/>
  <c r="G406" i="49"/>
  <c r="H406" i="49"/>
  <c r="J406" i="49"/>
  <c r="F406" i="49"/>
  <c r="G408" i="49"/>
  <c r="H408" i="49"/>
  <c r="J408" i="49"/>
  <c r="F408" i="49"/>
  <c r="G410" i="49"/>
  <c r="H410" i="49"/>
  <c r="J410" i="49"/>
  <c r="F410" i="49"/>
  <c r="G412" i="49"/>
  <c r="H412" i="49"/>
  <c r="J412" i="49"/>
  <c r="F412" i="49"/>
  <c r="G414" i="49"/>
  <c r="H414" i="49"/>
  <c r="J414" i="49"/>
  <c r="F414" i="49"/>
  <c r="G416" i="49"/>
  <c r="H416" i="49"/>
  <c r="J416" i="49"/>
  <c r="F416" i="49"/>
  <c r="G418" i="49"/>
  <c r="H418" i="49"/>
  <c r="J418" i="49"/>
  <c r="F418" i="49"/>
  <c r="G420" i="49"/>
  <c r="H420" i="49"/>
  <c r="J420" i="49"/>
  <c r="F420" i="49"/>
  <c r="G422" i="49"/>
  <c r="H422" i="49"/>
  <c r="J422" i="49"/>
  <c r="F422" i="49"/>
  <c r="G424" i="49"/>
  <c r="H424" i="49"/>
  <c r="J424" i="49"/>
  <c r="F424" i="49"/>
  <c r="G426" i="49"/>
  <c r="H426" i="49"/>
  <c r="J426" i="49"/>
  <c r="F426" i="49"/>
  <c r="G428" i="49"/>
  <c r="H428" i="49"/>
  <c r="J428" i="49"/>
  <c r="F428" i="49"/>
  <c r="G430" i="49"/>
  <c r="H430" i="49"/>
  <c r="J430" i="49"/>
  <c r="F430" i="49"/>
  <c r="G432" i="49"/>
  <c r="H432" i="49"/>
  <c r="J432" i="49"/>
  <c r="F432" i="49"/>
  <c r="G434" i="49"/>
  <c r="H434" i="49"/>
  <c r="J434" i="49"/>
  <c r="F434" i="49"/>
  <c r="G436" i="49"/>
  <c r="H436" i="49"/>
  <c r="J436" i="49"/>
  <c r="F436" i="49"/>
  <c r="G438" i="49"/>
  <c r="H438" i="49"/>
  <c r="J438" i="49"/>
  <c r="F438" i="49"/>
  <c r="G440" i="49"/>
  <c r="H440" i="49"/>
  <c r="J440" i="49"/>
  <c r="F440" i="49"/>
  <c r="F442" i="49"/>
  <c r="G442" i="49"/>
  <c r="H442" i="49"/>
  <c r="J442" i="49"/>
  <c r="F444" i="49"/>
  <c r="G444" i="49"/>
  <c r="H444" i="49"/>
  <c r="J444" i="49"/>
  <c r="F446" i="49"/>
  <c r="G446" i="49"/>
  <c r="H446" i="49"/>
  <c r="J446" i="49"/>
  <c r="F448" i="49"/>
  <c r="G448" i="49"/>
  <c r="H448" i="49"/>
  <c r="J448" i="49"/>
  <c r="F450" i="49"/>
  <c r="G450" i="49"/>
  <c r="H450" i="49"/>
  <c r="J450" i="49"/>
  <c r="F452" i="49"/>
  <c r="G452" i="49"/>
  <c r="H452" i="49"/>
  <c r="J452" i="49"/>
  <c r="F454" i="49"/>
  <c r="G454" i="49"/>
  <c r="H454" i="49"/>
  <c r="J454" i="49"/>
  <c r="F456" i="49"/>
  <c r="G456" i="49"/>
  <c r="H456" i="49"/>
  <c r="J456" i="49"/>
  <c r="F458" i="49"/>
  <c r="G458" i="49"/>
  <c r="H458" i="49"/>
  <c r="J458" i="49"/>
  <c r="F460" i="49"/>
  <c r="G460" i="49"/>
  <c r="H460" i="49"/>
  <c r="J460" i="49"/>
  <c r="F462" i="49"/>
  <c r="G462" i="49"/>
  <c r="H462" i="49"/>
  <c r="J462" i="49"/>
  <c r="F464" i="49"/>
  <c r="G464" i="49"/>
  <c r="H464" i="49"/>
  <c r="J464" i="49"/>
  <c r="F466" i="49"/>
  <c r="G466" i="49"/>
  <c r="H466" i="49"/>
  <c r="J466" i="49"/>
  <c r="F468" i="49"/>
  <c r="G468" i="49"/>
  <c r="H468" i="49"/>
  <c r="J468" i="49"/>
  <c r="G470" i="49"/>
  <c r="H470" i="49"/>
  <c r="J470" i="49"/>
  <c r="F470" i="49"/>
  <c r="F472" i="49"/>
  <c r="G472" i="49"/>
  <c r="H472" i="49"/>
  <c r="J472" i="49"/>
  <c r="G474" i="49"/>
  <c r="H474" i="49"/>
  <c r="J474" i="49"/>
  <c r="F474" i="49"/>
  <c r="F476" i="49"/>
  <c r="G476" i="49"/>
  <c r="H476" i="49"/>
  <c r="J476" i="49"/>
  <c r="G478" i="49"/>
  <c r="H478" i="49"/>
  <c r="J478" i="49"/>
  <c r="F478" i="49"/>
  <c r="F480" i="49"/>
  <c r="G480" i="49"/>
  <c r="H480" i="49"/>
  <c r="J480" i="49"/>
  <c r="G482" i="49"/>
  <c r="H482" i="49"/>
  <c r="J482" i="49"/>
  <c r="F482" i="49"/>
  <c r="F484" i="49"/>
  <c r="G484" i="49"/>
  <c r="H484" i="49"/>
  <c r="J484" i="49"/>
  <c r="G486" i="49"/>
  <c r="H486" i="49"/>
  <c r="J486" i="49"/>
  <c r="F486" i="49"/>
  <c r="F488" i="49"/>
  <c r="G488" i="49"/>
  <c r="H488" i="49"/>
  <c r="J488" i="49"/>
  <c r="G490" i="49"/>
  <c r="H490" i="49"/>
  <c r="J490" i="49"/>
  <c r="F490" i="49"/>
  <c r="F492" i="49"/>
  <c r="G492" i="49"/>
  <c r="H492" i="49"/>
  <c r="J492" i="49"/>
  <c r="G494" i="49"/>
  <c r="H494" i="49"/>
  <c r="J494" i="49"/>
  <c r="F494" i="49"/>
  <c r="F670" i="49"/>
  <c r="F668" i="49"/>
  <c r="F666" i="49"/>
  <c r="F664" i="49"/>
  <c r="F662" i="49"/>
  <c r="F660" i="49"/>
  <c r="F658" i="49"/>
  <c r="F656" i="49"/>
  <c r="F654" i="49"/>
  <c r="F652" i="49"/>
  <c r="F650" i="49"/>
  <c r="F648" i="49"/>
  <c r="F646" i="49"/>
  <c r="F644" i="49"/>
  <c r="G171" i="49"/>
  <c r="H171" i="49"/>
  <c r="J171" i="49"/>
  <c r="F171" i="49"/>
  <c r="G173" i="49"/>
  <c r="H173" i="49"/>
  <c r="J173" i="49"/>
  <c r="F173" i="49"/>
  <c r="G175" i="49"/>
  <c r="H175" i="49"/>
  <c r="J175" i="49"/>
  <c r="F175" i="49"/>
  <c r="G177" i="49"/>
  <c r="H177" i="49"/>
  <c r="J177" i="49"/>
  <c r="F177" i="49"/>
  <c r="G179" i="49"/>
  <c r="H179" i="49"/>
  <c r="J179" i="49"/>
  <c r="F179" i="49"/>
  <c r="G181" i="49"/>
  <c r="H181" i="49"/>
  <c r="J181" i="49"/>
  <c r="F181" i="49"/>
  <c r="G183" i="49"/>
  <c r="H183" i="49"/>
  <c r="J183" i="49"/>
  <c r="F183" i="49"/>
  <c r="G185" i="49"/>
  <c r="H185" i="49"/>
  <c r="J185" i="49"/>
  <c r="F185" i="49"/>
  <c r="G187" i="49"/>
  <c r="H187" i="49"/>
  <c r="J187" i="49"/>
  <c r="F187" i="49"/>
  <c r="G189" i="49"/>
  <c r="H189" i="49"/>
  <c r="J189" i="49"/>
  <c r="F189" i="49"/>
  <c r="G191" i="49"/>
  <c r="H191" i="49"/>
  <c r="J191" i="49"/>
  <c r="F191" i="49"/>
  <c r="G193" i="49"/>
  <c r="H193" i="49"/>
  <c r="J193" i="49"/>
  <c r="F193" i="49"/>
  <c r="G195" i="49"/>
  <c r="H195" i="49"/>
  <c r="J195" i="49"/>
  <c r="F195" i="49"/>
  <c r="G197" i="49"/>
  <c r="H197" i="49"/>
  <c r="J197" i="49"/>
  <c r="F197" i="49"/>
  <c r="G199" i="49"/>
  <c r="H199" i="49"/>
  <c r="J199" i="49"/>
  <c r="F199" i="49"/>
  <c r="G201" i="49"/>
  <c r="H201" i="49"/>
  <c r="J201" i="49"/>
  <c r="F201" i="49"/>
  <c r="G203" i="49"/>
  <c r="H203" i="49"/>
  <c r="J203" i="49"/>
  <c r="F203" i="49"/>
  <c r="G205" i="49"/>
  <c r="H205" i="49"/>
  <c r="J205" i="49"/>
  <c r="F205" i="49"/>
  <c r="G207" i="49"/>
  <c r="H207" i="49"/>
  <c r="J207" i="49"/>
  <c r="F207" i="49"/>
  <c r="G209" i="49"/>
  <c r="H209" i="49"/>
  <c r="J209" i="49"/>
  <c r="F209" i="49"/>
  <c r="G211" i="49"/>
  <c r="H211" i="49"/>
  <c r="J211" i="49"/>
  <c r="F211" i="49"/>
  <c r="G213" i="49"/>
  <c r="H213" i="49"/>
  <c r="J213" i="49"/>
  <c r="F213" i="49"/>
  <c r="G215" i="49"/>
  <c r="H215" i="49"/>
  <c r="J215" i="49"/>
  <c r="F215" i="49"/>
  <c r="G217" i="49"/>
  <c r="H217" i="49"/>
  <c r="J217" i="49"/>
  <c r="F217" i="49"/>
  <c r="G219" i="49"/>
  <c r="H219" i="49"/>
  <c r="J219" i="49"/>
  <c r="F219" i="49"/>
  <c r="G221" i="49"/>
  <c r="H221" i="49"/>
  <c r="J221" i="49"/>
  <c r="F221" i="49"/>
  <c r="G223" i="49"/>
  <c r="H223" i="49"/>
  <c r="J223" i="49"/>
  <c r="F223" i="49"/>
  <c r="G225" i="49"/>
  <c r="H225" i="49"/>
  <c r="J225" i="49"/>
  <c r="F225" i="49"/>
  <c r="G227" i="49"/>
  <c r="H227" i="49"/>
  <c r="J227" i="49"/>
  <c r="F227" i="49"/>
  <c r="G229" i="49"/>
  <c r="H229" i="49"/>
  <c r="J229" i="49"/>
  <c r="F229" i="49"/>
  <c r="G231" i="49"/>
  <c r="H231" i="49"/>
  <c r="J231" i="49"/>
  <c r="F231" i="49"/>
  <c r="G233" i="49"/>
  <c r="H233" i="49"/>
  <c r="J233" i="49"/>
  <c r="F233" i="49"/>
  <c r="G235" i="49"/>
  <c r="H235" i="49"/>
  <c r="J235" i="49"/>
  <c r="F235" i="49"/>
  <c r="G237" i="49"/>
  <c r="H237" i="49"/>
  <c r="J237" i="49"/>
  <c r="F237" i="49"/>
  <c r="G239" i="49"/>
  <c r="H239" i="49"/>
  <c r="J239" i="49"/>
  <c r="F239" i="49"/>
  <c r="G241" i="49"/>
  <c r="H241" i="49"/>
  <c r="J241" i="49"/>
  <c r="F241" i="49"/>
  <c r="G243" i="49"/>
  <c r="H243" i="49"/>
  <c r="J243" i="49"/>
  <c r="F243" i="49"/>
  <c r="G245" i="49"/>
  <c r="H245" i="49"/>
  <c r="J245" i="49"/>
  <c r="F245" i="49"/>
  <c r="G247" i="49"/>
  <c r="H247" i="49"/>
  <c r="J247" i="49"/>
  <c r="F247" i="49"/>
  <c r="G249" i="49"/>
  <c r="H249" i="49"/>
  <c r="J249" i="49"/>
  <c r="F249" i="49"/>
  <c r="G251" i="49"/>
  <c r="H251" i="49"/>
  <c r="J251" i="49"/>
  <c r="F251" i="49"/>
  <c r="G253" i="49"/>
  <c r="H253" i="49"/>
  <c r="J253" i="49"/>
  <c r="F253" i="49"/>
  <c r="G255" i="49"/>
  <c r="H255" i="49"/>
  <c r="J255" i="49"/>
  <c r="F255" i="49"/>
  <c r="G257" i="49"/>
  <c r="H257" i="49"/>
  <c r="J257" i="49"/>
  <c r="F257" i="49"/>
  <c r="G259" i="49"/>
  <c r="H259" i="49"/>
  <c r="J259" i="49"/>
  <c r="F259" i="49"/>
  <c r="G261" i="49"/>
  <c r="H261" i="49"/>
  <c r="J261" i="49"/>
  <c r="F261" i="49"/>
  <c r="G263" i="49"/>
  <c r="H263" i="49"/>
  <c r="J263" i="49"/>
  <c r="F263" i="49"/>
  <c r="G265" i="49"/>
  <c r="H265" i="49"/>
  <c r="J265" i="49"/>
  <c r="F265" i="49"/>
  <c r="G267" i="49"/>
  <c r="H267" i="49"/>
  <c r="J267" i="49"/>
  <c r="F267" i="49"/>
  <c r="G269" i="49"/>
  <c r="H269" i="49"/>
  <c r="J269" i="49"/>
  <c r="F269" i="49"/>
  <c r="G271" i="49"/>
  <c r="H271" i="49"/>
  <c r="J271" i="49"/>
  <c r="F271" i="49"/>
  <c r="G273" i="49"/>
  <c r="H273" i="49"/>
  <c r="J273" i="49"/>
  <c r="F273" i="49"/>
  <c r="G275" i="49"/>
  <c r="H275" i="49"/>
  <c r="J275" i="49"/>
  <c r="F275" i="49"/>
  <c r="G277" i="49"/>
  <c r="H277" i="49"/>
  <c r="J277" i="49"/>
  <c r="F277" i="49"/>
  <c r="G279" i="49"/>
  <c r="H279" i="49"/>
  <c r="J279" i="49"/>
  <c r="F279" i="49"/>
  <c r="G281" i="49"/>
  <c r="H281" i="49"/>
  <c r="J281" i="49"/>
  <c r="F281" i="49"/>
  <c r="G283" i="49"/>
  <c r="H283" i="49"/>
  <c r="J283" i="49"/>
  <c r="F283" i="49"/>
  <c r="G285" i="49"/>
  <c r="H285" i="49"/>
  <c r="J285" i="49"/>
  <c r="F285" i="49"/>
  <c r="G287" i="49"/>
  <c r="H287" i="49"/>
  <c r="J287" i="49"/>
  <c r="F287" i="49"/>
  <c r="G289" i="49"/>
  <c r="H289" i="49"/>
  <c r="J289" i="49"/>
  <c r="F289" i="49"/>
  <c r="G291" i="49"/>
  <c r="H291" i="49"/>
  <c r="J291" i="49"/>
  <c r="F291" i="49"/>
  <c r="G293" i="49"/>
  <c r="H293" i="49"/>
  <c r="J293" i="49"/>
  <c r="F293" i="49"/>
  <c r="G295" i="49"/>
  <c r="H295" i="49"/>
  <c r="J295" i="49"/>
  <c r="F295" i="49"/>
  <c r="G297" i="49"/>
  <c r="H297" i="49"/>
  <c r="J297" i="49"/>
  <c r="F297" i="49"/>
  <c r="G299" i="49"/>
  <c r="H299" i="49"/>
  <c r="J299" i="49"/>
  <c r="F299" i="49"/>
  <c r="G301" i="49"/>
  <c r="H301" i="49"/>
  <c r="J301" i="49"/>
  <c r="F301" i="49"/>
  <c r="G303" i="49"/>
  <c r="H303" i="49"/>
  <c r="J303" i="49"/>
  <c r="F303" i="49"/>
  <c r="G305" i="49"/>
  <c r="H305" i="49"/>
  <c r="J305" i="49"/>
  <c r="F305" i="49"/>
  <c r="G307" i="49"/>
  <c r="H307" i="49"/>
  <c r="J307" i="49"/>
  <c r="F307" i="49"/>
  <c r="G309" i="49"/>
  <c r="H309" i="49"/>
  <c r="J309" i="49"/>
  <c r="F309" i="49"/>
  <c r="G311" i="49"/>
  <c r="H311" i="49"/>
  <c r="J311" i="49"/>
  <c r="F311" i="49"/>
  <c r="G313" i="49"/>
  <c r="H313" i="49"/>
  <c r="J313" i="49"/>
  <c r="F313" i="49"/>
  <c r="G315" i="49"/>
  <c r="H315" i="49"/>
  <c r="J315" i="49"/>
  <c r="F315" i="49"/>
  <c r="G317" i="49"/>
  <c r="H317" i="49"/>
  <c r="J317" i="49"/>
  <c r="F317" i="49"/>
  <c r="G319" i="49"/>
  <c r="H319" i="49"/>
  <c r="J319" i="49"/>
  <c r="F319" i="49"/>
  <c r="G321" i="49"/>
  <c r="H321" i="49"/>
  <c r="J321" i="49"/>
  <c r="F321" i="49"/>
  <c r="G323" i="49"/>
  <c r="H323" i="49"/>
  <c r="J323" i="49"/>
  <c r="F323" i="49"/>
  <c r="G325" i="49"/>
  <c r="H325" i="49"/>
  <c r="J325" i="49"/>
  <c r="F325" i="49"/>
  <c r="G327" i="49"/>
  <c r="H327" i="49"/>
  <c r="J327" i="49"/>
  <c r="F327" i="49"/>
  <c r="G329" i="49"/>
  <c r="H329" i="49"/>
  <c r="J329" i="49"/>
  <c r="F329" i="49"/>
  <c r="G331" i="49"/>
  <c r="H331" i="49"/>
  <c r="J331" i="49"/>
  <c r="F331" i="49"/>
  <c r="G333" i="49"/>
  <c r="H333" i="49"/>
  <c r="J333" i="49"/>
  <c r="F333" i="49"/>
  <c r="G335" i="49"/>
  <c r="H335" i="49"/>
  <c r="J335" i="49"/>
  <c r="F335" i="49"/>
  <c r="G337" i="49"/>
  <c r="H337" i="49"/>
  <c r="J337" i="49"/>
  <c r="F337" i="49"/>
  <c r="G339" i="49"/>
  <c r="H339" i="49"/>
  <c r="J339" i="49"/>
  <c r="F339" i="49"/>
  <c r="G341" i="49"/>
  <c r="H341" i="49"/>
  <c r="J341" i="49"/>
  <c r="F341" i="49"/>
  <c r="G343" i="49"/>
  <c r="H343" i="49"/>
  <c r="J343" i="49"/>
  <c r="F343" i="49"/>
  <c r="G345" i="49"/>
  <c r="H345" i="49"/>
  <c r="J345" i="49"/>
  <c r="F345" i="49"/>
  <c r="G347" i="49"/>
  <c r="H347" i="49"/>
  <c r="J347" i="49"/>
  <c r="F347" i="49"/>
  <c r="G349" i="49"/>
  <c r="H349" i="49"/>
  <c r="J349" i="49"/>
  <c r="F349" i="49"/>
  <c r="G351" i="49"/>
  <c r="H351" i="49"/>
  <c r="J351" i="49"/>
  <c r="F351" i="49"/>
  <c r="G353" i="49"/>
  <c r="H353" i="49"/>
  <c r="J353" i="49"/>
  <c r="F353" i="49"/>
  <c r="G355" i="49"/>
  <c r="H355" i="49"/>
  <c r="J355" i="49"/>
  <c r="F355" i="49"/>
  <c r="G357" i="49"/>
  <c r="H357" i="49"/>
  <c r="J357" i="49"/>
  <c r="F357" i="49"/>
  <c r="G359" i="49"/>
  <c r="H359" i="49"/>
  <c r="J359" i="49"/>
  <c r="F359" i="49"/>
  <c r="G361" i="49"/>
  <c r="H361" i="49"/>
  <c r="J361" i="49"/>
  <c r="F361" i="49"/>
  <c r="G363" i="49"/>
  <c r="H363" i="49"/>
  <c r="J363" i="49"/>
  <c r="F363" i="49"/>
  <c r="G365" i="49"/>
  <c r="H365" i="49"/>
  <c r="J365" i="49"/>
  <c r="F365" i="49"/>
  <c r="G367" i="49"/>
  <c r="H367" i="49"/>
  <c r="J367" i="49"/>
  <c r="F367" i="49"/>
  <c r="G369" i="49"/>
  <c r="H369" i="49"/>
  <c r="J369" i="49"/>
  <c r="F369" i="49"/>
  <c r="G371" i="49"/>
  <c r="H371" i="49"/>
  <c r="J371" i="49"/>
  <c r="F371" i="49"/>
  <c r="G373" i="49"/>
  <c r="H373" i="49"/>
  <c r="J373" i="49"/>
  <c r="F373" i="49"/>
  <c r="G375" i="49"/>
  <c r="H375" i="49"/>
  <c r="J375" i="49"/>
  <c r="F375" i="49"/>
  <c r="G377" i="49"/>
  <c r="H377" i="49"/>
  <c r="J377" i="49"/>
  <c r="F377" i="49"/>
  <c r="G379" i="49"/>
  <c r="H379" i="49"/>
  <c r="J379" i="49"/>
  <c r="F379" i="49"/>
  <c r="G381" i="49"/>
  <c r="H381" i="49"/>
  <c r="J381" i="49"/>
  <c r="F381" i="49"/>
  <c r="G383" i="49"/>
  <c r="H383" i="49"/>
  <c r="J383" i="49"/>
  <c r="F383" i="49"/>
  <c r="G385" i="49"/>
  <c r="H385" i="49"/>
  <c r="J385" i="49"/>
  <c r="F385" i="49"/>
  <c r="G387" i="49"/>
  <c r="H387" i="49"/>
  <c r="J387" i="49"/>
  <c r="F387" i="49"/>
  <c r="G389" i="49"/>
  <c r="H389" i="49"/>
  <c r="J389" i="49"/>
  <c r="F389" i="49"/>
  <c r="G391" i="49"/>
  <c r="H391" i="49"/>
  <c r="J391" i="49"/>
  <c r="F391" i="49"/>
  <c r="G393" i="49"/>
  <c r="H393" i="49"/>
  <c r="J393" i="49"/>
  <c r="F393" i="49"/>
  <c r="G395" i="49"/>
  <c r="H395" i="49"/>
  <c r="J395" i="49"/>
  <c r="F395" i="49"/>
  <c r="G397" i="49"/>
  <c r="H397" i="49"/>
  <c r="J397" i="49"/>
  <c r="F397" i="49"/>
  <c r="G399" i="49"/>
  <c r="H399" i="49"/>
  <c r="J399" i="49"/>
  <c r="F399" i="49"/>
  <c r="G401" i="49"/>
  <c r="H401" i="49"/>
  <c r="J401" i="49"/>
  <c r="F401" i="49"/>
  <c r="G403" i="49"/>
  <c r="H403" i="49"/>
  <c r="J403" i="49"/>
  <c r="F403" i="49"/>
  <c r="G405" i="49"/>
  <c r="H405" i="49"/>
  <c r="J405" i="49"/>
  <c r="F405" i="49"/>
  <c r="G407" i="49"/>
  <c r="H407" i="49"/>
  <c r="J407" i="49"/>
  <c r="F407" i="49"/>
  <c r="G409" i="49"/>
  <c r="H409" i="49"/>
  <c r="J409" i="49"/>
  <c r="F409" i="49"/>
  <c r="G411" i="49"/>
  <c r="H411" i="49"/>
  <c r="J411" i="49"/>
  <c r="F411" i="49"/>
  <c r="G413" i="49"/>
  <c r="H413" i="49"/>
  <c r="J413" i="49"/>
  <c r="F413" i="49"/>
  <c r="G415" i="49"/>
  <c r="H415" i="49"/>
  <c r="J415" i="49"/>
  <c r="F415" i="49"/>
  <c r="G417" i="49"/>
  <c r="H417" i="49"/>
  <c r="J417" i="49"/>
  <c r="F417" i="49"/>
  <c r="G419" i="49"/>
  <c r="H419" i="49"/>
  <c r="J419" i="49"/>
  <c r="F419" i="49"/>
  <c r="G421" i="49"/>
  <c r="H421" i="49"/>
  <c r="J421" i="49"/>
  <c r="F421" i="49"/>
  <c r="G423" i="49"/>
  <c r="H423" i="49"/>
  <c r="J423" i="49"/>
  <c r="F423" i="49"/>
  <c r="G425" i="49"/>
  <c r="H425" i="49"/>
  <c r="J425" i="49"/>
  <c r="F425" i="49"/>
  <c r="G427" i="49"/>
  <c r="H427" i="49"/>
  <c r="J427" i="49"/>
  <c r="F427" i="49"/>
  <c r="G429" i="49"/>
  <c r="H429" i="49"/>
  <c r="J429" i="49"/>
  <c r="F429" i="49"/>
  <c r="G431" i="49"/>
  <c r="H431" i="49"/>
  <c r="J431" i="49"/>
  <c r="F431" i="49"/>
  <c r="G433" i="49"/>
  <c r="H433" i="49"/>
  <c r="J433" i="49"/>
  <c r="F433" i="49"/>
  <c r="G435" i="49"/>
  <c r="H435" i="49"/>
  <c r="J435" i="49"/>
  <c r="F435" i="49"/>
  <c r="G437" i="49"/>
  <c r="H437" i="49"/>
  <c r="J437" i="49"/>
  <c r="F437" i="49"/>
  <c r="G439" i="49"/>
  <c r="H439" i="49"/>
  <c r="J439" i="49"/>
  <c r="F439" i="49"/>
  <c r="G441" i="49"/>
  <c r="H441" i="49"/>
  <c r="J441" i="49"/>
  <c r="F441" i="49"/>
  <c r="G561" i="49"/>
  <c r="H561" i="49"/>
  <c r="J561" i="49"/>
  <c r="G563" i="49"/>
  <c r="H563" i="49"/>
  <c r="J563" i="49"/>
  <c r="G565" i="49"/>
  <c r="H565" i="49"/>
  <c r="J565" i="49"/>
  <c r="G567" i="49"/>
  <c r="H567" i="49"/>
  <c r="J567" i="49"/>
  <c r="G569" i="49"/>
  <c r="H569" i="49"/>
  <c r="J569" i="49"/>
  <c r="G571" i="49"/>
  <c r="H571" i="49"/>
  <c r="J571" i="49"/>
  <c r="G573" i="49"/>
  <c r="H573" i="49"/>
  <c r="J573" i="49"/>
  <c r="G575" i="49"/>
  <c r="H575" i="49"/>
  <c r="J575" i="49"/>
  <c r="G577" i="49"/>
  <c r="H577" i="49"/>
  <c r="J577" i="49"/>
  <c r="G581" i="49"/>
  <c r="H581" i="49"/>
  <c r="J581" i="49"/>
  <c r="G583" i="49"/>
  <c r="H583" i="49"/>
  <c r="J583" i="49"/>
  <c r="G585" i="49"/>
  <c r="H585" i="49"/>
  <c r="J585" i="49"/>
  <c r="G587" i="49"/>
  <c r="H587" i="49"/>
  <c r="J587" i="49"/>
  <c r="G589" i="49"/>
  <c r="H589" i="49"/>
  <c r="J589" i="49"/>
  <c r="G591" i="49"/>
  <c r="H591" i="49"/>
  <c r="J591" i="49"/>
  <c r="G593" i="49"/>
  <c r="H593" i="49"/>
  <c r="J593" i="49"/>
  <c r="G595" i="49"/>
  <c r="H595" i="49"/>
  <c r="J595" i="49"/>
  <c r="G597" i="49"/>
  <c r="H597" i="49"/>
  <c r="J597" i="49"/>
  <c r="G599" i="49"/>
  <c r="H599" i="49"/>
  <c r="J599" i="49"/>
  <c r="G601" i="49"/>
  <c r="H601" i="49"/>
  <c r="J601" i="49"/>
  <c r="G603" i="49"/>
  <c r="H603" i="49"/>
  <c r="J603" i="49"/>
  <c r="G605" i="49"/>
  <c r="H605" i="49"/>
  <c r="J605" i="49"/>
  <c r="G607" i="49"/>
  <c r="H607" i="49"/>
  <c r="J607" i="49"/>
  <c r="G609" i="49"/>
  <c r="H609" i="49"/>
  <c r="J609" i="49"/>
  <c r="G611" i="49"/>
  <c r="H611" i="49"/>
  <c r="J611" i="49"/>
  <c r="G613" i="49"/>
  <c r="H613" i="49"/>
  <c r="J613" i="49"/>
  <c r="G615" i="49"/>
  <c r="H615" i="49"/>
  <c r="J615" i="49"/>
  <c r="G617" i="49"/>
  <c r="H617" i="49"/>
  <c r="J617" i="49"/>
  <c r="G619" i="49"/>
  <c r="H619" i="49"/>
  <c r="J619" i="49"/>
  <c r="G621" i="49"/>
  <c r="H621" i="49"/>
  <c r="J621" i="49"/>
  <c r="G623" i="49"/>
  <c r="H623" i="49"/>
  <c r="J623" i="49"/>
  <c r="G625" i="49"/>
  <c r="H625" i="49"/>
  <c r="J625" i="49"/>
  <c r="G627" i="49"/>
  <c r="H627" i="49"/>
  <c r="J627" i="49"/>
  <c r="G629" i="49"/>
  <c r="H629" i="49"/>
  <c r="J629" i="49"/>
  <c r="G631" i="49"/>
  <c r="H631" i="49"/>
  <c r="J631" i="49"/>
  <c r="G633" i="49"/>
  <c r="H633" i="49"/>
  <c r="J633" i="49"/>
  <c r="G635" i="49"/>
  <c r="H635" i="49"/>
  <c r="J635" i="49"/>
  <c r="G637" i="49"/>
  <c r="H637" i="49"/>
  <c r="J637" i="49"/>
  <c r="G639" i="49"/>
  <c r="H639" i="49"/>
  <c r="J639" i="49"/>
  <c r="G641" i="49"/>
  <c r="H641" i="49"/>
  <c r="J641" i="49"/>
  <c r="F683" i="49"/>
  <c r="F681" i="49"/>
  <c r="F679" i="49"/>
  <c r="F677" i="49"/>
  <c r="F675" i="49"/>
  <c r="F673" i="49"/>
  <c r="F671" i="49"/>
  <c r="F669" i="49"/>
  <c r="F667" i="49"/>
  <c r="F665" i="49"/>
  <c r="F663" i="49"/>
  <c r="F661" i="49"/>
  <c r="F659" i="49"/>
  <c r="F657" i="49"/>
  <c r="F655" i="49"/>
  <c r="F653" i="49"/>
  <c r="F651" i="49"/>
  <c r="F649" i="49"/>
  <c r="F647" i="49"/>
  <c r="F645" i="49"/>
  <c r="F643" i="49"/>
  <c r="E685" i="49"/>
  <c r="G579" i="49"/>
  <c r="H579" i="49"/>
  <c r="J579" i="49"/>
  <c r="I449" i="48"/>
  <c r="J449" i="48"/>
  <c r="L449" i="48"/>
  <c r="I457" i="48"/>
  <c r="J457" i="48"/>
  <c r="L457" i="48"/>
  <c r="I465" i="48"/>
  <c r="J465" i="48"/>
  <c r="L465" i="48"/>
  <c r="I473" i="48"/>
  <c r="J473" i="48"/>
  <c r="L473" i="48"/>
  <c r="I481" i="48"/>
  <c r="J481" i="48"/>
  <c r="L481" i="48"/>
  <c r="I489" i="48"/>
  <c r="J489" i="48"/>
  <c r="L489" i="48"/>
  <c r="I497" i="48"/>
  <c r="J497" i="48"/>
  <c r="L497" i="48"/>
  <c r="I508" i="48"/>
  <c r="J508" i="48"/>
  <c r="L508" i="48"/>
  <c r="I516" i="48"/>
  <c r="J516" i="48"/>
  <c r="L516" i="48"/>
  <c r="I524" i="48"/>
  <c r="J524" i="48"/>
  <c r="L524" i="48"/>
  <c r="I532" i="48"/>
  <c r="J532" i="48"/>
  <c r="L532" i="48"/>
  <c r="I540" i="48"/>
  <c r="J540" i="48"/>
  <c r="L540" i="48"/>
  <c r="I548" i="48"/>
  <c r="J548" i="48"/>
  <c r="L548" i="48"/>
  <c r="I556" i="48"/>
  <c r="J556" i="48"/>
  <c r="L556" i="48"/>
  <c r="I564" i="48"/>
  <c r="J564" i="48"/>
  <c r="L564" i="48"/>
  <c r="I572" i="48"/>
  <c r="J572" i="48"/>
  <c r="L572" i="48"/>
  <c r="I580" i="48"/>
  <c r="J580" i="48"/>
  <c r="L580" i="48"/>
  <c r="I453" i="48"/>
  <c r="J453" i="48"/>
  <c r="L453" i="48"/>
  <c r="I461" i="48"/>
  <c r="J461" i="48"/>
  <c r="L461" i="48"/>
  <c r="I469" i="48"/>
  <c r="J469" i="48"/>
  <c r="L469" i="48"/>
  <c r="I477" i="48"/>
  <c r="J477" i="48"/>
  <c r="L477" i="48"/>
  <c r="I485" i="48"/>
  <c r="J485" i="48"/>
  <c r="L485" i="48"/>
  <c r="I493" i="48"/>
  <c r="J493" i="48"/>
  <c r="L493" i="48"/>
  <c r="I501" i="48"/>
  <c r="J501" i="48"/>
  <c r="L501" i="48"/>
  <c r="I512" i="48"/>
  <c r="J512" i="48"/>
  <c r="L512" i="48"/>
  <c r="I520" i="48"/>
  <c r="J520" i="48"/>
  <c r="L520" i="48"/>
  <c r="I528" i="48"/>
  <c r="J528" i="48"/>
  <c r="L528" i="48"/>
  <c r="I536" i="48"/>
  <c r="J536" i="48"/>
  <c r="L536" i="48"/>
  <c r="I544" i="48"/>
  <c r="J544" i="48"/>
  <c r="L544" i="48"/>
  <c r="I552" i="48"/>
  <c r="J552" i="48"/>
  <c r="L552" i="48"/>
  <c r="I560" i="48"/>
  <c r="J560" i="48"/>
  <c r="L560" i="48"/>
  <c r="I568" i="48"/>
  <c r="J568" i="48"/>
  <c r="L568" i="48"/>
  <c r="I576" i="48"/>
  <c r="J576" i="48"/>
  <c r="L576" i="48"/>
  <c r="I584" i="48"/>
  <c r="J584" i="48"/>
  <c r="L584" i="48"/>
  <c r="I644" i="48"/>
  <c r="J644" i="48"/>
  <c r="L644" i="48"/>
  <c r="I646" i="48"/>
  <c r="J646" i="48"/>
  <c r="L646" i="48"/>
  <c r="I648" i="48"/>
  <c r="J648" i="48"/>
  <c r="L648" i="48"/>
  <c r="I650" i="48"/>
  <c r="J650" i="48"/>
  <c r="L650" i="48"/>
  <c r="I652" i="48"/>
  <c r="J652" i="48"/>
  <c r="L652" i="48"/>
  <c r="I654" i="48"/>
  <c r="J654" i="48"/>
  <c r="L654" i="48"/>
  <c r="I656" i="48"/>
  <c r="J656" i="48"/>
  <c r="L656" i="48"/>
  <c r="I658" i="48"/>
  <c r="J658" i="48"/>
  <c r="L658" i="48"/>
  <c r="I660" i="48"/>
  <c r="J660" i="48"/>
  <c r="L660" i="48"/>
  <c r="I662" i="48"/>
  <c r="J662" i="48"/>
  <c r="L662" i="48"/>
  <c r="I664" i="48"/>
  <c r="J664" i="48"/>
  <c r="L664" i="48"/>
  <c r="I666" i="48"/>
  <c r="J666" i="48"/>
  <c r="L666" i="48"/>
  <c r="I668" i="48"/>
  <c r="J668" i="48"/>
  <c r="L668" i="48"/>
  <c r="I670" i="48"/>
  <c r="J670" i="48"/>
  <c r="L670" i="48"/>
  <c r="I672" i="48"/>
  <c r="J672" i="48"/>
  <c r="L672" i="48"/>
  <c r="I674" i="48"/>
  <c r="J674" i="48"/>
  <c r="L674" i="48"/>
  <c r="I676" i="48"/>
  <c r="J676" i="48"/>
  <c r="L676" i="48"/>
  <c r="I678" i="48"/>
  <c r="J678" i="48"/>
  <c r="L678" i="48"/>
  <c r="I12" i="48"/>
  <c r="J12" i="48"/>
  <c r="L12" i="48"/>
  <c r="I14" i="48"/>
  <c r="J14" i="48"/>
  <c r="L14" i="48"/>
  <c r="G685" i="48"/>
  <c r="I275" i="48"/>
  <c r="J275" i="48"/>
  <c r="L275" i="48"/>
  <c r="I277" i="48"/>
  <c r="J277" i="48"/>
  <c r="L277" i="48"/>
  <c r="I279" i="48"/>
  <c r="J279" i="48"/>
  <c r="L279" i="48"/>
  <c r="I281" i="48"/>
  <c r="J281" i="48"/>
  <c r="L281" i="48"/>
  <c r="I283" i="48"/>
  <c r="J283" i="48"/>
  <c r="L283" i="48"/>
  <c r="I285" i="48"/>
  <c r="J285" i="48"/>
  <c r="L285" i="48"/>
  <c r="I287" i="48"/>
  <c r="J287" i="48"/>
  <c r="L287" i="48"/>
  <c r="I289" i="48"/>
  <c r="J289" i="48"/>
  <c r="L289" i="48"/>
  <c r="I291" i="48"/>
  <c r="J291" i="48"/>
  <c r="L291" i="48"/>
  <c r="I293" i="48"/>
  <c r="J293" i="48"/>
  <c r="L293" i="48"/>
  <c r="I295" i="48"/>
  <c r="J295" i="48"/>
  <c r="L295" i="48"/>
  <c r="I297" i="48"/>
  <c r="J297" i="48"/>
  <c r="L297" i="48"/>
  <c r="I299" i="48"/>
  <c r="J299" i="48"/>
  <c r="L299" i="48"/>
  <c r="I301" i="48"/>
  <c r="J301" i="48"/>
  <c r="L301" i="48"/>
  <c r="I303" i="48"/>
  <c r="J303" i="48"/>
  <c r="L303" i="48"/>
  <c r="I305" i="48"/>
  <c r="J305" i="48"/>
  <c r="L305" i="48"/>
  <c r="I307" i="48"/>
  <c r="J307" i="48"/>
  <c r="L307" i="48"/>
  <c r="I309" i="48"/>
  <c r="J309" i="48"/>
  <c r="L309" i="48"/>
  <c r="I311" i="48"/>
  <c r="J311" i="48"/>
  <c r="L311" i="48"/>
  <c r="I313" i="48"/>
  <c r="J313" i="48"/>
  <c r="L313" i="48"/>
  <c r="I315" i="48"/>
  <c r="J315" i="48"/>
  <c r="L315" i="48"/>
  <c r="I317" i="48"/>
  <c r="J317" i="48"/>
  <c r="L317" i="48"/>
  <c r="I319" i="48"/>
  <c r="J319" i="48"/>
  <c r="L319" i="48"/>
  <c r="I321" i="48"/>
  <c r="J321" i="48"/>
  <c r="L321" i="48"/>
  <c r="I323" i="48"/>
  <c r="J323" i="48"/>
  <c r="L323" i="48"/>
  <c r="I325" i="48"/>
  <c r="J325" i="48"/>
  <c r="L325" i="48"/>
  <c r="I327" i="48"/>
  <c r="J327" i="48"/>
  <c r="L327" i="48"/>
  <c r="I329" i="48"/>
  <c r="J329" i="48"/>
  <c r="L329" i="48"/>
  <c r="I331" i="48"/>
  <c r="J331" i="48"/>
  <c r="L331" i="48"/>
  <c r="I333" i="48"/>
  <c r="J333" i="48"/>
  <c r="L333" i="48"/>
  <c r="I335" i="48"/>
  <c r="J335" i="48"/>
  <c r="L335" i="48"/>
  <c r="I337" i="48"/>
  <c r="J337" i="48"/>
  <c r="L337" i="48"/>
  <c r="I339" i="48"/>
  <c r="J339" i="48"/>
  <c r="L339" i="48"/>
  <c r="I341" i="48"/>
  <c r="J341" i="48"/>
  <c r="L341" i="48"/>
  <c r="I440" i="48"/>
  <c r="J440" i="48"/>
  <c r="L440" i="48"/>
  <c r="I442" i="48"/>
  <c r="J442" i="48"/>
  <c r="L442" i="48"/>
  <c r="I444" i="48"/>
  <c r="J444" i="48"/>
  <c r="L444" i="48"/>
  <c r="I446" i="48"/>
  <c r="J446" i="48"/>
  <c r="L446" i="48"/>
  <c r="I448" i="48"/>
  <c r="J448" i="48"/>
  <c r="L448" i="48"/>
  <c r="I450" i="48"/>
  <c r="J450" i="48"/>
  <c r="L450" i="48"/>
  <c r="I452" i="48"/>
  <c r="J452" i="48"/>
  <c r="L452" i="48"/>
  <c r="I454" i="48"/>
  <c r="J454" i="48"/>
  <c r="L454" i="48"/>
  <c r="I456" i="48"/>
  <c r="J456" i="48"/>
  <c r="L456" i="48"/>
  <c r="I458" i="48"/>
  <c r="J458" i="48"/>
  <c r="L458" i="48"/>
  <c r="I460" i="48"/>
  <c r="J460" i="48"/>
  <c r="L460" i="48"/>
  <c r="I462" i="48"/>
  <c r="J462" i="48"/>
  <c r="L462" i="48"/>
  <c r="I464" i="48"/>
  <c r="J464" i="48"/>
  <c r="L464" i="48"/>
  <c r="I466" i="48"/>
  <c r="J466" i="48"/>
  <c r="L466" i="48"/>
  <c r="I468" i="48"/>
  <c r="J468" i="48"/>
  <c r="L468" i="48"/>
  <c r="I470" i="48"/>
  <c r="J470" i="48"/>
  <c r="L470" i="48"/>
  <c r="I472" i="48"/>
  <c r="J472" i="48"/>
  <c r="L472" i="48"/>
  <c r="I474" i="48"/>
  <c r="J474" i="48"/>
  <c r="L474" i="48"/>
  <c r="I476" i="48"/>
  <c r="J476" i="48"/>
  <c r="L476" i="48"/>
  <c r="I478" i="48"/>
  <c r="J478" i="48"/>
  <c r="L478" i="48"/>
  <c r="I480" i="48"/>
  <c r="J480" i="48"/>
  <c r="L480" i="48"/>
  <c r="I482" i="48"/>
  <c r="J482" i="48"/>
  <c r="L482" i="48"/>
  <c r="I484" i="48"/>
  <c r="J484" i="48"/>
  <c r="L484" i="48"/>
  <c r="I486" i="48"/>
  <c r="J486" i="48"/>
  <c r="L486" i="48"/>
  <c r="I488" i="48"/>
  <c r="J488" i="48"/>
  <c r="L488" i="48"/>
  <c r="I490" i="48"/>
  <c r="J490" i="48"/>
  <c r="L490" i="48"/>
  <c r="I492" i="48"/>
  <c r="J492" i="48"/>
  <c r="L492" i="48"/>
  <c r="I494" i="48"/>
  <c r="J494" i="48"/>
  <c r="L494" i="48"/>
  <c r="I496" i="48"/>
  <c r="J496" i="48"/>
  <c r="L496" i="48"/>
  <c r="I498" i="48"/>
  <c r="J498" i="48"/>
  <c r="L498" i="48"/>
  <c r="I500" i="48"/>
  <c r="J500" i="48"/>
  <c r="L500" i="48"/>
  <c r="I502" i="48"/>
  <c r="J502" i="48"/>
  <c r="L502" i="48"/>
  <c r="I504" i="48"/>
  <c r="J504" i="48"/>
  <c r="L504" i="48"/>
  <c r="I527" i="48"/>
  <c r="J527" i="48"/>
  <c r="L527" i="48"/>
  <c r="I529" i="48"/>
  <c r="J529" i="48"/>
  <c r="L529" i="48"/>
  <c r="I531" i="48"/>
  <c r="J531" i="48"/>
  <c r="L531" i="48"/>
  <c r="I533" i="48"/>
  <c r="J533" i="48"/>
  <c r="L533" i="48"/>
  <c r="I535" i="48"/>
  <c r="J535" i="48"/>
  <c r="L535" i="48"/>
  <c r="I537" i="48"/>
  <c r="J537" i="48"/>
  <c r="L537" i="48"/>
  <c r="I611" i="48"/>
  <c r="J611" i="48"/>
  <c r="L611" i="48"/>
  <c r="I613" i="48"/>
  <c r="J613" i="48"/>
  <c r="L613" i="48"/>
  <c r="I680" i="48"/>
  <c r="J680" i="48"/>
  <c r="L680" i="48"/>
  <c r="I682" i="48"/>
  <c r="J682" i="48"/>
  <c r="L682" i="48"/>
  <c r="C33" i="62"/>
  <c r="E33" i="62"/>
  <c r="E32" i="62"/>
  <c r="C34" i="62"/>
  <c r="H685" i="49"/>
  <c r="J8" i="49"/>
  <c r="J685" i="49"/>
  <c r="F685" i="49"/>
  <c r="G685" i="49"/>
  <c r="H685" i="48"/>
  <c r="I685" i="48"/>
  <c r="C37" i="62"/>
  <c r="E37" i="62"/>
  <c r="E34" i="62"/>
  <c r="J685" i="48"/>
  <c r="L685" i="48"/>
  <c r="D19" i="12"/>
</calcChain>
</file>

<file path=xl/sharedStrings.xml><?xml version="1.0" encoding="utf-8"?>
<sst xmlns="http://schemas.openxmlformats.org/spreadsheetml/2006/main" count="1924" uniqueCount="873">
  <si>
    <t>REMARKS</t>
  </si>
  <si>
    <t>PAYE</t>
  </si>
  <si>
    <t>STATUTORY TAX AUDIT - BASIC INFORMATION CHECKLIST</t>
  </si>
  <si>
    <t>Date</t>
  </si>
  <si>
    <t>COMPANY PROFILE</t>
  </si>
  <si>
    <t>AUDIT REPORT</t>
  </si>
  <si>
    <t>SCHEDULE OF WITHHOLDING TAX REMITTANCES</t>
  </si>
  <si>
    <t xml:space="preserve">         ABC - ID</t>
  </si>
  <si>
    <t>Total Staff Cost As Par Audited Financial Statement</t>
  </si>
  <si>
    <t>Analysis of Employee Benefit/Staff Cost</t>
  </si>
  <si>
    <t>Naira</t>
  </si>
  <si>
    <t>Employee Salaries &amp; Wages</t>
  </si>
  <si>
    <t>Pension Contribution</t>
  </si>
  <si>
    <t>Other employee benefits</t>
  </si>
  <si>
    <t>Number Staff</t>
  </si>
  <si>
    <t>Resident in Lagos</t>
  </si>
  <si>
    <t>Total as par Audited Financial Statement</t>
  </si>
  <si>
    <t>S/N</t>
  </si>
  <si>
    <t>Last Name</t>
  </si>
  <si>
    <t>First Name</t>
  </si>
  <si>
    <t>Other Name</t>
  </si>
  <si>
    <t>Staff Number</t>
  </si>
  <si>
    <t>Designation</t>
  </si>
  <si>
    <t>Location</t>
  </si>
  <si>
    <t>Basic</t>
  </si>
  <si>
    <t>Housing</t>
  </si>
  <si>
    <t>Transport</t>
  </si>
  <si>
    <t>Utility</t>
  </si>
  <si>
    <t>Dressing</t>
  </si>
  <si>
    <t>Lunch</t>
  </si>
  <si>
    <t>Leave</t>
  </si>
  <si>
    <t>Total Pay</t>
  </si>
  <si>
    <t>No. of Month</t>
  </si>
  <si>
    <t>Employees Details</t>
  </si>
  <si>
    <t>Deductions</t>
  </si>
  <si>
    <t>Pensions</t>
  </si>
  <si>
    <t>NHF</t>
  </si>
  <si>
    <t>Life Assurance</t>
  </si>
  <si>
    <t>Analysis of Payroll Cost - Nigerian Staff</t>
  </si>
  <si>
    <t>Benefits -in-kind</t>
  </si>
  <si>
    <t>Motor Vehicles</t>
  </si>
  <si>
    <t>House/Rent</t>
  </si>
  <si>
    <t>Other Benefits</t>
  </si>
  <si>
    <t>Payroll Items</t>
  </si>
  <si>
    <t>Rent</t>
  </si>
  <si>
    <t>Analysis of Payroll Cost - Expatriate</t>
  </si>
  <si>
    <t>Nationality</t>
  </si>
  <si>
    <t>Analysis of Operating Expenses</t>
  </si>
  <si>
    <t>Names of Companies/Beneficiaries</t>
  </si>
  <si>
    <t>Transaction</t>
  </si>
  <si>
    <t xml:space="preserve">Payment </t>
  </si>
  <si>
    <t>Voucher No</t>
  </si>
  <si>
    <t xml:space="preserve">Nature of </t>
  </si>
  <si>
    <t>Schedule of WHT - Payment to Individuals/Enterprises/Business Name in Lagos</t>
  </si>
  <si>
    <t>Amount</t>
  </si>
  <si>
    <t>BUSINESS/OFFICE LOCATIONS  OF TAX PAYER IN LAGOS</t>
  </si>
  <si>
    <t>Amount Paid</t>
  </si>
  <si>
    <t>Period Covered</t>
  </si>
  <si>
    <t>Date of Payment</t>
  </si>
  <si>
    <t>Receipt No</t>
  </si>
  <si>
    <t>Nature of Transaction</t>
  </si>
  <si>
    <t>Bank</t>
  </si>
  <si>
    <t>Office/Location Address</t>
  </si>
  <si>
    <t>Amount Due</t>
  </si>
  <si>
    <t xml:space="preserve"> Receipt NO</t>
  </si>
  <si>
    <t>Table of Contents</t>
  </si>
  <si>
    <t>Page</t>
  </si>
  <si>
    <t xml:space="preserve">Audit Check List </t>
  </si>
  <si>
    <t>Staff Cost Analysis</t>
  </si>
  <si>
    <t>Payroll Cost Analysis</t>
  </si>
  <si>
    <t>Analysis of Director's Emoluments</t>
  </si>
  <si>
    <t>Summary of Tax Remittances Receipts PAYE</t>
  </si>
  <si>
    <t>Business/Office Location of Tax Payer</t>
  </si>
  <si>
    <t>Company Profile</t>
  </si>
  <si>
    <t>General Information</t>
  </si>
  <si>
    <t>Audited Financial Statement</t>
  </si>
  <si>
    <t>Management Account</t>
  </si>
  <si>
    <t>Trial Balance/General Ledger</t>
  </si>
  <si>
    <t>Certificate of Incorporation</t>
  </si>
  <si>
    <t>CAC Form 2 &amp; 7</t>
  </si>
  <si>
    <t>Staff Monthly Payroll</t>
  </si>
  <si>
    <t>Staff Salary Schedule to Bank</t>
  </si>
  <si>
    <t>Sample of Employment Letters</t>
  </si>
  <si>
    <t>Scheme of Pension Remittance</t>
  </si>
  <si>
    <t>Evidence of PAYE Remittance</t>
  </si>
  <si>
    <t>Evidence of Development Levy Paid</t>
  </si>
  <si>
    <t>Directors &amp; Senior Management Staff</t>
  </si>
  <si>
    <t>Directors Emolument/Senior Management Staff Payroll</t>
  </si>
  <si>
    <t>Direct/Self Assessment</t>
  </si>
  <si>
    <t>Contract of Employment/Contract Agreement</t>
  </si>
  <si>
    <t>Expatriate</t>
  </si>
  <si>
    <t>Expatriate Payroll</t>
  </si>
  <si>
    <t>Schedule of Benefits-in-kind (Perquisites)</t>
  </si>
  <si>
    <t>Expatriate Contract/Terms of Employment</t>
  </si>
  <si>
    <t>Employers' Annual Declaration Form Filed For Expatriates</t>
  </si>
  <si>
    <t>Company's Expatriate Quota Grant/Permit</t>
  </si>
  <si>
    <t>Monthly Expatriate Returns to Immigration</t>
  </si>
  <si>
    <t>Evidence of Salary Paid in Nigeria and Abroad</t>
  </si>
  <si>
    <t>Schedule of Benefits-in-kind</t>
  </si>
  <si>
    <t>Rent Agreement for Expatriate Residence</t>
  </si>
  <si>
    <t>Registration/Renewal of CERPAC</t>
  </si>
  <si>
    <t>Withholding Tax</t>
  </si>
  <si>
    <t>Evidence of Business Premises Paid</t>
  </si>
  <si>
    <t>Schedule Upront/Quarterly Payments</t>
  </si>
  <si>
    <t>Schedule Non-payroll payments to Staff</t>
  </si>
  <si>
    <t>Schedule of Benefits-in-kind to staff</t>
  </si>
  <si>
    <t>List of Branches in Nigeria</t>
  </si>
  <si>
    <t>List of Location/Offices in Lagos</t>
  </si>
  <si>
    <t>List of Vendors/Suppliers</t>
  </si>
  <si>
    <t>Schedule of Dividend Paid to Shareholders</t>
  </si>
  <si>
    <t>Copy of Office Rent Agreements</t>
  </si>
  <si>
    <t>Evidence of WHT remittance</t>
  </si>
  <si>
    <t>Schedule of Interest Paid to Customers/Depositors</t>
  </si>
  <si>
    <t>Schedule of Commission Paid to Agents/Marketers</t>
  </si>
  <si>
    <t>Schedule of Withholding Tax</t>
  </si>
  <si>
    <t>Schedule of List of Tax Payers</t>
  </si>
  <si>
    <t>Schedule of Withholding Tax Remittances</t>
  </si>
  <si>
    <t>TAX STATION REGISTERED:</t>
  </si>
  <si>
    <t>Schedule of WHT payment to Vendors/Suppliers</t>
  </si>
  <si>
    <t>Evidence of Life Assurance Policy</t>
  </si>
  <si>
    <t>Evidence of Gratuities</t>
  </si>
  <si>
    <t>Evidence of NHIS</t>
  </si>
  <si>
    <t>Evidence of NHF</t>
  </si>
  <si>
    <t>NHIS</t>
  </si>
  <si>
    <t>Gratuity</t>
  </si>
  <si>
    <t>Others*</t>
  </si>
  <si>
    <r>
      <rPr>
        <sz val="12"/>
        <rFont val="Arial"/>
        <family val="2"/>
      </rPr>
      <t>*</t>
    </r>
    <r>
      <rPr>
        <sz val="10"/>
        <rFont val="Arial"/>
        <family val="2"/>
      </rPr>
      <t xml:space="preserve"> Please Specify</t>
    </r>
  </si>
  <si>
    <t>Pensionable Income</t>
  </si>
  <si>
    <t>Non Pensionable Income</t>
  </si>
  <si>
    <t>One-Off Allowances</t>
  </si>
  <si>
    <t>Life Assurance Premium</t>
  </si>
  <si>
    <t>Hotel Occupancy &amp; Restaurant Consumption</t>
  </si>
  <si>
    <t>Remittances</t>
  </si>
  <si>
    <t>TOTAL</t>
  </si>
  <si>
    <t>Development Levy</t>
  </si>
  <si>
    <t>Others</t>
  </si>
  <si>
    <t>Evidence of Previous Year Audit</t>
  </si>
  <si>
    <t>7</t>
  </si>
  <si>
    <t>Hotel Occupancy &amp; Restaurant Consumption Check List</t>
  </si>
  <si>
    <t>Employer Annual Declaration Form (H1)</t>
  </si>
  <si>
    <t>3a</t>
  </si>
  <si>
    <t>3b</t>
  </si>
  <si>
    <t xml:space="preserve">YEAR OF INCORPORATION:  </t>
  </si>
  <si>
    <t>5a</t>
  </si>
  <si>
    <t>5b</t>
  </si>
  <si>
    <t>NAME OF COMPANY:</t>
  </si>
  <si>
    <t>CONTACT's E-MAIL ADDRESS:</t>
  </si>
  <si>
    <t xml:space="preserve">CORPORATE E-MAIL ADDRESS:   </t>
  </si>
  <si>
    <t>PRESENT ADDRESS AND LOCATION:</t>
  </si>
  <si>
    <t>NATURE OF BUSINESS:</t>
  </si>
  <si>
    <t>PHONE NO OF THE MD/THE ACCOUNTANT:</t>
  </si>
  <si>
    <t>RC NO:</t>
  </si>
  <si>
    <t>AGENCY REF:</t>
  </si>
  <si>
    <t>SECTOR:</t>
  </si>
  <si>
    <t>YEAR END:</t>
  </si>
  <si>
    <t>PERIOD OF AUDIT:</t>
  </si>
  <si>
    <t>NAME &amp; SIGN OF TAMA:</t>
  </si>
  <si>
    <t>NAME &amp; SIGN OF BIR STAFF: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</si>
  <si>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</si>
  <si>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</si>
  <si>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</si>
  <si>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</si>
  <si>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</si>
  <si>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</si>
  <si>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</si>
  <si>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</si>
  <si>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</si>
  <si>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</si>
  <si>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</si>
  <si>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</si>
  <si>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LAGOS STATE GOVERNMENT</t>
  </si>
  <si>
    <t>WHT SUMMARY SHEET</t>
  </si>
  <si>
    <t>GROSS</t>
  </si>
  <si>
    <t>RATE</t>
  </si>
  <si>
    <t>WHT DUE</t>
  </si>
  <si>
    <t>N</t>
  </si>
  <si>
    <t>%</t>
  </si>
  <si>
    <t>CONTRACT / SUPPLY</t>
  </si>
  <si>
    <t>LEGAL / PROF. FEES</t>
  </si>
  <si>
    <t>SERVICE</t>
  </si>
  <si>
    <t>AUDIT FEES</t>
  </si>
  <si>
    <t>DIVIDENDS</t>
  </si>
  <si>
    <t>DIRECTORS FEES</t>
  </si>
  <si>
    <t>RENT</t>
  </si>
  <si>
    <t>COMMISSION</t>
  </si>
  <si>
    <t xml:space="preserve">S/N </t>
  </si>
  <si>
    <t>NAME</t>
  </si>
  <si>
    <t>DESIGNATION</t>
  </si>
  <si>
    <t xml:space="preserve">ANNUAL TOTAL GROSS INCOME + BIK </t>
  </si>
  <si>
    <t>CRA</t>
  </si>
  <si>
    <t>TAXABLE INCOME</t>
  </si>
  <si>
    <t>ANNUAL TAX</t>
  </si>
  <si>
    <t>MONTHLY TAX</t>
  </si>
  <si>
    <t>MNTH</t>
  </si>
  <si>
    <t>PRO BY MNTH</t>
  </si>
  <si>
    <t>PENSION</t>
  </si>
  <si>
    <t>Tax Liability:</t>
  </si>
  <si>
    <t>Local</t>
  </si>
  <si>
    <t>Sub-Total</t>
  </si>
  <si>
    <t>Total Remittances</t>
  </si>
  <si>
    <t>Total PAYE Outstand'g Remit'nces</t>
  </si>
  <si>
    <t>WHT</t>
  </si>
  <si>
    <t>Directors' Fees</t>
  </si>
  <si>
    <t>Services</t>
  </si>
  <si>
    <t>Legal &amp; Prof Fees</t>
  </si>
  <si>
    <t>Contract &amp; Supply</t>
  </si>
  <si>
    <t>Less: Remittances</t>
  </si>
  <si>
    <t>Total WHT Outstanding</t>
  </si>
  <si>
    <t>PAYE &amp; WHT Outst'dg</t>
  </si>
  <si>
    <t>Business Premises</t>
  </si>
  <si>
    <t>Add: 10% Penalty</t>
  </si>
  <si>
    <t>Add: 21% Interest</t>
  </si>
  <si>
    <t>TOTAL AMOUNT DUE</t>
  </si>
  <si>
    <t>Commission</t>
  </si>
  <si>
    <t>Dividend</t>
  </si>
  <si>
    <t xml:space="preserve">WITHHOLDING </t>
  </si>
  <si>
    <t>AMOUNT</t>
  </si>
  <si>
    <t>THE COMPANY</t>
  </si>
  <si>
    <t>STAFF</t>
  </si>
  <si>
    <t>There were evidence of PAYE deducted from the company's staff emolument and remittances were made.</t>
  </si>
  <si>
    <t>The evidence of remittances were included in the report of the company.</t>
  </si>
  <si>
    <t>WITHHOLDING TAX</t>
  </si>
  <si>
    <t>Extraction were made from the books and records presented to the team. There was evidence of payment</t>
  </si>
  <si>
    <t>in this regard.</t>
  </si>
  <si>
    <t>DEVELOPMENT LEVY</t>
  </si>
  <si>
    <t>There was evidence of payment in this regard.</t>
  </si>
  <si>
    <t>BUSINESS PREMISES</t>
  </si>
  <si>
    <t>Total PAYE liability</t>
  </si>
  <si>
    <t>Local &amp; Exp.</t>
  </si>
  <si>
    <t>Add: 12% Interest on WHT</t>
  </si>
  <si>
    <t>BHT</t>
  </si>
  <si>
    <t>CONSULTANCY FEE</t>
  </si>
  <si>
    <t xml:space="preserve">Registration No ( RC ):  </t>
  </si>
  <si>
    <t xml:space="preserve">Date of Registration: </t>
  </si>
  <si>
    <t xml:space="preserve">Nature of Business: </t>
  </si>
  <si>
    <t xml:space="preserve">JAN-DEC :  </t>
  </si>
  <si>
    <t xml:space="preserve">NAME: </t>
  </si>
  <si>
    <t>NET INCOME</t>
  </si>
  <si>
    <t>Audit Fees</t>
  </si>
  <si>
    <t>LAGOS STATE INTERNAL REVENUE SERVICES</t>
  </si>
  <si>
    <t>TAX AUDIT REPORT</t>
  </si>
  <si>
    <t>NAME OF THE COMPANY:</t>
  </si>
  <si>
    <t>3C HUB BRAND MANAGEMENT LIMITED</t>
  </si>
  <si>
    <t>PREPARED BY</t>
  </si>
  <si>
    <t>PETABIZ NIGERIA LIMITED</t>
  </si>
  <si>
    <t>2023&amp;2024</t>
  </si>
  <si>
    <t xml:space="preserve">3C HUB BRAND MANAGEMENT LIMITED was incorporated under COMPANIES AND ALLIED MATTERS </t>
  </si>
  <si>
    <t xml:space="preserve"> ACT 2004 as a Limited Company on the 5TH June 2014 with RC number 1195308</t>
  </si>
  <si>
    <t xml:space="preserve">The company is into Trading </t>
  </si>
  <si>
    <t>The Company engaged the services of 217 Local staff and 5 expatriate staff in the 2021 year audit.</t>
  </si>
  <si>
    <t>5TH JUNE 2014</t>
  </si>
  <si>
    <t>20, OBAFEMI AWOLOWA WAY, IKEJA, LAGOS</t>
  </si>
  <si>
    <t>finance.3cng@yiwill.com</t>
  </si>
  <si>
    <t>31ST DECEMBER</t>
  </si>
  <si>
    <t>TRADING</t>
  </si>
  <si>
    <t>1195308'</t>
  </si>
  <si>
    <t>LA/IRS/TA/C14326/FS033/NA/38428//05/25</t>
  </si>
  <si>
    <t xml:space="preserve">            JUNAID-OWOKORODU KAFILAT</t>
  </si>
  <si>
    <t xml:space="preserve">             SOYOMBO ANTHONY ADEYEMI</t>
  </si>
  <si>
    <t>AKINRINOLA ADEKEMI OLUSEUN</t>
  </si>
  <si>
    <t>08142121843</t>
  </si>
  <si>
    <t xml:space="preserve">                                                                 TRADING</t>
  </si>
  <si>
    <t>RC NO : 1195308</t>
  </si>
  <si>
    <t>COMPANY NAME : 3C HUB BRAND MANAGEMENT</t>
  </si>
  <si>
    <t>ADDRESS : 20, OBAFEMI AWOLOWA WAY, IKEJA, LAGOS</t>
  </si>
  <si>
    <t>AUDIT TEAM LEADER:MRS JUNAID-OWOKORODU KAFILAT</t>
  </si>
  <si>
    <t>YEARS OF  ASSESSMENT : 2023&amp;2024</t>
  </si>
  <si>
    <t>DATE OF AUDIT : 18/07/2025</t>
  </si>
  <si>
    <t>TAMA: PETABIZ NIGERIA LIMITED</t>
  </si>
  <si>
    <t>54095484/DPFVLCSA</t>
  </si>
  <si>
    <t>ACCESS</t>
  </si>
  <si>
    <t>18/01/2024</t>
  </si>
  <si>
    <t>54095437/CYYZHVGS</t>
  </si>
  <si>
    <t>5409543/VRBJIRSE</t>
  </si>
  <si>
    <t>54095452/UVKVHHVE</t>
  </si>
  <si>
    <t>54095465/GXTSGMJB</t>
  </si>
  <si>
    <t>54095490/FSVKKYTF</t>
  </si>
  <si>
    <t>16/01/2025</t>
  </si>
  <si>
    <t>57457377/WRFJFADY</t>
  </si>
  <si>
    <t>57457850/BRFVLEJQ</t>
  </si>
  <si>
    <t>57457863/VKLPYIXN</t>
  </si>
  <si>
    <t>57458222/UZGXZPCK</t>
  </si>
  <si>
    <t>57458218/NYBPWCA</t>
  </si>
  <si>
    <t>57457832/UWTNFLPA</t>
  </si>
  <si>
    <t>57457370/DRPYJLXH</t>
  </si>
  <si>
    <t>54091900/VCPBKLDM</t>
  </si>
  <si>
    <t>57512568/GYNHYVYI</t>
  </si>
  <si>
    <t>54023607/LAEGGADY</t>
  </si>
  <si>
    <t>51239606/TNMGNVUP</t>
  </si>
  <si>
    <t>22/03/2023</t>
  </si>
  <si>
    <t>FCMB</t>
  </si>
  <si>
    <t>51239599/NRHPNMWI</t>
  </si>
  <si>
    <t>51720496/XJYHLULI</t>
  </si>
  <si>
    <t>18/03/2023</t>
  </si>
  <si>
    <t>51720513/ANLATDFZ</t>
  </si>
  <si>
    <t>51941341/MVWHPLHW</t>
  </si>
  <si>
    <t>52216957/JUKYUZUR</t>
  </si>
  <si>
    <t>52521244/ZDKBGECC</t>
  </si>
  <si>
    <t>52769775/CRIXGYDV</t>
  </si>
  <si>
    <t>53106832/KEPNJGDD</t>
  </si>
  <si>
    <t>53433029/RZNAWYNZ</t>
  </si>
  <si>
    <t>53819864/QJWRMQDS</t>
  </si>
  <si>
    <t>54023592/JAEJRYRT</t>
  </si>
  <si>
    <t>SUMMARY OF TAX REMITTANCE RECEIPT  2024  PAYE</t>
  </si>
  <si>
    <t>55304724/ktlpdqii</t>
  </si>
  <si>
    <t>24/05/2024</t>
  </si>
  <si>
    <t>55567069/AGMGFMUR</t>
  </si>
  <si>
    <t>55886106/ZANJHMKW</t>
  </si>
  <si>
    <t>31/07/2024</t>
  </si>
  <si>
    <t>56037877/GYCFMTHE</t>
  </si>
  <si>
    <t>56151305/TAKKZCQP</t>
  </si>
  <si>
    <t>20/09/2024</t>
  </si>
  <si>
    <t>56593668/DPTVPGYG</t>
  </si>
  <si>
    <t>22/10/2024</t>
  </si>
  <si>
    <t>56894697/ATFALKRE</t>
  </si>
  <si>
    <t>25/11/2024</t>
  </si>
  <si>
    <t>57374232/DLFRLXMD</t>
  </si>
  <si>
    <t>57374082/DXTKHMGP</t>
  </si>
  <si>
    <t>STATUS REPORT ON 3C HUB BRAND MANAGEMENT LIMITED</t>
  </si>
  <si>
    <t>54409365/YKZAJTJN</t>
  </si>
  <si>
    <t>15/02/2024</t>
  </si>
  <si>
    <t>54725500/AYSWDGBU</t>
  </si>
  <si>
    <t>21/03/2024</t>
  </si>
  <si>
    <t>54947689/USELDNTH</t>
  </si>
  <si>
    <t>18/04/2024</t>
  </si>
  <si>
    <t>26/06/2024</t>
  </si>
  <si>
    <t>Schedule of Development Levy Remittances  LOCAL 2023</t>
  </si>
  <si>
    <t>Schedule of Development Levy Remittances  EXPATRAITE 2023</t>
  </si>
  <si>
    <t>Schedule of Development Levy Remittances  LOCAL 2024</t>
  </si>
  <si>
    <t>Schedule of Development Levy Remittances  EXPATRAITE 2024</t>
  </si>
  <si>
    <t>21/01/2025</t>
  </si>
  <si>
    <t>57506423/SYVKXDFH</t>
  </si>
  <si>
    <t>57506990/WVNHMFVR</t>
  </si>
  <si>
    <t>55787462/DRPSPEWA</t>
  </si>
  <si>
    <t>19/07/2024</t>
  </si>
  <si>
    <t>ZENITH</t>
  </si>
  <si>
    <t>SUMMARY OF TAX REMITTANCE RECEIPT DIRECT ASSESSMENT  2023</t>
  </si>
  <si>
    <t>SUMMARY OF TAX REMITTANCE RECEIPT DIRECT ASSESSMENT  2024</t>
  </si>
  <si>
    <t>58360132/CEQCZLDV</t>
  </si>
  <si>
    <t>30/04/2025</t>
  </si>
  <si>
    <t xml:space="preserve">SUMMARY OF TAX REMITTANCE RECEIPT  2023  PAYE </t>
  </si>
  <si>
    <t xml:space="preserve"> 30/08/2024</t>
  </si>
  <si>
    <t xml:space="preserve">                                                                              3C HUB BRAND MANAGEMENT LIMITED</t>
  </si>
  <si>
    <t xml:space="preserve">                                                   ANNUAL PAYROLL FOR 2023</t>
  </si>
  <si>
    <t>NO OF EMPLOYEE</t>
  </si>
  <si>
    <t>Tax Payer Number</t>
  </si>
  <si>
    <t>Surname</t>
  </si>
  <si>
    <t>Middle Name</t>
  </si>
  <si>
    <t>No. of Months</t>
  </si>
  <si>
    <t>Gross Income</t>
  </si>
  <si>
    <t>Chargeable Income</t>
  </si>
  <si>
    <t>Tax Paid</t>
  </si>
  <si>
    <t>N-10811847</t>
  </si>
  <si>
    <t>Ihezie</t>
  </si>
  <si>
    <t>Monica</t>
  </si>
  <si>
    <t>020 Officer</t>
  </si>
  <si>
    <t>N-2986347</t>
  </si>
  <si>
    <t>Victor.</t>
  </si>
  <si>
    <t>N.</t>
  </si>
  <si>
    <t>Nwaoha</t>
  </si>
  <si>
    <t>Info Tech</t>
  </si>
  <si>
    <t>N-4078857</t>
  </si>
  <si>
    <t>Adesola</t>
  </si>
  <si>
    <t>Adeyinka</t>
  </si>
  <si>
    <t>Account officer</t>
  </si>
  <si>
    <t>N-4081285</t>
  </si>
  <si>
    <t>Egbuchulam</t>
  </si>
  <si>
    <t>Francis</t>
  </si>
  <si>
    <t>Electronics Aftersales Manager</t>
  </si>
  <si>
    <t>N-4129622</t>
  </si>
  <si>
    <t>Timothy</t>
  </si>
  <si>
    <t>O</t>
  </si>
  <si>
    <t>Ikponmwen</t>
  </si>
  <si>
    <t>Manager</t>
  </si>
  <si>
    <t>N-4345599</t>
  </si>
  <si>
    <t>Kolawole</t>
  </si>
  <si>
    <t>Opeyemi</t>
  </si>
  <si>
    <t>Material Officer</t>
  </si>
  <si>
    <t>N-4363325</t>
  </si>
  <si>
    <t>Ginikanwa</t>
  </si>
  <si>
    <t>Darlington</t>
  </si>
  <si>
    <t>Uzoma</t>
  </si>
  <si>
    <t>Maintenance</t>
  </si>
  <si>
    <t>N-4363640</t>
  </si>
  <si>
    <t>Kuponu</t>
  </si>
  <si>
    <t>Sesi</t>
  </si>
  <si>
    <t>Egbemimo</t>
  </si>
  <si>
    <t>N-4364503</t>
  </si>
  <si>
    <t>Ayira</t>
  </si>
  <si>
    <t>Peace</t>
  </si>
  <si>
    <t>Cashier</t>
  </si>
  <si>
    <t>N-4364986</t>
  </si>
  <si>
    <t>Kusagba</t>
  </si>
  <si>
    <t>Oluwakayode</t>
  </si>
  <si>
    <t>Stock Audior</t>
  </si>
  <si>
    <t>N-4369098</t>
  </si>
  <si>
    <t>Okoro</t>
  </si>
  <si>
    <t>Lilian</t>
  </si>
  <si>
    <t>N-4370821</t>
  </si>
  <si>
    <t>Happiness</t>
  </si>
  <si>
    <t>Store Supervisor</t>
  </si>
  <si>
    <t>N-4374519</t>
  </si>
  <si>
    <t>Ezioha</t>
  </si>
  <si>
    <t>Joel</t>
  </si>
  <si>
    <t>Ifeanyi</t>
  </si>
  <si>
    <t>N-4375382</t>
  </si>
  <si>
    <t>Omolewa</t>
  </si>
  <si>
    <t>Mobolaji</t>
  </si>
  <si>
    <t>N-4377083</t>
  </si>
  <si>
    <t>Oguh</t>
  </si>
  <si>
    <t>Chrysantus</t>
  </si>
  <si>
    <t>Ogadimma</t>
  </si>
  <si>
    <t>Maintainance</t>
  </si>
  <si>
    <t>N-4382660</t>
  </si>
  <si>
    <t>Adetunji</t>
  </si>
  <si>
    <t>John</t>
  </si>
  <si>
    <t>Oluwatosin</t>
  </si>
  <si>
    <t>N-4398715</t>
  </si>
  <si>
    <t>Otache</t>
  </si>
  <si>
    <t>Ruth</t>
  </si>
  <si>
    <t>Ene</t>
  </si>
  <si>
    <t>N-4398923</t>
  </si>
  <si>
    <t>Roland</t>
  </si>
  <si>
    <t>Ebramieta</t>
  </si>
  <si>
    <t>N-4399054</t>
  </si>
  <si>
    <t>Adesina</t>
  </si>
  <si>
    <t>Olawole</t>
  </si>
  <si>
    <t>Daniel</t>
  </si>
  <si>
    <t>N-4399142</t>
  </si>
  <si>
    <t>Onyenoro</t>
  </si>
  <si>
    <t>Obinna</t>
  </si>
  <si>
    <t>Trainee Manager</t>
  </si>
  <si>
    <t>N-4405398</t>
  </si>
  <si>
    <t>Olusola</t>
  </si>
  <si>
    <t>Odunayo</t>
  </si>
  <si>
    <t>Assistant Sales Manager</t>
  </si>
  <si>
    <t>N-4409529</t>
  </si>
  <si>
    <t>Olorunsina</t>
  </si>
  <si>
    <t>Kemi</t>
  </si>
  <si>
    <t>N-4410880</t>
  </si>
  <si>
    <t>Moshood</t>
  </si>
  <si>
    <t>Rasheed</t>
  </si>
  <si>
    <t>N-4411214</t>
  </si>
  <si>
    <t>Babalola</t>
  </si>
  <si>
    <t>omolara</t>
  </si>
  <si>
    <t>A</t>
  </si>
  <si>
    <t>N-4421971</t>
  </si>
  <si>
    <t>Ehiagwina</t>
  </si>
  <si>
    <t>E.</t>
  </si>
  <si>
    <t>Peter</t>
  </si>
  <si>
    <t>N-4423754</t>
  </si>
  <si>
    <t>Oduyebo</t>
  </si>
  <si>
    <t>Samuel</t>
  </si>
  <si>
    <t>N-4443819</t>
  </si>
  <si>
    <t>Ndukuba</t>
  </si>
  <si>
    <t>Uzoamaka</t>
  </si>
  <si>
    <t>Logistics Assistant 1</t>
  </si>
  <si>
    <t>N-4443831</t>
  </si>
  <si>
    <t>Ajayi</t>
  </si>
  <si>
    <t>Olasunkanmi</t>
  </si>
  <si>
    <t>Tunde</t>
  </si>
  <si>
    <t>Purchase Assistant</t>
  </si>
  <si>
    <t>N-4443874</t>
  </si>
  <si>
    <t>Jolayemi</t>
  </si>
  <si>
    <t>Solomon</t>
  </si>
  <si>
    <t>Oluwaseun</t>
  </si>
  <si>
    <t>Instock &amp; Transfer</t>
  </si>
  <si>
    <t>N-4444058</t>
  </si>
  <si>
    <t>Okpeahior</t>
  </si>
  <si>
    <t>Foster</t>
  </si>
  <si>
    <t>Accessory &amp; Transfer</t>
  </si>
  <si>
    <t>N-4444065</t>
  </si>
  <si>
    <t>Alongo</t>
  </si>
  <si>
    <t>Babatunde</t>
  </si>
  <si>
    <t>N-4525256</t>
  </si>
  <si>
    <t>Gbamire</t>
  </si>
  <si>
    <t>Sunday</t>
  </si>
  <si>
    <t>Decoration officer</t>
  </si>
  <si>
    <t>N-5351453</t>
  </si>
  <si>
    <t>Aregbesola</t>
  </si>
  <si>
    <t>Joshua</t>
  </si>
  <si>
    <t>Transfer Assistant</t>
  </si>
  <si>
    <t>N-5358663</t>
  </si>
  <si>
    <t>Onayemi</t>
  </si>
  <si>
    <t>Olatunde</t>
  </si>
  <si>
    <t>Olalekan</t>
  </si>
  <si>
    <t>Regional Manager</t>
  </si>
  <si>
    <t>N-5358807</t>
  </si>
  <si>
    <t>Osuji</t>
  </si>
  <si>
    <t>Franklin</t>
  </si>
  <si>
    <t>N-5359619</t>
  </si>
  <si>
    <t>Gloria</t>
  </si>
  <si>
    <t>Awele</t>
  </si>
  <si>
    <t>Okonmah</t>
  </si>
  <si>
    <t>N-5361699</t>
  </si>
  <si>
    <t>Adewunmi</t>
  </si>
  <si>
    <t>Ayomi</t>
  </si>
  <si>
    <t>N-5361861</t>
  </si>
  <si>
    <t>ALICE</t>
  </si>
  <si>
    <t>GLORIA</t>
  </si>
  <si>
    <t>IDOBOGBE</t>
  </si>
  <si>
    <t>N-5362749</t>
  </si>
  <si>
    <t>Iwalokun</t>
  </si>
  <si>
    <t>oluwatobi</t>
  </si>
  <si>
    <t>N-5374604</t>
  </si>
  <si>
    <t>Olawuyi</t>
  </si>
  <si>
    <t>Damilola</t>
  </si>
  <si>
    <t>Electronics FSM</t>
  </si>
  <si>
    <t>N-5374794</t>
  </si>
  <si>
    <t>Okparaku</t>
  </si>
  <si>
    <t>Chinonso</t>
  </si>
  <si>
    <t>Maintenance Assistant</t>
  </si>
  <si>
    <t>N-5375221</t>
  </si>
  <si>
    <t>Odeyemi</t>
  </si>
  <si>
    <t>Grace.</t>
  </si>
  <si>
    <t>K.</t>
  </si>
  <si>
    <t>N-5378640</t>
  </si>
  <si>
    <t>Sanni</t>
  </si>
  <si>
    <t>Oluwatoyin</t>
  </si>
  <si>
    <t>Franchise Officer-general</t>
  </si>
  <si>
    <t>N-5378662</t>
  </si>
  <si>
    <t>Oguntola</t>
  </si>
  <si>
    <t>Tunji</t>
  </si>
  <si>
    <t>Store Management</t>
  </si>
  <si>
    <t>N-5381851</t>
  </si>
  <si>
    <t>Adegbite</t>
  </si>
  <si>
    <t>Fatai</t>
  </si>
  <si>
    <t>N-5382358</t>
  </si>
  <si>
    <t>Dairo</t>
  </si>
  <si>
    <t>Temitope</t>
  </si>
  <si>
    <t>N-5382387</t>
  </si>
  <si>
    <t>Njoku</t>
  </si>
  <si>
    <t>Doris</t>
  </si>
  <si>
    <t>Oluchi</t>
  </si>
  <si>
    <t>HR</t>
  </si>
  <si>
    <t>N-5392329</t>
  </si>
  <si>
    <t>Ogungboye</t>
  </si>
  <si>
    <t>Bukola</t>
  </si>
  <si>
    <t>Ganiyat</t>
  </si>
  <si>
    <t>N-5402513</t>
  </si>
  <si>
    <t>Rafiu</t>
  </si>
  <si>
    <t>Abiola</t>
  </si>
  <si>
    <t>Sodiq</t>
  </si>
  <si>
    <t>Logistics Officer</t>
  </si>
  <si>
    <t>N-5940920</t>
  </si>
  <si>
    <t>Abdulkadir</t>
  </si>
  <si>
    <t>Idoko</t>
  </si>
  <si>
    <t>Haruna</t>
  </si>
  <si>
    <t>N-6029271</t>
  </si>
  <si>
    <t>Jonathan</t>
  </si>
  <si>
    <t>Yesufu</t>
  </si>
  <si>
    <t>Afekorioh</t>
  </si>
  <si>
    <t>Security Officer</t>
  </si>
  <si>
    <t>N-6037119</t>
  </si>
  <si>
    <t>Nwachukwu</t>
  </si>
  <si>
    <t>Wisdom</t>
  </si>
  <si>
    <t>Driver</t>
  </si>
  <si>
    <t>N-6110894</t>
  </si>
  <si>
    <t>Vivian</t>
  </si>
  <si>
    <t>Duruzor</t>
  </si>
  <si>
    <t>Ugbe</t>
  </si>
  <si>
    <t>N-6714505</t>
  </si>
  <si>
    <t>Oreva</t>
  </si>
  <si>
    <t>Ikokide</t>
  </si>
  <si>
    <t>N-6816740</t>
  </si>
  <si>
    <t>Emuze</t>
  </si>
  <si>
    <t>Smart</t>
  </si>
  <si>
    <t>Osas</t>
  </si>
  <si>
    <t>Data Analyst</t>
  </si>
  <si>
    <t>N-6930031</t>
  </si>
  <si>
    <t>Otunuga</t>
  </si>
  <si>
    <t>Williams</t>
  </si>
  <si>
    <t>N-7011328</t>
  </si>
  <si>
    <t>Dada</t>
  </si>
  <si>
    <t>Israel</t>
  </si>
  <si>
    <t>N-7131566</t>
  </si>
  <si>
    <t>Chidiebere</t>
  </si>
  <si>
    <t>Emeka</t>
  </si>
  <si>
    <t>.O.</t>
  </si>
  <si>
    <t>N-7134048</t>
  </si>
  <si>
    <t>Ajibola</t>
  </si>
  <si>
    <t>Rasaq</t>
  </si>
  <si>
    <t>Akin</t>
  </si>
  <si>
    <t>Aftersales Officer</t>
  </si>
  <si>
    <t>N-7398981</t>
  </si>
  <si>
    <t>Victoria</t>
  </si>
  <si>
    <t>N-7464421</t>
  </si>
  <si>
    <t>Taiwo</t>
  </si>
  <si>
    <t>Mathew</t>
  </si>
  <si>
    <t>N-7605586</t>
  </si>
  <si>
    <t>Isaac</t>
  </si>
  <si>
    <t>Abiodun</t>
  </si>
  <si>
    <t>N- 4090287</t>
  </si>
  <si>
    <t>Adeola</t>
  </si>
  <si>
    <t>A.Openaike</t>
  </si>
  <si>
    <t>N-3826304</t>
  </si>
  <si>
    <t>Banuso</t>
  </si>
  <si>
    <t>Michael</t>
  </si>
  <si>
    <t>Musbau</t>
  </si>
  <si>
    <t>Salam</t>
  </si>
  <si>
    <t>Project Manager</t>
  </si>
  <si>
    <t>N-1199913</t>
  </si>
  <si>
    <t>Adalemo</t>
  </si>
  <si>
    <t>Babatope</t>
  </si>
  <si>
    <t>N-797883</t>
  </si>
  <si>
    <t>Alex</t>
  </si>
  <si>
    <t>Aleburu</t>
  </si>
  <si>
    <t>N-5351595</t>
  </si>
  <si>
    <t>Oyeniyi</t>
  </si>
  <si>
    <t>Samson</t>
  </si>
  <si>
    <t>Olayiwole</t>
  </si>
  <si>
    <t>Legal Adviser</t>
  </si>
  <si>
    <t>N-1221404</t>
  </si>
  <si>
    <t>Adeboye</t>
  </si>
  <si>
    <t>Adewale</t>
  </si>
  <si>
    <t>Store keeper</t>
  </si>
  <si>
    <t>N-1199850</t>
  </si>
  <si>
    <t>Adekunle</t>
  </si>
  <si>
    <t>David</t>
  </si>
  <si>
    <t>N-1198969</t>
  </si>
  <si>
    <t>Adeleye</t>
  </si>
  <si>
    <t>N-1502391</t>
  </si>
  <si>
    <t>Kayode</t>
  </si>
  <si>
    <t>Accessories Manager</t>
  </si>
  <si>
    <t>N-1679286</t>
  </si>
  <si>
    <t>Adeniyi</t>
  </si>
  <si>
    <t>Adetokunbo</t>
  </si>
  <si>
    <t>N-3955784</t>
  </si>
  <si>
    <t>Adesanya</t>
  </si>
  <si>
    <t>Oghoho</t>
  </si>
  <si>
    <t>Warehouse Supervisor</t>
  </si>
  <si>
    <t>N-1679131</t>
  </si>
  <si>
    <t>Adisa</t>
  </si>
  <si>
    <t>Saheed</t>
  </si>
  <si>
    <t>Abolore</t>
  </si>
  <si>
    <t>N-1803117</t>
  </si>
  <si>
    <t>Dolapo</t>
  </si>
  <si>
    <t>N-5303415</t>
  </si>
  <si>
    <t>Akinyemi</t>
  </si>
  <si>
    <t>Ibukun</t>
  </si>
  <si>
    <t>N-1955860</t>
  </si>
  <si>
    <t>Alaka</t>
  </si>
  <si>
    <t>Micheal</t>
  </si>
  <si>
    <t>N-7759056</t>
  </si>
  <si>
    <t>Alfonso</t>
  </si>
  <si>
    <t>Oladimeji</t>
  </si>
  <si>
    <t>N-2981688</t>
  </si>
  <si>
    <t>Alimi</t>
  </si>
  <si>
    <t>Olanrewaju</t>
  </si>
  <si>
    <t>Accessory Officer</t>
  </si>
  <si>
    <t>N-1955757</t>
  </si>
  <si>
    <t>Aliu</t>
  </si>
  <si>
    <t>Yakub</t>
  </si>
  <si>
    <t>N-385931</t>
  </si>
  <si>
    <t>Ayang</t>
  </si>
  <si>
    <t>Mathias</t>
  </si>
  <si>
    <t>Adomi</t>
  </si>
  <si>
    <t>Maintaince</t>
  </si>
  <si>
    <t>N-2981128</t>
  </si>
  <si>
    <t>Ayeyo</t>
  </si>
  <si>
    <t>Oluwasegun</t>
  </si>
  <si>
    <t>N-7033446</t>
  </si>
  <si>
    <t>Bonioly</t>
  </si>
  <si>
    <t>Adetayo</t>
  </si>
  <si>
    <t>Ayobami</t>
  </si>
  <si>
    <t>Accessory Assistant</t>
  </si>
  <si>
    <t>N-580351</t>
  </si>
  <si>
    <t>N-570446</t>
  </si>
  <si>
    <t>Dennis</t>
  </si>
  <si>
    <t>Anna</t>
  </si>
  <si>
    <t>N-2330418</t>
  </si>
  <si>
    <t>Edet</t>
  </si>
  <si>
    <t>Lucky</t>
  </si>
  <si>
    <t>N-570487</t>
  </si>
  <si>
    <t>Ehighalua</t>
  </si>
  <si>
    <t>Blessing</t>
  </si>
  <si>
    <t>N-4839578</t>
  </si>
  <si>
    <t>Ejikemenwa</t>
  </si>
  <si>
    <t>Chinyere</t>
  </si>
  <si>
    <t>N-2981068</t>
  </si>
  <si>
    <t>Elimian</t>
  </si>
  <si>
    <t>Okojie</t>
  </si>
  <si>
    <t>Omozokpa</t>
  </si>
  <si>
    <t>N-1328257</t>
  </si>
  <si>
    <t>Elvis</t>
  </si>
  <si>
    <t>Uche</t>
  </si>
  <si>
    <t>Nkwocha</t>
  </si>
  <si>
    <t>N-2131122</t>
  </si>
  <si>
    <t>Emetoh</t>
  </si>
  <si>
    <t>Chizoba</t>
  </si>
  <si>
    <t>Genevieve</t>
  </si>
  <si>
    <t>N-2330409</t>
  </si>
  <si>
    <t>Evborokhai</t>
  </si>
  <si>
    <t>Aigboje</t>
  </si>
  <si>
    <t>Courage</t>
  </si>
  <si>
    <t>N-3519433</t>
  </si>
  <si>
    <t>Gbadamosi</t>
  </si>
  <si>
    <t>Gabriel</t>
  </si>
  <si>
    <t>Store Supervior</t>
  </si>
  <si>
    <t>N-2330446</t>
  </si>
  <si>
    <t>Hassan</t>
  </si>
  <si>
    <t>Isah</t>
  </si>
  <si>
    <t>Wood worker</t>
  </si>
  <si>
    <t>N-7976162</t>
  </si>
  <si>
    <t>Henry</t>
  </si>
  <si>
    <t>Ugbah</t>
  </si>
  <si>
    <t>N-2084472</t>
  </si>
  <si>
    <t>Ifionu</t>
  </si>
  <si>
    <t>Louisa</t>
  </si>
  <si>
    <t>FSM</t>
  </si>
  <si>
    <t>N-4839654</t>
  </si>
  <si>
    <t>Ikejiofor</t>
  </si>
  <si>
    <t>Juliet</t>
  </si>
  <si>
    <t>N-3505257</t>
  </si>
  <si>
    <t>Jimoh</t>
  </si>
  <si>
    <t>Lukmon</t>
  </si>
  <si>
    <t>N-2072452</t>
  </si>
  <si>
    <t>Gbenga</t>
  </si>
  <si>
    <t>Bailey</t>
  </si>
  <si>
    <t>Assistant After Sales Manager</t>
  </si>
  <si>
    <t>N-5302894</t>
  </si>
  <si>
    <t>Kareem</t>
  </si>
  <si>
    <t>N-90276276</t>
  </si>
  <si>
    <t>Magbor</t>
  </si>
  <si>
    <t>Christopher</t>
  </si>
  <si>
    <t>B2B Accessories</t>
  </si>
  <si>
    <t>N-2981126</t>
  </si>
  <si>
    <t>Dosu</t>
  </si>
  <si>
    <t>N-6403320</t>
  </si>
  <si>
    <t>Maryann</t>
  </si>
  <si>
    <t>N-4839741</t>
  </si>
  <si>
    <t>Nworkor</t>
  </si>
  <si>
    <t>Kelvin</t>
  </si>
  <si>
    <t>N-2135776</t>
  </si>
  <si>
    <t>Nzekwe</t>
  </si>
  <si>
    <t>Ueoma</t>
  </si>
  <si>
    <t>Victor</t>
  </si>
  <si>
    <t>N-3480578</t>
  </si>
  <si>
    <t>Oduntan</t>
  </si>
  <si>
    <t>Oluwaseunfunmi</t>
  </si>
  <si>
    <t>N-216116</t>
  </si>
  <si>
    <t>Ogunle</t>
  </si>
  <si>
    <t>Temidire</t>
  </si>
  <si>
    <t>N-4839794</t>
  </si>
  <si>
    <t>Ogunseye</t>
  </si>
  <si>
    <t>Olakunle</t>
  </si>
  <si>
    <t>N-7476954</t>
  </si>
  <si>
    <t>Ojetunde</t>
  </si>
  <si>
    <t>Damilare</t>
  </si>
  <si>
    <t>Accessory Manager</t>
  </si>
  <si>
    <t>N-6713884</t>
  </si>
  <si>
    <t>Okemgbo</t>
  </si>
  <si>
    <t>Somkelechukwu</t>
  </si>
  <si>
    <t>Deborah</t>
  </si>
  <si>
    <t>N-521973</t>
  </si>
  <si>
    <t>Okoli</t>
  </si>
  <si>
    <t>Ijeoma</t>
  </si>
  <si>
    <t>N-2981118</t>
  </si>
  <si>
    <t>N-3542682</t>
  </si>
  <si>
    <t>Oluwagbenga</t>
  </si>
  <si>
    <t>Joseph</t>
  </si>
  <si>
    <t>Procurement and Sales</t>
  </si>
  <si>
    <t>N-5846027</t>
  </si>
  <si>
    <t>Oladotun</t>
  </si>
  <si>
    <t>N-9545732</t>
  </si>
  <si>
    <t>Oseghale</t>
  </si>
  <si>
    <t>Christine</t>
  </si>
  <si>
    <t>N-5285712</t>
  </si>
  <si>
    <t>Oyedele</t>
  </si>
  <si>
    <t>Oluwafemi</t>
  </si>
  <si>
    <t>Dare</t>
  </si>
  <si>
    <t>N-2965750</t>
  </si>
  <si>
    <t>Pius</t>
  </si>
  <si>
    <t>Adeshina</t>
  </si>
  <si>
    <t>Ola</t>
  </si>
  <si>
    <t>N-4282478</t>
  </si>
  <si>
    <t>Olabiran</t>
  </si>
  <si>
    <t>N-6543502</t>
  </si>
  <si>
    <t>Segun</t>
  </si>
  <si>
    <t>Owolabi</t>
  </si>
  <si>
    <t>MC</t>
  </si>
  <si>
    <t>N-8535851</t>
  </si>
  <si>
    <t>Titilola</t>
  </si>
  <si>
    <t>Banjo</t>
  </si>
  <si>
    <t>N-3557658</t>
  </si>
  <si>
    <t>Yokuwa</t>
  </si>
  <si>
    <t>Tutu</t>
  </si>
  <si>
    <t>ANNUAL PAYROLL FOR 2024</t>
  </si>
  <si>
    <t>SN</t>
  </si>
  <si>
    <t xml:space="preserve">3C HUB  BRAND MANAGEMENT LIMITED  2023  </t>
  </si>
  <si>
    <t>LIST</t>
  </si>
  <si>
    <t>NAME-ENGLISH</t>
  </si>
  <si>
    <t>NATIONALITY</t>
  </si>
  <si>
    <t>POSITION IN THE COMPANY</t>
  </si>
  <si>
    <t xml:space="preserve"> ANNUAL TOTAL GROSS INCOME + BIK  </t>
  </si>
  <si>
    <t>ANNUAL TAX-YEARLY</t>
  </si>
  <si>
    <t xml:space="preserve"> MONTHLY TAX </t>
  </si>
  <si>
    <t xml:space="preserve">DONGQIN LIU </t>
  </si>
  <si>
    <t>CHINESE</t>
  </si>
  <si>
    <t>Quality Control Analyst</t>
  </si>
  <si>
    <t>CAI GENG</t>
  </si>
  <si>
    <t>Information Technologist</t>
  </si>
  <si>
    <t>WANG HAO</t>
  </si>
  <si>
    <t>KUANG TAO</t>
  </si>
  <si>
    <t>YUNHUA HAN</t>
  </si>
  <si>
    <t>Brand Dev. Manager</t>
  </si>
  <si>
    <t xml:space="preserve">3C HUB  BRAND MANAGEMENT LIMITED  2024  JANUARY TO JUNE </t>
  </si>
  <si>
    <t>MTH</t>
  </si>
  <si>
    <t xml:space="preserve">Clestus </t>
  </si>
  <si>
    <t xml:space="preserve">uzoezie </t>
  </si>
  <si>
    <t>Oraguwa</t>
  </si>
  <si>
    <t>3c</t>
  </si>
  <si>
    <t>APPENDIX 3</t>
  </si>
  <si>
    <t>LAGOS STATE INTERNAL REVENUE SERVICE</t>
  </si>
  <si>
    <t>COMPANY NAME:</t>
  </si>
  <si>
    <t>COMPANY ID (CID) :</t>
  </si>
  <si>
    <t>C-1717563</t>
  </si>
  <si>
    <t>COMPANY ADDRESS :</t>
  </si>
  <si>
    <t>20 AWOLOWO WAY,IKEJA LAGOS</t>
  </si>
  <si>
    <t>SCHEDULE OF PAYMENT  FOR LOCAL AND EXPATRIATE   2023</t>
  </si>
  <si>
    <t>DATE OF PAYMENT</t>
  </si>
  <si>
    <t>PERIOD OF</t>
  </si>
  <si>
    <t xml:space="preserve">RECEIPT </t>
  </si>
  <si>
    <t>COMPANY ID (CID)</t>
  </si>
  <si>
    <t>PAID EXPATRIATE  /LOCAL</t>
  </si>
  <si>
    <t>PAYMENT</t>
  </si>
  <si>
    <t>NUMBER</t>
  </si>
  <si>
    <t>MARCH 22,2023</t>
  </si>
  <si>
    <t>JANUARY ,2023</t>
  </si>
  <si>
    <t>FEBRUARY,2023</t>
  </si>
  <si>
    <t>MAY,2023</t>
  </si>
  <si>
    <t>MARCH,2023</t>
  </si>
  <si>
    <t>APRIL, 2023</t>
  </si>
  <si>
    <t>51720513/ANLATDFY</t>
  </si>
  <si>
    <t>JUNE,2023</t>
  </si>
  <si>
    <t>JULY,2023</t>
  </si>
  <si>
    <t>AUGUST,2023</t>
  </si>
  <si>
    <t>SEPTEMBER,2023</t>
  </si>
  <si>
    <t>OCTOBER,2023</t>
  </si>
  <si>
    <t>NOVEMBER,2023</t>
  </si>
  <si>
    <t>DECEMBER,2023</t>
  </si>
  <si>
    <t>JANUARY,2023</t>
  </si>
  <si>
    <t>SCHEDULE OF RETURNS</t>
  </si>
  <si>
    <t>SCHEDULE OF PAYMENT</t>
  </si>
  <si>
    <t>PAID FOR LOCAL</t>
  </si>
  <si>
    <t>PAID FOR EXPARTRIATE</t>
  </si>
  <si>
    <t>FEBRUARY ,2024</t>
  </si>
  <si>
    <t>JANUARY ,2024</t>
  </si>
  <si>
    <t>MARCH ,2024</t>
  </si>
  <si>
    <t>FEBRUARY,2024</t>
  </si>
  <si>
    <t>APRIL ,2024</t>
  </si>
  <si>
    <t>MARCH,2024</t>
  </si>
  <si>
    <t>MAY,2024</t>
  </si>
  <si>
    <t>APRIL, 2024</t>
  </si>
  <si>
    <t>55304711/NDPQTKZV</t>
  </si>
  <si>
    <t>APRIL,2024</t>
  </si>
  <si>
    <t>55304724/KTLPDQII</t>
  </si>
  <si>
    <t>JUNE,2024</t>
  </si>
  <si>
    <t>55567104/KLHJCIWD</t>
  </si>
  <si>
    <t>JULY,2024</t>
  </si>
  <si>
    <t>55886071/UPXLBSPJ</t>
  </si>
  <si>
    <t>AUGUST,2024</t>
  </si>
  <si>
    <t>56037872/DAPZDPXC</t>
  </si>
  <si>
    <t>SEPTEMBER,2024</t>
  </si>
  <si>
    <t>56151308/PZGQJHGB</t>
  </si>
  <si>
    <t>OCTOBER,2024</t>
  </si>
  <si>
    <t>56593697/PUNQPACA</t>
  </si>
  <si>
    <t>NOVEMBER,2024</t>
  </si>
  <si>
    <t>56894696/RDRSJEUP</t>
  </si>
  <si>
    <t>JANUARY ,2025</t>
  </si>
  <si>
    <t>57374086/MREIKEAN</t>
  </si>
  <si>
    <t>DECEMBER,2024</t>
  </si>
  <si>
    <t>57374234/LUTNFFDC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</si>
</sst>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7">
    <numFmt numFmtId="43" formatCode="_-* #,##0.00_-;\-* #,##0.00_-;_-* &quot;-&quot;??_-;_-@_-"/>
    <numFmt numFmtId="164" formatCode="&quot;$&quot;#,##0_);\(&quot;$&quot;#,##0\)"/>
    <numFmt numFmtId="165" formatCode="&quot;$&quot;#,##0.00_);\(&quot;$&quot;#,##0.0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&quot;Yes&quot;;&quot;Yes&quot;;&quot;No&quot;"/>
    <numFmt numFmtId="169" formatCode="&quot;On&quot;;&quot;On&quot;;&quot;Off&quot;"/>
    <numFmt numFmtId="170" formatCode="_(* #,##0.0_);_(* \(#,##0.0\);_(* &quot;-&quot;??_);_(@_)"/>
    <numFmt numFmtId="171" formatCode="_(* #,##0_);_(* \(#,##0\);_(* &quot;-&quot;??_);_(@_)"/>
    <numFmt numFmtId="172" formatCode="&quot;$&quot;General&quot;MM&quot;"/>
    <numFmt numFmtId="173" formatCode="#,##0.000"/>
    <numFmt numFmtId="174" formatCode="General_)"/>
    <numFmt numFmtId="175" formatCode="[Red][&lt;1]&quot;NUM!&quot;;[Red][&gt;1]&quot;NUM!&quot;;&quot;X&quot;;&quot;X&quot;"/>
    <numFmt numFmtId="176" formatCode="_-[$NGN]\ * #,##0.00_-;\-[$NGN]\ * #,##0.00_-;_-[$NGN]\ * &quot;-&quot;??_-;_-@_-"/>
    <numFmt numFmtId="177" formatCode="000,000.00"/>
    <numFmt numFmtId="178" formatCode="mm/dd/yyyy"/>
    <numFmt numFmtId="179" formatCode="000.00"/>
    <numFmt numFmtId="180" formatCode="[$-409]d\-mmm\-yyyy;@"/>
    <numFmt numFmtId="181" formatCode="_-* #,##0_-;\-* #,##0_-;_-* &quot;-&quot;??_-;_-@_-"/>
    <numFmt numFmtId="182" formatCode="00,000,000.00"/>
    <numFmt numFmtId="183" formatCode="&quot; &quot;#,##0.00&quot; &quot;;&quot; (&quot;#,##0.00&quot;)&quot;;&quot; -&quot;#&quot; &quot;;&quot; &quot;@&quot; &quot;"/>
    <numFmt numFmtId="184" formatCode="d\-mmm\-yyyy"/>
    <numFmt numFmtId="185" formatCode="_(* #,##0.00_);_(* \(#,##0.00\);_(* \-??_);_(@_)"/>
    <numFmt numFmtId="186" formatCode="[$-409]d\-mmm\-yy;@"/>
    <numFmt numFmtId="187" formatCode="_(* #,##0.0000_);_(* \(#,##0.0000\);_(* &quot;-&quot;??_);_(@_)"/>
    <numFmt numFmtId="188" formatCode="&quot; &quot;#,##0.00&quot; &quot;;&quot;-&quot;#,##0.00&quot; &quot;;&quot; -&quot;#&quot; &quot;;&quot; &quot;@&quot; &quot;"/>
    <numFmt numFmtId="189" formatCode="#,##0.00;[Red]#,##0.00"/>
    <numFmt numFmtId="190" formatCode="0.0%"/>
    <numFmt numFmtId="191" formatCode="[$-409]General"/>
    <numFmt numFmtId="192" formatCode="dd\-mmm\-yyyy"/>
    <numFmt numFmtId="193" formatCode="[$-409]dddd\,\ mmmm\ dd\,\ yyyy"/>
    <numFmt numFmtId="194" formatCode="0,000,000,000.00"/>
    <numFmt numFmtId="195" formatCode="&quot; &quot;#,##0&quot; &quot;;&quot; (&quot;#,##0&quot;)&quot;;&quot; -&quot;#&quot; &quot;;&quot; &quot;@&quot; &quot;"/>
    <numFmt numFmtId="196" formatCode="dd/mm/yyyy;@"/>
    <numFmt numFmtId="197" formatCode="_-* #,##0.00_-;\-* #,##0.00_-;_-* \-??_-;_-@_-"/>
    <numFmt numFmtId="198" formatCode="[$-809]General"/>
    <numFmt numFmtId="199" formatCode="_(* #,##0.00_);_(* \(#,##0.00\);_(* &quot;-&quot;_);_(@_)"/>
    <numFmt numFmtId="200" formatCode="&quot;$&quot;#,##0\ ;\(&quot;$&quot;#,##0\)"/>
    <numFmt numFmtId="201" formatCode="\+#,##0.00;\-#,##0.00;\-"/>
    <numFmt numFmtId="202" formatCode="#,##0.00&quot; &quot;;&quot; (&quot;#,##0.00&quot;)&quot;;&quot; -&quot;#&quot; &quot;;@&quot; &quot;"/>
    <numFmt numFmtId="203" formatCode="#,##0&quot; &quot;;&quot; (&quot;#,##0&quot;)&quot;;&quot; - &quot;;@&quot; &quot;"/>
    <numFmt numFmtId="204" formatCode="#,##0.00&quot; &quot;;&quot;-&quot;#,##0.00&quot; &quot;;&quot; -&quot;#&quot; &quot;;@&quot; &quot;"/>
    <numFmt numFmtId="205" formatCode="_ * #,##0_ ;_ * \-#,##0_ ;_ * &quot;-&quot;_ ;_ @_ "/>
    <numFmt numFmtId="206" formatCode="_ * #,##0.00_ ;_ * \-#,##0.00_ ;_ * &quot;-&quot;??_ ;_ @_ "/>
    <numFmt numFmtId="207" formatCode="&quot;L&quot;#,##0.00_);[Red]\(&quot;L&quot;#,##0.00\)"/>
    <numFmt numFmtId="208" formatCode="_ &quot;S/&quot;* #,##0_ ;_ &quot;S/&quot;* \-#,##0_ ;_ &quot;S/&quot;* &quot;-&quot;_ ;_ @_ "/>
    <numFmt numFmtId="209" formatCode="_ &quot;S/&quot;* #,##0.00_ ;_ &quot;S/&quot;* \-#,##0.00_ ;_ &quot;S/&quot;* &quot;-&quot;??_ ;_ @_ "/>
    <numFmt numFmtId="210" formatCode="&quot;L&quot;#,##0.00_);\(&quot;L&quot;#,##0.00\)"/>
    <numFmt numFmtId="211" formatCode="0.00_)"/>
    <numFmt numFmtId="212" formatCode="0%_);\(0%\)"/>
    <numFmt numFmtId="213" formatCode="&quot;$&quot;#,##0;\-&quot;$&quot;#,##0"/>
    <numFmt numFmtId="214" formatCode="[$$-409]#,##0.00;[Red]&quot;-&quot;[$$-409]#,##0.00"/>
    <numFmt numFmtId="215" formatCode="[$£-809]#,##0.00;[Red]&quot;-&quot;[$£-809]#,##0.00"/>
    <numFmt numFmtId="216" formatCode="_(* #,##0.0_);_(* \(#,##0.0\);;_(@_)"/>
    <numFmt numFmtId="217" formatCode="[Red]&quot;NUM!&quot;;[Red]&quot;NUM!&quot;;"/>
    <numFmt numFmtId="218" formatCode="\X\-General"/>
    <numFmt numFmtId="219" formatCode="_([$NGN]\ * #,##0.00_);_([$NGN]\ * \(#,##0.00\);_([$NGN]\ * &quot;-&quot;??_);_(@_)"/>
  </numFmts>
  <fonts count="16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6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u/>
      <sz val="12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1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20"/>
      <name val="Arial"/>
      <family val="2"/>
    </font>
    <font>
      <b/>
      <i/>
      <sz val="12"/>
      <name val="Arial"/>
      <family val="2"/>
    </font>
    <font>
      <b/>
      <sz val="14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8"/>
      <name val="Arial"/>
      <family val="2"/>
    </font>
    <font>
      <b/>
      <sz val="10"/>
      <name val="MS Sans Serif"/>
      <family val="2"/>
    </font>
    <font>
      <b/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MS Sans Serif"/>
      <family val="2"/>
    </font>
    <font>
      <sz val="10"/>
      <color indexed="8"/>
      <name val="Arial"/>
      <family val="2"/>
    </font>
    <font>
      <sz val="8.0500000000000007"/>
      <color indexed="8"/>
      <name val="Arial"/>
      <family val="2"/>
    </font>
    <font>
      <sz val="10"/>
      <color indexed="24"/>
      <name val="Arial"/>
      <family val="2"/>
    </font>
    <font>
      <sz val="8"/>
      <color indexed="8"/>
      <name val="Arial"/>
      <family val="2"/>
    </font>
    <font>
      <sz val="12"/>
      <name val="Palatino"/>
      <family val="1"/>
    </font>
    <font>
      <sz val="10"/>
      <name val="Tahoma"/>
      <family val="2"/>
    </font>
    <font>
      <sz val="11"/>
      <color indexed="8"/>
      <name val="Calibri"/>
      <family val="2"/>
      <charset val="178"/>
    </font>
    <font>
      <sz val="11"/>
      <color indexed="8"/>
      <name val="SimSun"/>
      <family val="2"/>
    </font>
    <font>
      <sz val="11"/>
      <color indexed="8"/>
      <name val="SimSun"/>
      <family val="2"/>
      <charset val="178"/>
    </font>
    <font>
      <sz val="7"/>
      <name val="Helv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b/>
      <sz val="8"/>
      <color indexed="9"/>
      <name val="Arial"/>
      <family val="2"/>
    </font>
    <font>
      <sz val="8"/>
      <color indexed="12"/>
      <name val="Arial"/>
      <family val="2"/>
    </font>
    <font>
      <vertAlign val="subscript"/>
      <sz val="12"/>
      <name val="Arial"/>
      <family val="2"/>
    </font>
    <font>
      <b/>
      <sz val="12"/>
      <name val="Helv"/>
    </font>
    <font>
      <b/>
      <i/>
      <sz val="16"/>
      <name val="Helv"/>
    </font>
    <font>
      <sz val="11"/>
      <name val="–¾’©"/>
    </font>
    <font>
      <sz val="11"/>
      <name val="Arial"/>
      <family val="2"/>
    </font>
    <font>
      <sz val="10"/>
      <name val="Tms Rmn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2"/>
    </font>
    <font>
      <b/>
      <sz val="11"/>
      <name val="Helv"/>
    </font>
    <font>
      <b/>
      <sz val="10"/>
      <color indexed="10"/>
      <name val="Arial"/>
      <family val="2"/>
    </font>
    <font>
      <b/>
      <sz val="18"/>
      <color indexed="56"/>
      <name val="Cambria"/>
      <family val="2"/>
    </font>
    <font>
      <b/>
      <i/>
      <sz val="10"/>
      <name val="Times New Roman"/>
      <family val="1"/>
      <charset val="178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Arial"/>
      <family val="2"/>
    </font>
    <font>
      <sz val="11"/>
      <color rgb="FF000000"/>
      <name val="Arial2"/>
    </font>
    <font>
      <sz val="10"/>
      <color rgb="FF000000"/>
      <name val="SimSun"/>
    </font>
    <font>
      <sz val="11"/>
      <color rgb="FF000000"/>
      <name val="Calibri"/>
      <family val="2"/>
    </font>
    <font>
      <sz val="11"/>
      <color rgb="FF000000"/>
      <name val="Calibri2"/>
    </font>
    <font>
      <sz val="11"/>
      <color rgb="FF000000"/>
      <name val="SimSun"/>
    </font>
    <font>
      <sz val="11"/>
      <color rgb="FF000000"/>
      <name val="Calibri1"/>
    </font>
    <font>
      <b/>
      <i/>
      <sz val="16"/>
      <color rgb="FF000000"/>
      <name val="Arial2"/>
    </font>
    <font>
      <b/>
      <i/>
      <sz val="16"/>
      <color rgb="FF000000"/>
      <name val="Arial"/>
      <family val="2"/>
    </font>
    <font>
      <u/>
      <sz val="9.9"/>
      <color theme="10"/>
      <name val="Calibri"/>
      <family val="2"/>
    </font>
    <font>
      <sz val="10"/>
      <color theme="4" tint="-0.499984740745262"/>
      <name val="Calibri Light"/>
      <family val="1"/>
      <scheme val="major"/>
    </font>
    <font>
      <sz val="11"/>
      <color theme="1"/>
      <name val="Times New Roman"/>
      <family val="2"/>
    </font>
    <font>
      <sz val="11"/>
      <color theme="1"/>
      <name val="Cambria"/>
      <family val="2"/>
    </font>
    <font>
      <b/>
      <i/>
      <u/>
      <sz val="11"/>
      <color rgb="FF000000"/>
      <name val="Arial2"/>
    </font>
    <font>
      <b/>
      <i/>
      <u/>
      <sz val="11"/>
      <color rgb="FF000000"/>
      <name val="Arial"/>
      <family val="2"/>
    </font>
    <font>
      <sz val="8"/>
      <color rgb="FF000000"/>
      <name val="Arial"/>
      <family val="2"/>
    </font>
    <font>
      <b/>
      <sz val="11"/>
      <color rgb="FF000000"/>
      <name val="Arial"/>
      <family val="2"/>
    </font>
    <font>
      <b/>
      <sz val="8"/>
      <color rgb="FF0000FF"/>
      <name val="Courier New"/>
      <family val="3"/>
    </font>
    <font>
      <b/>
      <sz val="8"/>
      <color rgb="FFEA4855"/>
      <name val="Arial"/>
      <family val="2"/>
    </font>
    <font>
      <b/>
      <sz val="8"/>
      <color rgb="FF00BEA3"/>
      <name val="Times New Roman"/>
      <family val="1"/>
    </font>
    <font>
      <b/>
      <i/>
      <sz val="11"/>
      <color rgb="FF000000"/>
      <name val="Times New Roman"/>
      <family val="1"/>
    </font>
    <font>
      <b/>
      <i/>
      <sz val="8"/>
      <color rgb="FFFF0000"/>
      <name val="Arial"/>
      <family val="2"/>
    </font>
    <font>
      <b/>
      <sz val="11"/>
      <color rgb="FF800080"/>
      <name val="Arial"/>
      <family val="2"/>
    </font>
    <font>
      <b/>
      <sz val="11"/>
      <color rgb="FF800080"/>
      <name val="Times New Roman"/>
      <family val="1"/>
    </font>
    <font>
      <b/>
      <sz val="8"/>
      <color rgb="FF000000"/>
      <name val="Arial"/>
      <family val="2"/>
    </font>
    <font>
      <b/>
      <sz val="8"/>
      <color rgb="FF000000"/>
      <name val="Times New Roman"/>
      <family val="1"/>
    </font>
    <font>
      <b/>
      <sz val="9"/>
      <color rgb="FF000000"/>
      <name val="Arial"/>
      <family val="2"/>
    </font>
    <font>
      <b/>
      <sz val="8"/>
      <color rgb="FF6435A2"/>
      <name val="Courier New"/>
      <family val="3"/>
    </font>
    <font>
      <sz val="8"/>
      <color rgb="FF000000"/>
      <name val="Tahoma"/>
      <family val="2"/>
    </font>
    <font>
      <b/>
      <sz val="8"/>
      <color rgb="FFFF9900"/>
      <name val="Arial"/>
      <family val="2"/>
    </font>
    <font>
      <b/>
      <sz val="8"/>
      <color rgb="FF3E97C1"/>
      <name val="Arial"/>
      <family val="2"/>
    </font>
    <font>
      <b/>
      <sz val="8"/>
      <color rgb="FF803600"/>
      <name val="Arial"/>
      <family val="2"/>
    </font>
    <font>
      <b/>
      <sz val="8"/>
      <color rgb="FF9B22DD"/>
      <name val="Arial"/>
      <family val="2"/>
    </font>
    <font>
      <sz val="10"/>
      <color rgb="FF000000"/>
      <name val="Courier New"/>
      <family val="3"/>
    </font>
    <font>
      <b/>
      <sz val="8"/>
      <color rgb="FF0058CD"/>
      <name val="Courier New"/>
      <family val="3"/>
    </font>
    <font>
      <b/>
      <u/>
      <sz val="14"/>
      <name val="Arial"/>
      <family val="2"/>
    </font>
    <font>
      <u/>
      <sz val="10"/>
      <name val="Arial"/>
      <family val="2"/>
    </font>
    <font>
      <sz val="10"/>
      <name val="Comic Sans MS"/>
      <family val="4"/>
    </font>
    <font>
      <u/>
      <sz val="8.6"/>
      <color theme="10"/>
      <name val="Arial"/>
      <family val="2"/>
    </font>
    <font>
      <b/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11"/>
      <color theme="1"/>
      <name val="Century Gothic"/>
      <family val="2"/>
    </font>
    <font>
      <sz val="11"/>
      <color indexed="8"/>
      <name val="Century Gothic"/>
      <family val="2"/>
    </font>
    <font>
      <b/>
      <sz val="12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color theme="1"/>
      <name val="Arial Black"/>
      <family val="2"/>
    </font>
    <font>
      <b/>
      <i/>
      <sz val="11"/>
      <color theme="1"/>
      <name val="Arial Narrow"/>
      <family val="2"/>
    </font>
    <font>
      <sz val="11"/>
      <color theme="1"/>
      <name val="Arial Narrow"/>
      <family val="2"/>
    </font>
    <font>
      <b/>
      <sz val="11"/>
      <color theme="1"/>
      <name val="Arial Narrow"/>
      <family val="2"/>
    </font>
    <font>
      <b/>
      <sz val="10"/>
      <name val="Arial Rounded MT Bold"/>
      <family val="2"/>
    </font>
    <font>
      <b/>
      <sz val="20"/>
      <name val="Arial Rounded MT Bold"/>
      <family val="2"/>
    </font>
    <font>
      <b/>
      <sz val="18"/>
      <name val="Arial Rounded MT Bold"/>
      <family val="2"/>
    </font>
    <font>
      <b/>
      <sz val="26"/>
      <name val="Bookman Old Style"/>
      <family val="1"/>
    </font>
    <font>
      <b/>
      <sz val="16"/>
      <name val="Arial Rounded MT Bold"/>
      <family val="2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Garamond"/>
      <family val="1"/>
    </font>
    <font>
      <b/>
      <sz val="12"/>
      <color theme="1"/>
      <name val="Garamond"/>
      <family val="1"/>
    </font>
    <font>
      <sz val="12"/>
      <name val="Garamond"/>
      <family val="1"/>
    </font>
    <font>
      <sz val="10"/>
      <color theme="1"/>
      <name val="Calibri Light"/>
      <family val="2"/>
    </font>
    <font>
      <sz val="10"/>
      <name val="Calibri Light"/>
      <family val="2"/>
    </font>
    <font>
      <sz val="11"/>
      <color theme="1"/>
      <name val="Garamond"/>
      <family val="1"/>
    </font>
    <font>
      <b/>
      <sz val="11"/>
      <color theme="1"/>
      <name val="Garamond"/>
      <family val="1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0"/>
      <color theme="1"/>
      <name val="Calibri Light"/>
      <family val="2"/>
    </font>
    <font>
      <b/>
      <sz val="10"/>
      <name val="Calibri Light"/>
      <family val="2"/>
    </font>
  </fonts>
  <fills count="61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2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62"/>
      </patternFill>
    </fill>
    <fill>
      <patternFill patternType="solid">
        <fgColor indexed="53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41"/>
      </patternFill>
    </fill>
    <fill>
      <patternFill patternType="solid">
        <fgColor indexed="26"/>
        <bgColor indexed="43"/>
      </patternFill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lightUp">
        <fgColor indexed="48"/>
        <bgColor indexed="44"/>
      </patternFill>
    </fill>
    <fill>
      <patternFill patternType="solid">
        <fgColor indexed="40"/>
      </patternFill>
    </fill>
    <fill>
      <patternFill patternType="solid">
        <fgColor indexed="15"/>
      </patternFill>
    </fill>
    <fill>
      <patternFill patternType="solid">
        <fgColor indexed="26"/>
        <bgColor indexed="21"/>
      </patternFill>
    </fill>
    <fill>
      <gradientFill>
        <stop position="0">
          <color theme="4" tint="0.59999389629810485"/>
        </stop>
        <stop position="0.5">
          <color theme="0"/>
        </stop>
        <stop position="1">
          <color theme="4" tint="0.59999389629810485"/>
        </stop>
      </gradient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rgb="FFFFFF00"/>
        <bgColor indexed="64"/>
      </patternFill>
    </fill>
  </fills>
  <borders count="7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dotted">
        <color indexed="64"/>
      </left>
      <right style="dotted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560">
    <xf numFmtId="0" fontId="0" fillId="0" borderId="0"/>
    <xf numFmtId="172" fontId="18" fillId="0" borderId="0" applyFont="0" applyFill="0" applyBorder="0" applyAlignment="0" applyProtection="0">
      <alignment horizontal="center"/>
    </xf>
    <xf numFmtId="3" fontId="18" fillId="0" borderId="1" applyFont="0" applyFill="0" applyBorder="0" applyAlignment="0" applyProtection="0"/>
    <xf numFmtId="4" fontId="18" fillId="0" borderId="2" applyFont="0" applyFill="0" applyBorder="0" applyAlignment="0" applyProtection="0"/>
    <xf numFmtId="173" fontId="18" fillId="0" borderId="0" applyFont="0" applyFill="0" applyBorder="0" applyAlignment="0" applyProtection="0">
      <alignment horizontal="center"/>
    </xf>
    <xf numFmtId="0" fontId="25" fillId="3" borderId="0" applyNumberFormat="0" applyBorder="0" applyAlignment="0" applyProtection="0"/>
    <xf numFmtId="0" fontId="25" fillId="5" borderId="0" applyNumberFormat="0" applyBorder="0" applyAlignment="0" applyProtection="0"/>
    <xf numFmtId="0" fontId="25" fillId="7" borderId="0" applyNumberFormat="0" applyBorder="0" applyAlignment="0" applyProtection="0"/>
    <xf numFmtId="0" fontId="25" fillId="9" borderId="0" applyNumberFormat="0" applyBorder="0" applyAlignment="0" applyProtection="0"/>
    <xf numFmtId="0" fontId="25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3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5" borderId="0" applyNumberFormat="0" applyBorder="0" applyAlignment="0" applyProtection="0"/>
    <xf numFmtId="0" fontId="26" fillId="16" borderId="0" applyNumberFormat="0" applyBorder="0" applyAlignment="0" applyProtection="0"/>
    <xf numFmtId="0" fontId="26" fillId="11" borderId="0" applyNumberFormat="0" applyBorder="0" applyAlignment="0" applyProtection="0"/>
    <xf numFmtId="0" fontId="26" fillId="13" borderId="0" applyNumberFormat="0" applyBorder="0" applyAlignment="0" applyProtection="0"/>
    <xf numFmtId="0" fontId="26" fillId="17" borderId="0" applyNumberFormat="0" applyBorder="0" applyAlignment="0" applyProtection="0"/>
    <xf numFmtId="0" fontId="26" fillId="18" borderId="0" applyNumberFormat="0" applyBorder="0" applyAlignment="0" applyProtection="0"/>
    <xf numFmtId="0" fontId="26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6" fillId="23" borderId="0" applyNumberFormat="0" applyBorder="0" applyAlignment="0" applyProtection="0"/>
    <xf numFmtId="0" fontId="26" fillId="24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6" fillId="28" borderId="0" applyNumberFormat="0" applyBorder="0" applyAlignment="0" applyProtection="0"/>
    <xf numFmtId="0" fontId="26" fillId="29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6" fillId="33" borderId="0" applyNumberFormat="0" applyBorder="0" applyAlignment="0" applyProtection="0"/>
    <xf numFmtId="0" fontId="26" fillId="19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6" fillId="33" borderId="0" applyNumberFormat="0" applyBorder="0" applyAlignment="0" applyProtection="0"/>
    <xf numFmtId="0" fontId="26" fillId="17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6" fillId="22" borderId="0" applyNumberFormat="0" applyBorder="0" applyAlignment="0" applyProtection="0"/>
    <xf numFmtId="0" fontId="26" fillId="18" borderId="0" applyNumberFormat="0" applyBorder="0" applyAlignment="0" applyProtection="0"/>
    <xf numFmtId="0" fontId="25" fillId="34" borderId="0" applyNumberFormat="0" applyBorder="0" applyAlignment="0" applyProtection="0"/>
    <xf numFmtId="0" fontId="25" fillId="27" borderId="0" applyNumberFormat="0" applyBorder="0" applyAlignment="0" applyProtection="0"/>
    <xf numFmtId="0" fontId="26" fillId="35" borderId="0" applyNumberFormat="0" applyBorder="0" applyAlignment="0" applyProtection="0"/>
    <xf numFmtId="0" fontId="26" fillId="25" borderId="0" applyNumberFormat="0" applyBorder="0" applyAlignment="0" applyProtection="0"/>
    <xf numFmtId="0" fontId="44" fillId="0" borderId="0">
      <alignment horizontal="center" wrapText="1"/>
      <protection locked="0"/>
    </xf>
    <xf numFmtId="0" fontId="18" fillId="0" borderId="0" applyNumberFormat="0" applyFont="0" applyBorder="0" applyAlignment="0" applyProtection="0"/>
    <xf numFmtId="0" fontId="27" fillId="5" borderId="0" applyNumberFormat="0" applyBorder="0" applyAlignment="0" applyProtection="0"/>
    <xf numFmtId="174" fontId="45" fillId="36" borderId="0" applyNumberFormat="0" applyFont="0" applyBorder="0" applyAlignment="0" applyProtection="0"/>
    <xf numFmtId="174" fontId="45" fillId="36" borderId="0" applyFont="0" applyBorder="0" applyAlignment="0" applyProtection="0"/>
    <xf numFmtId="164" fontId="46" fillId="0" borderId="3" applyAlignment="0" applyProtection="0"/>
    <xf numFmtId="0" fontId="28" fillId="12" borderId="4" applyNumberFormat="0" applyAlignment="0" applyProtection="0"/>
    <xf numFmtId="0" fontId="29" fillId="30" borderId="5" applyNumberFormat="0" applyAlignment="0" applyProtection="0"/>
    <xf numFmtId="175" fontId="47" fillId="0" borderId="6">
      <alignment horizontal="center"/>
      <protection locked="0"/>
    </xf>
    <xf numFmtId="167" fontId="8" fillId="0" borderId="0" applyFont="0" applyFill="0" applyBorder="0" applyAlignment="0" applyProtection="0"/>
    <xf numFmtId="167" fontId="82" fillId="0" borderId="0" applyFont="0" applyFill="0" applyBorder="0" applyAlignment="0" applyProtection="0"/>
    <xf numFmtId="176" fontId="18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78" fontId="25" fillId="0" borderId="0" applyFont="0" applyFill="0" applyBorder="0" applyAlignment="0" applyProtection="0"/>
    <xf numFmtId="179" fontId="48" fillId="0" borderId="0" applyFont="0" applyFill="0" applyBorder="0" applyAlignment="0" applyProtection="0"/>
    <xf numFmtId="167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81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82" fontId="48" fillId="0" borderId="0" applyFont="0" applyFill="0" applyBorder="0" applyAlignment="0" applyProtection="0"/>
    <xf numFmtId="177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3" fontId="83" fillId="0" borderId="0"/>
    <xf numFmtId="178" fontId="18" fillId="0" borderId="0" applyFont="0" applyFill="0" applyBorder="0" applyAlignment="0" applyProtection="0"/>
    <xf numFmtId="181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83" fontId="83" fillId="0" borderId="0"/>
    <xf numFmtId="167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183" fontId="83" fillId="0" borderId="0"/>
    <xf numFmtId="167" fontId="18" fillId="0" borderId="0" applyFont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67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82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77" fontId="82" fillId="0" borderId="0" applyFont="0" applyFill="0" applyBorder="0" applyAlignment="0" applyProtection="0"/>
    <xf numFmtId="43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43" fontId="25" fillId="0" borderId="0" applyFont="0" applyFill="0" applyBorder="0" applyAlignment="0" applyProtection="0"/>
    <xf numFmtId="167" fontId="18" fillId="0" borderId="0" applyFont="0" applyFill="0" applyBorder="0" applyAlignment="0" applyProtection="0"/>
    <xf numFmtId="186" fontId="82" fillId="0" borderId="0" applyFont="0" applyFill="0" applyBorder="0" applyAlignment="0" applyProtection="0"/>
    <xf numFmtId="186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185" fontId="25" fillId="0" borderId="0" applyFill="0" applyBorder="0" applyAlignment="0" applyProtection="0"/>
    <xf numFmtId="183" fontId="83" fillId="0" borderId="0"/>
    <xf numFmtId="0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79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67" fontId="82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87" fontId="18" fillId="0" borderId="0" applyFont="0" applyFill="0" applyBorder="0" applyAlignment="0" applyProtection="0"/>
    <xf numFmtId="171" fontId="18" fillId="0" borderId="0" applyFont="0" applyFill="0" applyBorder="0" applyAlignment="0" applyProtection="0"/>
    <xf numFmtId="179" fontId="48" fillId="0" borderId="0" applyFont="0" applyFill="0" applyBorder="0" applyAlignment="0" applyProtection="0"/>
    <xf numFmtId="16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0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67" fontId="48" fillId="0" borderId="0" applyFont="0" applyFill="0" applyBorder="0" applyAlignment="0" applyProtection="0"/>
    <xf numFmtId="179" fontId="48" fillId="0" borderId="0" applyFont="0" applyFill="0" applyBorder="0" applyAlignment="0" applyProtection="0"/>
    <xf numFmtId="188" fontId="83" fillId="0" borderId="0"/>
    <xf numFmtId="179" fontId="48" fillId="0" borderId="0" applyFont="0" applyFill="0" applyBorder="0" applyAlignment="0" applyProtection="0"/>
    <xf numFmtId="188" fontId="83" fillId="0" borderId="0"/>
    <xf numFmtId="167" fontId="25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49" fillId="0" borderId="0" applyFont="0" applyFill="0" applyBorder="0" applyAlignment="0" applyProtection="0"/>
    <xf numFmtId="167" fontId="4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77" fontId="18" fillId="0" borderId="0" applyFont="0" applyFill="0" applyBorder="0" applyAlignment="0" applyProtection="0"/>
    <xf numFmtId="43" fontId="50" fillId="0" borderId="0" applyFont="0" applyFill="0" applyBorder="0" applyAlignment="0" applyProtection="0"/>
    <xf numFmtId="181" fontId="18" fillId="0" borderId="0" applyFont="0" applyFill="0" applyBorder="0" applyAlignment="0" applyProtection="0"/>
    <xf numFmtId="184" fontId="18" fillId="0" borderId="0" applyFont="0" applyFill="0" applyBorder="0" applyAlignment="0" applyProtection="0"/>
    <xf numFmtId="43" fontId="50" fillId="0" borderId="0" applyFont="0" applyFill="0" applyBorder="0" applyAlignment="0" applyProtection="0"/>
    <xf numFmtId="179" fontId="84" fillId="0" borderId="0" applyFont="0" applyFill="0" applyBorder="0" applyAlignment="0" applyProtection="0"/>
    <xf numFmtId="43" fontId="82" fillId="0" borderId="0" applyFont="0" applyFill="0" applyBorder="0" applyAlignment="0" applyProtection="0"/>
    <xf numFmtId="0" fontId="25" fillId="0" borderId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9" fontId="48" fillId="0" borderId="0" applyFont="0" applyFill="0" applyBorder="0" applyAlignment="0" applyProtection="0"/>
    <xf numFmtId="188" fontId="83" fillId="0" borderId="0"/>
    <xf numFmtId="179" fontId="48" fillId="0" borderId="0" applyFont="0" applyFill="0" applyBorder="0" applyAlignment="0" applyProtection="0"/>
    <xf numFmtId="188" fontId="83" fillId="0" borderId="0"/>
    <xf numFmtId="179" fontId="18" fillId="0" borderId="0" applyFont="0" applyFill="0" applyBorder="0" applyAlignment="0" applyProtection="0"/>
    <xf numFmtId="188" fontId="83" fillId="0" borderId="0"/>
    <xf numFmtId="177" fontId="48" fillId="0" borderId="0" applyFont="0" applyFill="0" applyBorder="0" applyAlignment="0" applyProtection="0"/>
    <xf numFmtId="188" fontId="83" fillId="0" borderId="0"/>
    <xf numFmtId="177" fontId="48" fillId="0" borderId="0" applyFont="0" applyFill="0" applyBorder="0" applyAlignment="0" applyProtection="0"/>
    <xf numFmtId="188" fontId="83" fillId="0" borderId="0"/>
    <xf numFmtId="177" fontId="48" fillId="0" borderId="0" applyFont="0" applyFill="0" applyBorder="0" applyAlignment="0" applyProtection="0"/>
    <xf numFmtId="188" fontId="83" fillId="0" borderId="0"/>
    <xf numFmtId="43" fontId="18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48" fillId="0" borderId="0" applyFont="0" applyFill="0" applyBorder="0" applyAlignment="0" applyProtection="0"/>
    <xf numFmtId="43" fontId="85" fillId="0" borderId="0" applyFont="0" applyFill="0" applyBorder="0" applyAlignment="0" applyProtection="0"/>
    <xf numFmtId="188" fontId="83" fillId="0" borderId="0"/>
    <xf numFmtId="167" fontId="18" fillId="0" borderId="0" applyFont="0" applyFill="0" applyBorder="0" applyAlignment="0" applyProtection="0">
      <alignment wrapText="1"/>
    </xf>
    <xf numFmtId="167" fontId="84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18" fillId="0" borderId="0" applyFill="0" applyBorder="0" applyAlignment="0" applyProtection="0"/>
    <xf numFmtId="0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5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7" fontId="49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70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70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0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43" fontId="50" fillId="0" borderId="0" applyFont="0" applyFill="0" applyBorder="0" applyAlignment="0" applyProtection="0">
      <alignment vertical="top"/>
    </xf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4" fillId="0" borderId="0" applyFont="0" applyFill="0" applyBorder="0" applyAlignment="0" applyProtection="0"/>
    <xf numFmtId="184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43" fontId="84" fillId="0" borderId="0" applyFont="0" applyFill="0" applyBorder="0" applyAlignment="0" applyProtection="0"/>
    <xf numFmtId="167" fontId="84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67" fontId="84" fillId="0" borderId="0" applyFont="0" applyFill="0" applyBorder="0" applyAlignment="0" applyProtection="0"/>
    <xf numFmtId="167" fontId="8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189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164" fontId="51" fillId="0" borderId="0" applyFont="0" applyFill="0" applyBorder="0" applyAlignment="0" applyProtection="0"/>
    <xf numFmtId="167" fontId="82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2" fillId="0" borderId="0" applyFont="0" applyFill="0" applyBorder="0" applyAlignment="0" applyProtection="0"/>
    <xf numFmtId="43" fontId="50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6" fillId="0" borderId="0" applyFont="0" applyFill="0" applyBorder="0" applyAlignment="0" applyProtection="0"/>
    <xf numFmtId="167" fontId="51" fillId="0" borderId="0" applyFont="0" applyFill="0" applyBorder="0" applyAlignment="0" applyProtection="0"/>
    <xf numFmtId="43" fontId="82" fillId="0" borderId="0" applyFont="0" applyFill="0" applyBorder="0" applyAlignment="0" applyProtection="0"/>
    <xf numFmtId="179" fontId="18" fillId="0" borderId="0" applyFont="0" applyFill="0" applyBorder="0" applyAlignment="0" applyProtection="0"/>
    <xf numFmtId="190" fontId="83" fillId="0" borderId="0"/>
    <xf numFmtId="179" fontId="18" fillId="0" borderId="0" applyFont="0" applyFill="0" applyBorder="0" applyAlignment="0" applyProtection="0"/>
    <xf numFmtId="190" fontId="83" fillId="0" borderId="0"/>
    <xf numFmtId="179" fontId="18" fillId="0" borderId="0" applyFont="0" applyFill="0" applyBorder="0" applyAlignment="0" applyProtection="0"/>
    <xf numFmtId="190" fontId="83" fillId="0" borderId="0"/>
    <xf numFmtId="179" fontId="18" fillId="0" borderId="0" applyFont="0" applyFill="0" applyBorder="0" applyAlignment="0" applyProtection="0"/>
    <xf numFmtId="190" fontId="83" fillId="0" borderId="0"/>
    <xf numFmtId="179" fontId="18" fillId="0" borderId="0" applyFont="0" applyFill="0" applyBorder="0" applyAlignment="0" applyProtection="0"/>
    <xf numFmtId="190" fontId="83" fillId="0" borderId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91" fontId="83" fillId="0" borderId="0"/>
    <xf numFmtId="192" fontId="18" fillId="0" borderId="0" applyFont="0" applyFill="0" applyBorder="0" applyAlignment="0" applyProtection="0"/>
    <xf numFmtId="193" fontId="50" fillId="0" borderId="0" applyFont="0" applyFill="0" applyBorder="0" applyAlignment="0" applyProtection="0"/>
    <xf numFmtId="194" fontId="50" fillId="0" borderId="0" applyFont="0" applyFill="0" applyBorder="0" applyAlignment="0" applyProtection="0"/>
    <xf numFmtId="43" fontId="50" fillId="0" borderId="0" applyFont="0" applyFill="0" applyBorder="0" applyAlignment="0" applyProtection="0"/>
    <xf numFmtId="195" fontId="83" fillId="0" borderId="0"/>
    <xf numFmtId="168" fontId="50" fillId="0" borderId="0" applyFont="0" applyFill="0" applyBorder="0" applyAlignment="0" applyProtection="0"/>
    <xf numFmtId="195" fontId="83" fillId="0" borderId="0"/>
    <xf numFmtId="43" fontId="25" fillId="0" borderId="0" applyFont="0" applyFill="0" applyBorder="0" applyAlignment="0" applyProtection="0"/>
    <xf numFmtId="167" fontId="1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167" fontId="84" fillId="0" borderId="0" applyFont="0" applyFill="0" applyBorder="0" applyAlignment="0" applyProtection="0"/>
    <xf numFmtId="190" fontId="83" fillId="0" borderId="0"/>
    <xf numFmtId="168" fontId="50" fillId="0" borderId="0" applyFont="0" applyFill="0" applyBorder="0" applyAlignment="0" applyProtection="0"/>
    <xf numFmtId="190" fontId="83" fillId="0" borderId="0"/>
    <xf numFmtId="167" fontId="18" fillId="0" borderId="0" applyFont="0" applyFill="0" applyBorder="0" applyAlignment="0" applyProtection="0"/>
    <xf numFmtId="190" fontId="83" fillId="0" borderId="0"/>
    <xf numFmtId="0" fontId="25" fillId="0" borderId="0" applyFill="0" applyBorder="0" applyAlignment="0" applyProtection="0"/>
    <xf numFmtId="191" fontId="83" fillId="0" borderId="0"/>
    <xf numFmtId="196" fontId="83" fillId="0" borderId="0"/>
    <xf numFmtId="190" fontId="18" fillId="0" borderId="0" applyFont="0" applyFill="0" applyBorder="0" applyAlignment="0" applyProtection="0"/>
    <xf numFmtId="179" fontId="18" fillId="0" borderId="0" applyFont="0" applyFill="0" applyBorder="0" applyAlignment="0" applyProtection="0"/>
    <xf numFmtId="191" fontId="83" fillId="0" borderId="0"/>
    <xf numFmtId="179" fontId="18" fillId="0" borderId="0" applyFont="0" applyFill="0" applyBorder="0" applyAlignment="0" applyProtection="0"/>
    <xf numFmtId="195" fontId="83" fillId="0" borderId="0"/>
    <xf numFmtId="179" fontId="18" fillId="0" borderId="0" applyFont="0" applyFill="0" applyBorder="0" applyAlignment="0" applyProtection="0"/>
    <xf numFmtId="195" fontId="83" fillId="0" borderId="0"/>
    <xf numFmtId="179" fontId="18" fillId="0" borderId="0" applyFont="0" applyFill="0" applyBorder="0" applyAlignment="0" applyProtection="0"/>
    <xf numFmtId="195" fontId="83" fillId="0" borderId="0"/>
    <xf numFmtId="179" fontId="18" fillId="0" borderId="0" applyFont="0" applyFill="0" applyBorder="0" applyAlignment="0" applyProtection="0"/>
    <xf numFmtId="195" fontId="83" fillId="0" borderId="0"/>
    <xf numFmtId="179" fontId="18" fillId="0" borderId="0" applyFont="0" applyFill="0" applyBorder="0" applyAlignment="0" applyProtection="0"/>
    <xf numFmtId="195" fontId="83" fillId="0" borderId="0"/>
    <xf numFmtId="179" fontId="18" fillId="0" borderId="0" applyFont="0" applyFill="0" applyBorder="0" applyAlignment="0" applyProtection="0"/>
    <xf numFmtId="195" fontId="83" fillId="0" borderId="0"/>
    <xf numFmtId="43" fontId="25" fillId="0" borderId="0" applyFont="0" applyFill="0" applyBorder="0" applyAlignment="0" applyProtection="0"/>
    <xf numFmtId="197" fontId="25" fillId="0" borderId="0" applyFill="0" applyBorder="0" applyAlignment="0" applyProtection="0"/>
    <xf numFmtId="188" fontId="83" fillId="0" borderId="0"/>
    <xf numFmtId="198" fontId="87" fillId="0" borderId="0" applyFont="0" applyFill="0" applyBorder="0" applyAlignment="0" applyProtection="0"/>
    <xf numFmtId="43" fontId="82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18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88" fontId="83" fillId="0" borderId="0"/>
    <xf numFmtId="167" fontId="82" fillId="0" borderId="0" applyFont="0" applyFill="0" applyBorder="0" applyAlignment="0" applyProtection="0"/>
    <xf numFmtId="188" fontId="83" fillId="0" borderId="0"/>
    <xf numFmtId="167" fontId="82" fillId="0" borderId="0" applyFont="0" applyFill="0" applyBorder="0" applyAlignment="0" applyProtection="0"/>
    <xf numFmtId="188" fontId="83" fillId="0" borderId="0"/>
    <xf numFmtId="167" fontId="18" fillId="0" borderId="0" applyFont="0" applyFill="0" applyBorder="0" applyAlignment="0" applyProtection="0"/>
    <xf numFmtId="188" fontId="83" fillId="0" borderId="0"/>
    <xf numFmtId="197" fontId="25" fillId="0" borderId="0" applyFill="0" applyBorder="0" applyAlignment="0" applyProtection="0"/>
    <xf numFmtId="188" fontId="83" fillId="0" borderId="0"/>
    <xf numFmtId="197" fontId="25" fillId="0" borderId="0" applyFill="0" applyBorder="0" applyAlignment="0" applyProtection="0"/>
    <xf numFmtId="188" fontId="83" fillId="0" borderId="0"/>
    <xf numFmtId="16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99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67" fontId="82" fillId="0" borderId="0" applyFont="0" applyFill="0" applyBorder="0" applyAlignment="0" applyProtection="0"/>
    <xf numFmtId="43" fontId="50" fillId="0" borderId="0" applyFont="0" applyFill="0" applyBorder="0" applyAlignment="0" applyProtection="0"/>
    <xf numFmtId="0" fontId="84" fillId="0" borderId="0" applyFont="0" applyFill="0" applyBorder="0" applyAlignment="0" applyProtection="0"/>
    <xf numFmtId="167" fontId="19" fillId="0" borderId="0" applyFont="0" applyFill="0" applyBorder="0" applyAlignment="0" applyProtection="0"/>
    <xf numFmtId="167" fontId="18" fillId="0" borderId="0" applyFont="0" applyFill="0" applyBorder="0" applyAlignment="0" applyProtection="0"/>
    <xf numFmtId="3" fontId="5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77" fontId="82" fillId="0" borderId="0" applyFont="0" applyFill="0" applyBorder="0" applyAlignment="0" applyProtection="0"/>
    <xf numFmtId="186" fontId="82" fillId="0" borderId="0" applyFont="0" applyFill="0" applyBorder="0" applyAlignment="0" applyProtection="0"/>
    <xf numFmtId="166" fontId="18" fillId="0" borderId="0" applyFont="0" applyFill="0" applyBorder="0" applyAlignment="0" applyProtection="0"/>
    <xf numFmtId="200" fontId="52" fillId="0" borderId="0" applyFont="0" applyFill="0" applyBorder="0" applyAlignment="0" applyProtection="0"/>
    <xf numFmtId="2" fontId="53" fillId="37" borderId="7" applyNumberFormat="0" applyBorder="0" applyAlignment="0" applyProtection="0"/>
    <xf numFmtId="0" fontId="52" fillId="0" borderId="0" applyFont="0" applyFill="0" applyBorder="0" applyAlignment="0" applyProtection="0"/>
    <xf numFmtId="201" fontId="18" fillId="38" borderId="0" applyFont="0" applyFill="0" applyBorder="0" applyAlignment="0" applyProtection="0"/>
    <xf numFmtId="0" fontId="54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0" borderId="0"/>
    <xf numFmtId="202" fontId="88" fillId="0" borderId="0" applyFont="0" applyBorder="0" applyProtection="0"/>
    <xf numFmtId="203" fontId="87" fillId="0" borderId="0"/>
    <xf numFmtId="202" fontId="89" fillId="0" borderId="0"/>
    <xf numFmtId="191" fontId="87" fillId="0" borderId="0" applyFont="0" applyBorder="0" applyProtection="0"/>
    <xf numFmtId="204" fontId="90" fillId="0" borderId="0"/>
    <xf numFmtId="0" fontId="90" fillId="0" borderId="0" applyNumberFormat="0" applyBorder="0" applyProtection="0"/>
    <xf numFmtId="0" fontId="56" fillId="0" borderId="0"/>
    <xf numFmtId="0" fontId="91" fillId="0" borderId="0" applyNumberFormat="0" applyBorder="0" applyProtection="0"/>
    <xf numFmtId="0" fontId="91" fillId="0" borderId="0" applyNumberFormat="0" applyBorder="0" applyProtection="0"/>
    <xf numFmtId="0" fontId="91" fillId="0" borderId="0" applyNumberFormat="0" applyBorder="0" applyProtection="0"/>
    <xf numFmtId="191" fontId="92" fillId="0" borderId="0" applyBorder="0" applyProtection="0"/>
    <xf numFmtId="198" fontId="92" fillId="0" borderId="0" applyBorder="0" applyProtection="0"/>
    <xf numFmtId="0" fontId="57" fillId="0" borderId="0"/>
    <xf numFmtId="0" fontId="58" fillId="0" borderId="0"/>
    <xf numFmtId="204" fontId="93" fillId="0" borderId="0" applyBorder="0" applyProtection="0"/>
    <xf numFmtId="0" fontId="30" fillId="0" borderId="0" applyNumberFormat="0" applyFill="0" applyBorder="0" applyAlignment="0" applyProtection="0"/>
    <xf numFmtId="2" fontId="52" fillId="0" borderId="0" applyFont="0" applyFill="0" applyBorder="0" applyAlignment="0" applyProtection="0"/>
    <xf numFmtId="0" fontId="59" fillId="39" borderId="0" applyNumberFormat="0" applyFont="0" applyBorder="0" applyAlignment="0" applyProtection="0">
      <alignment horizontal="right" vertical="center"/>
    </xf>
    <xf numFmtId="0" fontId="18" fillId="0" borderId="0" applyNumberFormat="0" applyBorder="0" applyAlignment="0" applyProtection="0"/>
    <xf numFmtId="0" fontId="31" fillId="7" borderId="0" applyNumberFormat="0" applyBorder="0" applyAlignment="0" applyProtection="0"/>
    <xf numFmtId="38" fontId="45" fillId="40" borderId="0" applyNumberFormat="0" applyBorder="0" applyAlignment="0" applyProtection="0"/>
    <xf numFmtId="0" fontId="12" fillId="0" borderId="8" applyNumberFormat="0" applyAlignment="0" applyProtection="0">
      <alignment horizontal="left" vertical="center"/>
    </xf>
    <xf numFmtId="0" fontId="12" fillId="0" borderId="9">
      <alignment horizontal="left" vertical="center"/>
    </xf>
    <xf numFmtId="0" fontId="94" fillId="0" borderId="0" applyNumberFormat="0" applyBorder="0" applyProtection="0">
      <alignment horizontal="center"/>
    </xf>
    <xf numFmtId="0" fontId="60" fillId="0" borderId="10" applyNumberFormat="0" applyFill="0" applyAlignment="0" applyProtection="0"/>
    <xf numFmtId="0" fontId="61" fillId="0" borderId="11" applyNumberFormat="0" applyFill="0" applyAlignment="0" applyProtection="0"/>
    <xf numFmtId="0" fontId="62" fillId="0" borderId="12" applyNumberFormat="0" applyFill="0" applyAlignment="0" applyProtection="0"/>
    <xf numFmtId="0" fontId="62" fillId="0" borderId="0" applyNumberFormat="0" applyFill="0" applyBorder="0" applyAlignment="0" applyProtection="0"/>
    <xf numFmtId="0" fontId="94" fillId="0" borderId="0" applyNumberFormat="0" applyBorder="0" applyProtection="0">
      <alignment horizontal="center" textRotation="90"/>
    </xf>
    <xf numFmtId="191" fontId="95" fillId="0" borderId="0">
      <alignment horizontal="center" textRotation="90"/>
    </xf>
    <xf numFmtId="0" fontId="96" fillId="0" borderId="0" applyNumberFormat="0" applyFill="0" applyBorder="0" applyAlignment="0" applyProtection="0">
      <alignment vertical="top"/>
      <protection locked="0"/>
    </xf>
    <xf numFmtId="0" fontId="63" fillId="0" borderId="0" applyNumberFormat="0" applyFill="0" applyBorder="0" applyAlignment="0" applyProtection="0">
      <alignment vertical="top"/>
      <protection locked="0"/>
    </xf>
    <xf numFmtId="10" fontId="45" fillId="41" borderId="13" applyNumberFormat="0" applyBorder="0" applyAlignment="0" applyProtection="0"/>
    <xf numFmtId="0" fontId="32" fillId="4" borderId="4" applyNumberFormat="0" applyAlignment="0" applyProtection="0"/>
    <xf numFmtId="0" fontId="64" fillId="42" borderId="14" applyNumberFormat="0" applyBorder="0" applyAlignment="0" applyProtection="0"/>
    <xf numFmtId="0" fontId="65" fillId="0" borderId="0" applyNumberFormat="0" applyBorder="0" applyAlignment="0"/>
    <xf numFmtId="0" fontId="33" fillId="0" borderId="15" applyNumberFormat="0" applyFill="0" applyAlignment="0" applyProtection="0"/>
    <xf numFmtId="0" fontId="66" fillId="0" borderId="0" applyNumberFormat="0" applyBorder="0" applyAlignment="0"/>
    <xf numFmtId="0" fontId="97" fillId="54" borderId="16">
      <alignment horizontal="center"/>
    </xf>
    <xf numFmtId="205" fontId="18" fillId="0" borderId="0" applyFont="0" applyFill="0" applyBorder="0" applyAlignment="0" applyProtection="0"/>
    <xf numFmtId="206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7" fontId="18" fillId="0" borderId="0" applyFont="0" applyFill="0" applyBorder="0" applyAlignment="0" applyProtection="0"/>
    <xf numFmtId="208" fontId="18" fillId="0" borderId="0" applyFont="0" applyFill="0" applyBorder="0" applyAlignment="0" applyProtection="0"/>
    <xf numFmtId="209" fontId="18" fillId="0" borderId="0" applyFont="0" applyFill="0" applyBorder="0" applyAlignment="0" applyProtection="0"/>
    <xf numFmtId="210" fontId="18" fillId="0" borderId="0" applyFont="0" applyFill="0" applyBorder="0" applyAlignment="0" applyProtection="0"/>
    <xf numFmtId="210" fontId="18" fillId="0" borderId="0" applyFont="0" applyFill="0" applyBorder="0" applyAlignment="0" applyProtection="0"/>
    <xf numFmtId="0" fontId="34" fillId="14" borderId="0" applyNumberFormat="0" applyBorder="0" applyAlignment="0" applyProtection="0"/>
    <xf numFmtId="0" fontId="67" fillId="0" borderId="0">
      <alignment horizontal="right"/>
    </xf>
    <xf numFmtId="211" fontId="6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1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25" fillId="0" borderId="0"/>
    <xf numFmtId="0" fontId="82" fillId="0" borderId="0"/>
    <xf numFmtId="0" fontId="18" fillId="0" borderId="0"/>
    <xf numFmtId="0" fontId="82" fillId="0" borderId="0"/>
    <xf numFmtId="0" fontId="18" fillId="0" borderId="0"/>
    <xf numFmtId="0" fontId="8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18" fillId="0" borderId="0"/>
    <xf numFmtId="0" fontId="50" fillId="0" borderId="0"/>
    <xf numFmtId="0" fontId="18" fillId="0" borderId="0"/>
    <xf numFmtId="0" fontId="18" fillId="0" borderId="0"/>
    <xf numFmtId="0" fontId="5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191" fontId="84" fillId="0" borderId="0"/>
    <xf numFmtId="0" fontId="18" fillId="0" borderId="0"/>
    <xf numFmtId="191" fontId="90" fillId="0" borderId="0"/>
    <xf numFmtId="0" fontId="82" fillId="0" borderId="0"/>
    <xf numFmtId="0" fontId="82" fillId="0" borderId="0"/>
    <xf numFmtId="0" fontId="82" fillId="0" borderId="0"/>
    <xf numFmtId="0" fontId="84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25" fillId="0" borderId="0"/>
    <xf numFmtId="0" fontId="18" fillId="0" borderId="0"/>
    <xf numFmtId="0" fontId="25" fillId="0" borderId="0"/>
    <xf numFmtId="0" fontId="18" fillId="0" borderId="0"/>
    <xf numFmtId="0" fontId="98" fillId="0" borderId="0"/>
    <xf numFmtId="0" fontId="18" fillId="0" borderId="0"/>
    <xf numFmtId="0" fontId="18" fillId="0" borderId="0"/>
    <xf numFmtId="0" fontId="82" fillId="0" borderId="0"/>
    <xf numFmtId="0" fontId="18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25" fillId="0" borderId="0"/>
    <xf numFmtId="0" fontId="50" fillId="0" borderId="0"/>
    <xf numFmtId="0" fontId="18" fillId="0" borderId="0"/>
    <xf numFmtId="0" fontId="18" fillId="0" borderId="0"/>
    <xf numFmtId="0" fontId="18" fillId="0" borderId="0"/>
    <xf numFmtId="186" fontId="18" fillId="0" borderId="0"/>
    <xf numFmtId="0" fontId="18" fillId="0" borderId="0"/>
    <xf numFmtId="0" fontId="50" fillId="0" borderId="0"/>
    <xf numFmtId="0" fontId="18" fillId="0" borderId="0"/>
    <xf numFmtId="0" fontId="50" fillId="0" borderId="0"/>
    <xf numFmtId="0" fontId="18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5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25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18" fillId="0" borderId="0"/>
    <xf numFmtId="0" fontId="84" fillId="0" borderId="0"/>
    <xf numFmtId="0" fontId="25" fillId="0" borderId="0"/>
    <xf numFmtId="0" fontId="5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82" fillId="0" borderId="0"/>
    <xf numFmtId="0" fontId="18" fillId="0" borderId="0"/>
    <xf numFmtId="0" fontId="50" fillId="0" borderId="0"/>
    <xf numFmtId="0" fontId="82" fillId="0" borderId="0"/>
    <xf numFmtId="0" fontId="18" fillId="0" borderId="0"/>
    <xf numFmtId="0" fontId="18" fillId="0" borderId="0"/>
    <xf numFmtId="0" fontId="82" fillId="0" borderId="0"/>
    <xf numFmtId="0" fontId="18" fillId="0" borderId="0"/>
    <xf numFmtId="0" fontId="18" fillId="0" borderId="0"/>
    <xf numFmtId="0" fontId="25" fillId="0" borderId="0"/>
    <xf numFmtId="0" fontId="50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25" fillId="0" borderId="0"/>
    <xf numFmtId="0" fontId="25" fillId="0" borderId="0"/>
    <xf numFmtId="0" fontId="18" fillId="0" borderId="0"/>
    <xf numFmtId="0" fontId="18" fillId="0" borderId="0"/>
    <xf numFmtId="0" fontId="18" fillId="0" borderId="0"/>
    <xf numFmtId="0" fontId="82" fillId="0" borderId="0"/>
    <xf numFmtId="0" fontId="50" fillId="0" borderId="0"/>
    <xf numFmtId="0" fontId="82" fillId="0" borderId="0"/>
    <xf numFmtId="0" fontId="82" fillId="0" borderId="0"/>
    <xf numFmtId="0" fontId="82" fillId="0" borderId="0"/>
    <xf numFmtId="0" fontId="50" fillId="0" borderId="0">
      <alignment vertical="top"/>
    </xf>
    <xf numFmtId="0" fontId="25" fillId="0" borderId="0"/>
    <xf numFmtId="0" fontId="84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2" fillId="0" borderId="0"/>
    <xf numFmtId="0" fontId="84" fillId="0" borderId="0"/>
    <xf numFmtId="0" fontId="82" fillId="0" borderId="0"/>
    <xf numFmtId="0" fontId="82" fillId="0" borderId="0"/>
    <xf numFmtId="0" fontId="82" fillId="0" borderId="0"/>
    <xf numFmtId="0" fontId="55" fillId="0" borderId="0"/>
    <xf numFmtId="0" fontId="82" fillId="0" borderId="0"/>
    <xf numFmtId="0" fontId="82" fillId="0" borderId="0"/>
    <xf numFmtId="0" fontId="82" fillId="0" borderId="0"/>
    <xf numFmtId="0" fontId="25" fillId="0" borderId="0"/>
    <xf numFmtId="0" fontId="18" fillId="0" borderId="0"/>
    <xf numFmtId="0" fontId="99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18" fillId="8" borderId="17" applyNumberFormat="0" applyFont="0" applyAlignment="0" applyProtection="0"/>
    <xf numFmtId="0" fontId="82" fillId="55" borderId="42" applyNumberFormat="0" applyFont="0" applyAlignment="0" applyProtection="0"/>
    <xf numFmtId="0" fontId="55" fillId="0" borderId="0"/>
    <xf numFmtId="0" fontId="69" fillId="0" borderId="0" applyFont="0" applyFill="0" applyBorder="0" applyAlignment="0" applyProtection="0"/>
    <xf numFmtId="0" fontId="69" fillId="0" borderId="0" applyFont="0" applyFill="0" applyBorder="0" applyAlignment="0" applyProtection="0"/>
    <xf numFmtId="0" fontId="35" fillId="12" borderId="18" applyNumberFormat="0" applyAlignment="0" applyProtection="0"/>
    <xf numFmtId="14" fontId="44" fillId="0" borderId="0">
      <alignment horizontal="center" wrapText="1"/>
      <protection locked="0"/>
    </xf>
    <xf numFmtId="212" fontId="18" fillId="0" borderId="0" applyFont="0" applyFill="0" applyBorder="0" applyAlignment="0" applyProtection="0"/>
    <xf numFmtId="212" fontId="18" fillId="0" borderId="0" applyFont="0" applyFill="0" applyBorder="0" applyAlignment="0" applyProtection="0"/>
    <xf numFmtId="10" fontId="18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70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2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9" fontId="84" fillId="0" borderId="0" applyFont="0" applyFill="0" applyBorder="0" applyAlignment="0" applyProtection="0"/>
    <xf numFmtId="213" fontId="71" fillId="0" borderId="0"/>
    <xf numFmtId="0" fontId="100" fillId="0" borderId="0" applyNumberFormat="0" applyBorder="0" applyProtection="0"/>
    <xf numFmtId="191" fontId="101" fillId="0" borderId="0"/>
    <xf numFmtId="214" fontId="100" fillId="0" borderId="0" applyBorder="0" applyProtection="0"/>
    <xf numFmtId="215" fontId="101" fillId="0" borderId="0"/>
    <xf numFmtId="0" fontId="102" fillId="0" borderId="0"/>
    <xf numFmtId="0" fontId="103" fillId="0" borderId="0"/>
    <xf numFmtId="0" fontId="104" fillId="0" borderId="0"/>
    <xf numFmtId="0" fontId="104" fillId="0" borderId="0"/>
    <xf numFmtId="0" fontId="104" fillId="0" borderId="0"/>
    <xf numFmtId="0" fontId="105" fillId="0" borderId="0"/>
    <xf numFmtId="0" fontId="106" fillId="0" borderId="0"/>
    <xf numFmtId="0" fontId="107" fillId="0" borderId="0"/>
    <xf numFmtId="0" fontId="108" fillId="0" borderId="0"/>
    <xf numFmtId="0" fontId="10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1" fillId="0" borderId="0"/>
    <xf numFmtId="0" fontId="112" fillId="0" borderId="0"/>
    <xf numFmtId="0" fontId="113" fillId="0" borderId="0"/>
    <xf numFmtId="0" fontId="102" fillId="0" borderId="0"/>
    <xf numFmtId="0" fontId="114" fillId="0" borderId="0"/>
    <xf numFmtId="0" fontId="115" fillId="0" borderId="0"/>
    <xf numFmtId="0" fontId="116" fillId="0" borderId="0"/>
    <xf numFmtId="0" fontId="117" fillId="0" borderId="0"/>
    <xf numFmtId="0" fontId="118" fillId="0" borderId="0"/>
    <xf numFmtId="0" fontId="119" fillId="0" borderId="0"/>
    <xf numFmtId="0" fontId="120" fillId="0" borderId="0"/>
    <xf numFmtId="0" fontId="113" fillId="0" borderId="0"/>
    <xf numFmtId="0" fontId="111" fillId="0" borderId="0"/>
    <xf numFmtId="0" fontId="102" fillId="0" borderId="0"/>
    <xf numFmtId="0" fontId="102" fillId="0" borderId="0"/>
    <xf numFmtId="0" fontId="102" fillId="0" borderId="0"/>
    <xf numFmtId="0" fontId="111" fillId="0" borderId="0"/>
    <xf numFmtId="0" fontId="121" fillId="0" borderId="0"/>
    <xf numFmtId="0" fontId="59" fillId="44" borderId="0" applyNumberFormat="0" applyFont="0" applyBorder="0" applyAlignment="0" applyProtection="0">
      <alignment horizontal="right" vertical="center"/>
    </xf>
    <xf numFmtId="4" fontId="48" fillId="14" borderId="19" applyNumberFormat="0" applyProtection="0">
      <alignment vertical="center"/>
    </xf>
    <xf numFmtId="4" fontId="48" fillId="45" borderId="19" applyNumberFormat="0" applyProtection="0">
      <alignment vertical="center"/>
    </xf>
    <xf numFmtId="4" fontId="72" fillId="45" borderId="19" applyNumberFormat="0" applyProtection="0">
      <alignment vertical="center"/>
    </xf>
    <xf numFmtId="4" fontId="48" fillId="45" borderId="19" applyNumberFormat="0" applyProtection="0">
      <alignment horizontal="left" vertical="center" indent="1"/>
    </xf>
    <xf numFmtId="4" fontId="50" fillId="45" borderId="19" applyNumberFormat="0" applyProtection="0">
      <alignment horizontal="left" vertical="center" indent="1"/>
    </xf>
    <xf numFmtId="0" fontId="48" fillId="45" borderId="19" applyNumberFormat="0" applyProtection="0">
      <alignment horizontal="left" vertical="top" indent="1"/>
    </xf>
    <xf numFmtId="4" fontId="48" fillId="46" borderId="0" applyNumberFormat="0" applyProtection="0">
      <alignment horizontal="left" vertical="center" indent="1"/>
    </xf>
    <xf numFmtId="4" fontId="50" fillId="47" borderId="0" applyNumberFormat="0" applyProtection="0">
      <alignment horizontal="left" vertical="center"/>
    </xf>
    <xf numFmtId="4" fontId="50" fillId="5" borderId="19" applyNumberFormat="0" applyProtection="0">
      <alignment horizontal="right" vertical="center"/>
    </xf>
    <xf numFmtId="4" fontId="50" fillId="11" borderId="19" applyNumberFormat="0" applyProtection="0">
      <alignment horizontal="right" vertical="center"/>
    </xf>
    <xf numFmtId="4" fontId="50" fillId="29" borderId="19" applyNumberFormat="0" applyProtection="0">
      <alignment horizontal="right" vertical="center"/>
    </xf>
    <xf numFmtId="4" fontId="50" fillId="15" borderId="19" applyNumberFormat="0" applyProtection="0">
      <alignment horizontal="right" vertical="center"/>
    </xf>
    <xf numFmtId="4" fontId="50" fillId="20" borderId="19" applyNumberFormat="0" applyProtection="0">
      <alignment horizontal="right" vertical="center"/>
    </xf>
    <xf numFmtId="4" fontId="50" fillId="25" borderId="19" applyNumberFormat="0" applyProtection="0">
      <alignment horizontal="right" vertical="center"/>
    </xf>
    <xf numFmtId="4" fontId="50" fillId="19" borderId="19" applyNumberFormat="0" applyProtection="0">
      <alignment horizontal="right" vertical="center"/>
    </xf>
    <xf numFmtId="4" fontId="50" fillId="48" borderId="19" applyNumberFormat="0" applyProtection="0">
      <alignment horizontal="right" vertical="center"/>
    </xf>
    <xf numFmtId="4" fontId="50" fillId="13" borderId="19" applyNumberFormat="0" applyProtection="0">
      <alignment horizontal="right" vertical="center"/>
    </xf>
    <xf numFmtId="4" fontId="48" fillId="49" borderId="20" applyNumberFormat="0" applyProtection="0">
      <alignment horizontal="left" vertical="center" indent="1"/>
    </xf>
    <xf numFmtId="4" fontId="73" fillId="50" borderId="20" applyNumberFormat="0" applyProtection="0">
      <alignment horizontal="left" vertical="center" indent="1"/>
    </xf>
    <xf numFmtId="4" fontId="50" fillId="36" borderId="0" applyNumberFormat="0" applyProtection="0">
      <alignment horizontal="left" vertical="center" indent="1"/>
    </xf>
    <xf numFmtId="4" fontId="73" fillId="43" borderId="0" applyNumberFormat="0" applyProtection="0">
      <alignment horizontal="left" vertical="center" indent="1"/>
    </xf>
    <xf numFmtId="4" fontId="73" fillId="47" borderId="0" applyNumberFormat="0" applyProtection="0">
      <alignment horizontal="left" vertical="center" indent="1"/>
    </xf>
    <xf numFmtId="4" fontId="50" fillId="51" borderId="19" applyNumberFormat="0" applyProtection="0">
      <alignment horizontal="right" vertical="center"/>
    </xf>
    <xf numFmtId="4" fontId="50" fillId="36" borderId="0" applyNumberFormat="0" applyProtection="0">
      <alignment horizontal="left" vertical="center" indent="1"/>
    </xf>
    <xf numFmtId="4" fontId="50" fillId="43" borderId="0" applyNumberFormat="0" applyProtection="0">
      <alignment horizontal="left" vertical="center" indent="1"/>
    </xf>
    <xf numFmtId="4" fontId="50" fillId="46" borderId="0" applyNumberFormat="0" applyProtection="0">
      <alignment horizontal="left" vertical="center" indent="1"/>
    </xf>
    <xf numFmtId="4" fontId="50" fillId="47" borderId="0" applyNumberFormat="0" applyProtection="0">
      <alignment horizontal="left" vertical="center"/>
    </xf>
    <xf numFmtId="0" fontId="18" fillId="47" borderId="19" applyNumberFormat="0" applyProtection="0">
      <alignment horizontal="left" vertical="center" indent="1"/>
    </xf>
    <xf numFmtId="0" fontId="18" fillId="47" borderId="19" applyNumberFormat="0" applyProtection="0">
      <alignment horizontal="left" vertical="top" indent="1"/>
    </xf>
    <xf numFmtId="0" fontId="18" fillId="46" borderId="19" applyNumberFormat="0" applyProtection="0">
      <alignment horizontal="left" vertical="center" indent="1"/>
    </xf>
    <xf numFmtId="0" fontId="18" fillId="46" borderId="19" applyNumberFormat="0" applyProtection="0">
      <alignment horizontal="left" vertical="top" indent="1"/>
    </xf>
    <xf numFmtId="0" fontId="18" fillId="43" borderId="19" applyNumberFormat="0" applyProtection="0">
      <alignment horizontal="left" vertical="center" indent="1"/>
    </xf>
    <xf numFmtId="0" fontId="18" fillId="43" borderId="19" applyNumberFormat="0" applyProtection="0">
      <alignment horizontal="left" vertical="top" indent="1"/>
    </xf>
    <xf numFmtId="0" fontId="18" fillId="44" borderId="19" applyNumberFormat="0" applyProtection="0">
      <alignment horizontal="left" vertical="center" indent="1"/>
    </xf>
    <xf numFmtId="0" fontId="18" fillId="44" borderId="19" applyNumberFormat="0" applyProtection="0">
      <alignment horizontal="left" vertical="top" indent="1"/>
    </xf>
    <xf numFmtId="0" fontId="18" fillId="6" borderId="13" applyNumberFormat="0">
      <protection locked="0"/>
    </xf>
    <xf numFmtId="4" fontId="50" fillId="41" borderId="19" applyNumberFormat="0" applyProtection="0">
      <alignment vertical="center"/>
    </xf>
    <xf numFmtId="4" fontId="74" fillId="41" borderId="19" applyNumberFormat="0" applyProtection="0">
      <alignment vertical="center"/>
    </xf>
    <xf numFmtId="4" fontId="50" fillId="41" borderId="19" applyNumberFormat="0" applyProtection="0">
      <alignment horizontal="left" vertical="center" indent="1"/>
    </xf>
    <xf numFmtId="0" fontId="50" fillId="41" borderId="19" applyNumberFormat="0" applyProtection="0">
      <alignment horizontal="left" vertical="top" indent="1"/>
    </xf>
    <xf numFmtId="4" fontId="50" fillId="36" borderId="19" applyNumberFormat="0" applyProtection="0">
      <alignment horizontal="right" vertical="center"/>
    </xf>
    <xf numFmtId="4" fontId="50" fillId="44" borderId="19" applyNumberFormat="0" applyProtection="0">
      <alignment horizontal="right" vertical="center"/>
    </xf>
    <xf numFmtId="4" fontId="74" fillId="36" borderId="19" applyNumberFormat="0" applyProtection="0">
      <alignment horizontal="right" vertical="center"/>
    </xf>
    <xf numFmtId="4" fontId="48" fillId="43" borderId="19" applyNumberFormat="0" applyProtection="0">
      <alignment horizontal="left" vertical="center" indent="1"/>
    </xf>
    <xf numFmtId="4" fontId="50" fillId="51" borderId="19" applyNumberFormat="0" applyProtection="0">
      <alignment horizontal="left" vertical="center" indent="1"/>
    </xf>
    <xf numFmtId="4" fontId="48" fillId="43" borderId="19" applyNumberFormat="0" applyProtection="0">
      <alignment horizontal="left" vertical="center" wrapText="1"/>
    </xf>
    <xf numFmtId="0" fontId="50" fillId="46" borderId="19" applyNumberFormat="0" applyProtection="0">
      <alignment horizontal="left" vertical="top" indent="1"/>
    </xf>
    <xf numFmtId="4" fontId="75" fillId="52" borderId="0" applyNumberFormat="0" applyProtection="0">
      <alignment horizontal="left" vertical="center" indent="1"/>
    </xf>
    <xf numFmtId="4" fontId="76" fillId="36" borderId="19" applyNumberFormat="0" applyProtection="0">
      <alignment horizontal="right" vertical="center"/>
    </xf>
    <xf numFmtId="0" fontId="77" fillId="0" borderId="0" applyNumberFormat="0" applyFill="0" applyBorder="0" applyAlignment="0" applyProtection="0"/>
    <xf numFmtId="0" fontId="18" fillId="0" borderId="0"/>
    <xf numFmtId="216" fontId="18" fillId="0" borderId="0"/>
    <xf numFmtId="0" fontId="78" fillId="0" borderId="0"/>
    <xf numFmtId="2" fontId="53" fillId="53" borderId="21" applyNumberFormat="0" applyBorder="0" applyAlignment="0" applyProtection="0"/>
    <xf numFmtId="191" fontId="91" fillId="0" borderId="0" applyBorder="0" applyProtection="0"/>
    <xf numFmtId="0" fontId="90" fillId="0" borderId="0"/>
    <xf numFmtId="217" fontId="18" fillId="0" borderId="14" applyBorder="0">
      <protection locked="0"/>
    </xf>
    <xf numFmtId="0" fontId="79" fillId="0" borderId="0" applyFill="0" applyBorder="0" applyProtection="0">
      <alignment horizontal="left" vertical="top"/>
    </xf>
    <xf numFmtId="0" fontId="80" fillId="0" borderId="0" applyNumberFormat="0" applyFill="0" applyBorder="0" applyAlignment="0" applyProtection="0"/>
    <xf numFmtId="0" fontId="12" fillId="0" borderId="22" applyNumberFormat="0" applyProtection="0">
      <alignment horizontal="centerContinuous" vertical="center"/>
    </xf>
    <xf numFmtId="0" fontId="36" fillId="0" borderId="23" applyNumberFormat="0" applyFill="0" applyAlignment="0" applyProtection="0"/>
    <xf numFmtId="0" fontId="37" fillId="0" borderId="0" applyNumberFormat="0" applyFill="0" applyBorder="0" applyAlignment="0" applyProtection="0"/>
    <xf numFmtId="0" fontId="81" fillId="0" borderId="0">
      <alignment horizontal="center"/>
    </xf>
    <xf numFmtId="218" fontId="18" fillId="0" borderId="0" applyFont="0" applyFill="0" applyBorder="0" applyAlignment="0" applyProtection="0"/>
    <xf numFmtId="174" fontId="45" fillId="8" borderId="0" applyNumberFormat="0" applyFont="0" applyBorder="0" applyAlignment="0" applyProtection="0"/>
    <xf numFmtId="0" fontId="125" fillId="0" borderId="0" applyNumberFormat="0" applyFill="0" applyBorder="0" applyAlignment="0" applyProtection="0">
      <alignment vertical="top"/>
      <protection locked="0"/>
    </xf>
    <xf numFmtId="0" fontId="8" fillId="0" borderId="0"/>
    <xf numFmtId="0" fontId="7" fillId="0" borderId="0"/>
    <xf numFmtId="43" fontId="7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8" fillId="0" borderId="0"/>
    <xf numFmtId="172" fontId="8" fillId="0" borderId="0" applyFont="0" applyFill="0" applyBorder="0" applyAlignment="0" applyProtection="0">
      <alignment horizontal="center"/>
    </xf>
    <xf numFmtId="3" fontId="8" fillId="0" borderId="1" applyFont="0" applyFill="0" applyBorder="0" applyAlignment="0" applyProtection="0"/>
    <xf numFmtId="4" fontId="8" fillId="0" borderId="2" applyFont="0" applyFill="0" applyBorder="0" applyAlignment="0" applyProtection="0"/>
    <xf numFmtId="173" fontId="8" fillId="0" borderId="0" applyFont="0" applyFill="0" applyBorder="0" applyAlignment="0" applyProtection="0">
      <alignment horizontal="center"/>
    </xf>
    <xf numFmtId="0" fontId="25" fillId="3" borderId="0" applyNumberFormat="0" applyBorder="0" applyAlignment="0" applyProtection="0"/>
    <xf numFmtId="0" fontId="25" fillId="5" borderId="0" applyNumberFormat="0" applyBorder="0" applyAlignment="0" applyProtection="0"/>
    <xf numFmtId="0" fontId="25" fillId="7" borderId="0" applyNumberFormat="0" applyBorder="0" applyAlignment="0" applyProtection="0"/>
    <xf numFmtId="0" fontId="25" fillId="9" borderId="0" applyNumberFormat="0" applyBorder="0" applyAlignment="0" applyProtection="0"/>
    <xf numFmtId="0" fontId="25" fillId="2" borderId="0" applyNumberFormat="0" applyBorder="0" applyAlignment="0" applyProtection="0"/>
    <xf numFmtId="0" fontId="25" fillId="4" borderId="0" applyNumberFormat="0" applyBorder="0" applyAlignment="0" applyProtection="0"/>
    <xf numFmtId="0" fontId="25" fillId="10" borderId="0" applyNumberFormat="0" applyBorder="0" applyAlignment="0" applyProtection="0"/>
    <xf numFmtId="0" fontId="25" fillId="11" borderId="0" applyNumberFormat="0" applyBorder="0" applyAlignment="0" applyProtection="0"/>
    <xf numFmtId="0" fontId="25" fillId="13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5" fillId="15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25" fillId="31" borderId="0" applyNumberFormat="0" applyBorder="0" applyAlignment="0" applyProtection="0"/>
    <xf numFmtId="0" fontId="25" fillId="32" borderId="0" applyNumberFormat="0" applyBorder="0" applyAlignment="0" applyProtection="0"/>
    <xf numFmtId="0" fontId="25" fillId="32" borderId="0" applyNumberFormat="0" applyBorder="0" applyAlignment="0" applyProtection="0"/>
    <xf numFmtId="0" fontId="25" fillId="33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5" fillId="34" borderId="0" applyNumberFormat="0" applyBorder="0" applyAlignment="0" applyProtection="0"/>
    <xf numFmtId="0" fontId="25" fillId="27" borderId="0" applyNumberFormat="0" applyBorder="0" applyAlignment="0" applyProtection="0"/>
    <xf numFmtId="0" fontId="8" fillId="0" borderId="0" applyNumberFormat="0" applyFont="0" applyBorder="0" applyAlignment="0" applyProtection="0"/>
    <xf numFmtId="176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8" fontId="25" fillId="0" borderId="0" applyFont="0" applyFill="0" applyBorder="0" applyAlignment="0" applyProtection="0"/>
    <xf numFmtId="18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78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8" fillId="0" borderId="0" applyFont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85" fontId="25" fillId="0" borderId="0" applyFill="0" applyBorder="0" applyAlignment="0" applyProtection="0"/>
    <xf numFmtId="16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87" fontId="8" fillId="0" borderId="0" applyFont="0" applyFill="0" applyBorder="0" applyAlignment="0" applyProtection="0"/>
    <xf numFmtId="171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7" fontId="8" fillId="0" borderId="0" applyFont="0" applyFill="0" applyBorder="0" applyAlignment="0" applyProtection="0"/>
    <xf numFmtId="181" fontId="8" fillId="0" borderId="0" applyFont="0" applyFill="0" applyBorder="0" applyAlignment="0" applyProtection="0"/>
    <xf numFmtId="184" fontId="8" fillId="0" borderId="0" applyFont="0" applyFill="0" applyBorder="0" applyAlignment="0" applyProtection="0"/>
    <xf numFmtId="0" fontId="25" fillId="0" borderId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>
      <alignment wrapText="1"/>
    </xf>
    <xf numFmtId="43" fontId="8" fillId="0" borderId="0" applyFill="0" applyBorder="0" applyAlignment="0" applyProtection="0"/>
    <xf numFmtId="0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70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0" fontId="8" fillId="0" borderId="0" applyFont="0" applyFill="0" applyBorder="0" applyAlignment="0" applyProtection="0"/>
    <xf numFmtId="0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5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92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78" fontId="25" fillId="0" borderId="0" applyFont="0" applyFill="0" applyBorder="0" applyAlignment="0" applyProtection="0"/>
    <xf numFmtId="0" fontId="25" fillId="0" borderId="0" applyFont="0" applyFill="0" applyBorder="0" applyAlignment="0" applyProtection="0"/>
    <xf numFmtId="43" fontId="25" fillId="0" borderId="0" applyFont="0" applyFill="0" applyBorder="0" applyAlignment="0" applyProtection="0"/>
    <xf numFmtId="167" fontId="8" fillId="0" borderId="0" applyFont="0" applyFill="0" applyBorder="0" applyAlignment="0" applyProtection="0"/>
    <xf numFmtId="0" fontId="25" fillId="0" borderId="0" applyFill="0" applyBorder="0" applyAlignment="0" applyProtection="0"/>
    <xf numFmtId="190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79" fontId="8" fillId="0" borderId="0" applyFont="0" applyFill="0" applyBorder="0" applyAlignment="0" applyProtection="0"/>
    <xf numFmtId="197" fontId="25" fillId="0" borderId="0" applyFill="0" applyBorder="0" applyAlignment="0" applyProtection="0"/>
    <xf numFmtId="43" fontId="25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67" fontId="8" fillId="0" borderId="0" applyFont="0" applyFill="0" applyBorder="0" applyAlignment="0" applyProtection="0"/>
    <xf numFmtId="197" fontId="25" fillId="0" borderId="0" applyFill="0" applyBorder="0" applyAlignment="0" applyProtection="0"/>
    <xf numFmtId="197" fontId="25" fillId="0" borderId="0" applyFill="0" applyBorder="0" applyAlignment="0" applyProtection="0"/>
    <xf numFmtId="167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166" fontId="8" fillId="0" borderId="0" applyFont="0" applyFill="0" applyBorder="0" applyAlignment="0" applyProtection="0"/>
    <xf numFmtId="201" fontId="8" fillId="38" borderId="0" applyFont="0" applyFill="0" applyBorder="0" applyAlignment="0" applyProtection="0"/>
    <xf numFmtId="0" fontId="8" fillId="0" borderId="0" applyNumberFormat="0" applyBorder="0" applyAlignment="0" applyProtection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25" fillId="0" borderId="0"/>
    <xf numFmtId="0" fontId="25" fillId="0" borderId="0"/>
    <xf numFmtId="0" fontId="25" fillId="0" borderId="0"/>
    <xf numFmtId="0" fontId="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25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25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186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25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25" fillId="0" borderId="0"/>
    <xf numFmtId="0" fontId="8" fillId="0" borderId="0"/>
    <xf numFmtId="0" fontId="8" fillId="0" borderId="0"/>
    <xf numFmtId="0" fontId="8" fillId="0" borderId="0"/>
    <xf numFmtId="0" fontId="25" fillId="0" borderId="0"/>
    <xf numFmtId="0" fontId="25" fillId="0" borderId="0"/>
    <xf numFmtId="0" fontId="8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25" fillId="0" borderId="0"/>
    <xf numFmtId="0" fontId="8" fillId="8" borderId="17" applyNumberFormat="0" applyFont="0" applyAlignment="0" applyProtection="0"/>
    <xf numFmtId="212" fontId="8" fillId="0" borderId="0" applyFont="0" applyFill="0" applyBorder="0" applyAlignment="0" applyProtection="0"/>
    <xf numFmtId="212" fontId="8" fillId="0" borderId="0" applyFont="0" applyFill="0" applyBorder="0" applyAlignment="0" applyProtection="0"/>
    <xf numFmtId="10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8" fillId="47" borderId="19" applyNumberFormat="0" applyProtection="0">
      <alignment horizontal="left" vertical="center" indent="1"/>
    </xf>
    <xf numFmtId="0" fontId="8" fillId="47" borderId="19" applyNumberFormat="0" applyProtection="0">
      <alignment horizontal="left" vertical="top" indent="1"/>
    </xf>
    <xf numFmtId="0" fontId="8" fillId="46" borderId="19" applyNumberFormat="0" applyProtection="0">
      <alignment horizontal="left" vertical="center" indent="1"/>
    </xf>
    <xf numFmtId="0" fontId="8" fillId="46" borderId="19" applyNumberFormat="0" applyProtection="0">
      <alignment horizontal="left" vertical="top" indent="1"/>
    </xf>
    <xf numFmtId="0" fontId="8" fillId="43" borderId="19" applyNumberFormat="0" applyProtection="0">
      <alignment horizontal="left" vertical="center" indent="1"/>
    </xf>
    <xf numFmtId="0" fontId="8" fillId="43" borderId="19" applyNumberFormat="0" applyProtection="0">
      <alignment horizontal="left" vertical="top" indent="1"/>
    </xf>
    <xf numFmtId="0" fontId="8" fillId="44" borderId="19" applyNumberFormat="0" applyProtection="0">
      <alignment horizontal="left" vertical="center" indent="1"/>
    </xf>
    <xf numFmtId="0" fontId="8" fillId="44" borderId="19" applyNumberFormat="0" applyProtection="0">
      <alignment horizontal="left" vertical="top" indent="1"/>
    </xf>
    <xf numFmtId="0" fontId="8" fillId="6" borderId="13" applyNumberFormat="0">
      <protection locked="0"/>
    </xf>
    <xf numFmtId="0" fontId="8" fillId="0" borderId="0"/>
    <xf numFmtId="216" fontId="8" fillId="0" borderId="0"/>
    <xf numFmtId="217" fontId="8" fillId="0" borderId="14" applyBorder="0">
      <protection locked="0"/>
    </xf>
    <xf numFmtId="218" fontId="8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44" fillId="0" borderId="0">
      <alignment vertical="center"/>
    </xf>
    <xf numFmtId="0" fontId="1" fillId="0" borderId="0">
      <alignment vertical="center"/>
    </xf>
    <xf numFmtId="0" fontId="152" fillId="0" borderId="0"/>
    <xf numFmtId="206" fontId="1" fillId="0" borderId="0" applyFont="0" applyFill="0" applyBorder="0" applyAlignment="0" applyProtection="0">
      <alignment vertical="center"/>
    </xf>
  </cellStyleXfs>
  <cellXfs count="415">
    <xf numFmtId="0" fontId="0" fillId="0" borderId="0" xfId="0"/>
    <xf numFmtId="0" fontId="11" fillId="0" borderId="0" xfId="0" applyFont="1"/>
    <xf numFmtId="0" fontId="15" fillId="0" borderId="0" xfId="0" applyFont="1"/>
    <xf numFmtId="0" fontId="16" fillId="0" borderId="0" xfId="0" applyFont="1"/>
    <xf numFmtId="0" fontId="14" fillId="0" borderId="24" xfId="0" applyFont="1" applyBorder="1"/>
    <xf numFmtId="0" fontId="14" fillId="0" borderId="13" xfId="0" applyFont="1" applyBorder="1"/>
    <xf numFmtId="0" fontId="13" fillId="0" borderId="13" xfId="0" applyFont="1" applyBorder="1"/>
    <xf numFmtId="0" fontId="14" fillId="0" borderId="0" xfId="0" applyFont="1"/>
    <xf numFmtId="0" fontId="12" fillId="0" borderId="0" xfId="0" applyFont="1"/>
    <xf numFmtId="0" fontId="19" fillId="0" borderId="0" xfId="0" applyFont="1"/>
    <xf numFmtId="0" fontId="0" fillId="0" borderId="0" xfId="0" applyAlignment="1">
      <alignment horizontal="center"/>
    </xf>
    <xf numFmtId="0" fontId="21" fillId="0" borderId="0" xfId="0" applyFont="1"/>
    <xf numFmtId="0" fontId="19" fillId="0" borderId="0" xfId="0" applyFont="1" applyAlignment="1">
      <alignment horizontal="center"/>
    </xf>
    <xf numFmtId="167" fontId="14" fillId="0" borderId="13" xfId="56" applyFont="1" applyBorder="1"/>
    <xf numFmtId="0" fontId="22" fillId="0" borderId="0" xfId="0" applyFont="1"/>
    <xf numFmtId="0" fontId="23" fillId="0" borderId="0" xfId="0" applyFont="1"/>
    <xf numFmtId="167" fontId="0" fillId="0" borderId="0" xfId="56" applyFont="1" applyAlignment="1">
      <alignment horizontal="center"/>
    </xf>
    <xf numFmtId="0" fontId="23" fillId="0" borderId="25" xfId="0" applyFont="1" applyBorder="1"/>
    <xf numFmtId="0" fontId="24" fillId="0" borderId="26" xfId="0" applyFont="1" applyBorder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 indent="4"/>
    </xf>
    <xf numFmtId="0" fontId="38" fillId="0" borderId="0" xfId="0" applyFont="1"/>
    <xf numFmtId="0" fontId="19" fillId="0" borderId="27" xfId="0" applyFont="1" applyBorder="1"/>
    <xf numFmtId="0" fontId="0" fillId="0" borderId="28" xfId="0" applyBorder="1"/>
    <xf numFmtId="167" fontId="0" fillId="0" borderId="0" xfId="56" applyFont="1" applyBorder="1" applyAlignment="1">
      <alignment horizontal="center"/>
    </xf>
    <xf numFmtId="0" fontId="17" fillId="0" borderId="28" xfId="0" applyFont="1" applyBorder="1" applyAlignment="1">
      <alignment horizontal="center"/>
    </xf>
    <xf numFmtId="0" fontId="17" fillId="0" borderId="21" xfId="0" applyFont="1" applyBorder="1" applyAlignment="1">
      <alignment horizontal="center"/>
    </xf>
    <xf numFmtId="0" fontId="17" fillId="0" borderId="31" xfId="0" applyFont="1" applyBorder="1" applyAlignment="1">
      <alignment horizontal="center"/>
    </xf>
    <xf numFmtId="0" fontId="19" fillId="0" borderId="32" xfId="0" applyFont="1" applyBorder="1"/>
    <xf numFmtId="0" fontId="40" fillId="0" borderId="0" xfId="741" applyFont="1"/>
    <xf numFmtId="0" fontId="41" fillId="0" borderId="0" xfId="741" applyFont="1"/>
    <xf numFmtId="0" fontId="42" fillId="0" borderId="0" xfId="741" applyFont="1" applyAlignment="1">
      <alignment horizontal="right"/>
    </xf>
    <xf numFmtId="0" fontId="43" fillId="0" borderId="0" xfId="741" applyFont="1"/>
    <xf numFmtId="49" fontId="43" fillId="0" borderId="0" xfId="741" applyNumberFormat="1" applyFont="1" applyAlignment="1">
      <alignment horizontal="right"/>
    </xf>
    <xf numFmtId="0" fontId="43" fillId="0" borderId="0" xfId="741" applyFont="1" applyAlignment="1">
      <alignment horizontal="left"/>
    </xf>
    <xf numFmtId="0" fontId="43" fillId="0" borderId="0" xfId="741" applyFont="1" applyAlignment="1">
      <alignment horizontal="right"/>
    </xf>
    <xf numFmtId="0" fontId="13" fillId="0" borderId="24" xfId="0" applyFont="1" applyBorder="1"/>
    <xf numFmtId="0" fontId="24" fillId="0" borderId="33" xfId="0" applyFont="1" applyBorder="1"/>
    <xf numFmtId="0" fontId="24" fillId="0" borderId="36" xfId="0" applyFont="1" applyBorder="1"/>
    <xf numFmtId="0" fontId="23" fillId="0" borderId="36" xfId="0" applyFont="1" applyBorder="1"/>
    <xf numFmtId="0" fontId="24" fillId="0" borderId="38" xfId="0" applyFont="1" applyBorder="1"/>
    <xf numFmtId="0" fontId="0" fillId="0" borderId="13" xfId="0" applyBorder="1"/>
    <xf numFmtId="0" fontId="19" fillId="0" borderId="13" xfId="0" applyFont="1" applyBorder="1"/>
    <xf numFmtId="0" fontId="17" fillId="0" borderId="39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30" xfId="0" applyFont="1" applyBorder="1" applyAlignment="1">
      <alignment horizontal="center"/>
    </xf>
    <xf numFmtId="0" fontId="16" fillId="0" borderId="30" xfId="0" applyFont="1" applyBorder="1"/>
    <xf numFmtId="167" fontId="16" fillId="0" borderId="28" xfId="56" applyFont="1" applyBorder="1" applyAlignment="1">
      <alignment horizontal="center"/>
    </xf>
    <xf numFmtId="0" fontId="16" fillId="0" borderId="21" xfId="0" applyFont="1" applyBorder="1" applyAlignment="1">
      <alignment horizontal="center"/>
    </xf>
    <xf numFmtId="0" fontId="16" fillId="0" borderId="28" xfId="0" applyFont="1" applyBorder="1" applyAlignment="1">
      <alignment horizontal="center"/>
    </xf>
    <xf numFmtId="0" fontId="16" fillId="0" borderId="31" xfId="0" applyFont="1" applyBorder="1" applyAlignment="1">
      <alignment horizontal="center"/>
    </xf>
    <xf numFmtId="0" fontId="22" fillId="0" borderId="13" xfId="0" applyFont="1" applyBorder="1" applyAlignment="1">
      <alignment horizontal="center"/>
    </xf>
    <xf numFmtId="167" fontId="22" fillId="0" borderId="13" xfId="56" applyFont="1" applyBorder="1" applyAlignment="1">
      <alignment horizontal="center"/>
    </xf>
    <xf numFmtId="167" fontId="0" fillId="0" borderId="13" xfId="56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13" fillId="0" borderId="41" xfId="0" applyFont="1" applyBorder="1"/>
    <xf numFmtId="0" fontId="18" fillId="0" borderId="0" xfId="0" applyFont="1"/>
    <xf numFmtId="0" fontId="12" fillId="0" borderId="13" xfId="0" applyFont="1" applyBorder="1" applyAlignment="1">
      <alignment horizontal="center"/>
    </xf>
    <xf numFmtId="0" fontId="0" fillId="0" borderId="24" xfId="0" applyBorder="1"/>
    <xf numFmtId="0" fontId="0" fillId="0" borderId="36" xfId="0" applyBorder="1"/>
    <xf numFmtId="0" fontId="19" fillId="0" borderId="46" xfId="0" applyFont="1" applyBorder="1"/>
    <xf numFmtId="0" fontId="19" fillId="0" borderId="36" xfId="0" applyFont="1" applyBorder="1"/>
    <xf numFmtId="0" fontId="19" fillId="0" borderId="41" xfId="0" applyFont="1" applyBorder="1"/>
    <xf numFmtId="0" fontId="0" fillId="0" borderId="37" xfId="0" applyBorder="1"/>
    <xf numFmtId="0" fontId="0" fillId="0" borderId="25" xfId="0" applyBorder="1"/>
    <xf numFmtId="0" fontId="0" fillId="0" borderId="52" xfId="0" applyBorder="1"/>
    <xf numFmtId="0" fontId="0" fillId="0" borderId="53" xfId="0" applyBorder="1"/>
    <xf numFmtId="0" fontId="19" fillId="0" borderId="37" xfId="0" applyFont="1" applyBorder="1"/>
    <xf numFmtId="0" fontId="19" fillId="0" borderId="25" xfId="0" applyFont="1" applyBorder="1"/>
    <xf numFmtId="0" fontId="19" fillId="0" borderId="43" xfId="0" applyFont="1" applyBorder="1"/>
    <xf numFmtId="0" fontId="19" fillId="0" borderId="49" xfId="0" applyFont="1" applyBorder="1"/>
    <xf numFmtId="0" fontId="14" fillId="0" borderId="41" xfId="0" applyFont="1" applyBorder="1"/>
    <xf numFmtId="0" fontId="13" fillId="0" borderId="50" xfId="0" applyFont="1" applyBorder="1" applyAlignment="1">
      <alignment horizontal="center"/>
    </xf>
    <xf numFmtId="0" fontId="14" fillId="0" borderId="51" xfId="0" applyFont="1" applyBorder="1"/>
    <xf numFmtId="0" fontId="13" fillId="0" borderId="36" xfId="0" applyFont="1" applyBorder="1" applyAlignment="1">
      <alignment horizontal="center"/>
    </xf>
    <xf numFmtId="0" fontId="13" fillId="0" borderId="41" xfId="0" applyFont="1" applyBorder="1" applyAlignment="1">
      <alignment horizontal="center"/>
    </xf>
    <xf numFmtId="0" fontId="24" fillId="0" borderId="44" xfId="0" applyFont="1" applyBorder="1"/>
    <xf numFmtId="0" fontId="24" fillId="0" borderId="57" xfId="0" applyFont="1" applyBorder="1"/>
    <xf numFmtId="0" fontId="24" fillId="0" borderId="58" xfId="0" applyFont="1" applyBorder="1"/>
    <xf numFmtId="0" fontId="24" fillId="0" borderId="45" xfId="0" applyFont="1" applyBorder="1"/>
    <xf numFmtId="0" fontId="13" fillId="0" borderId="35" xfId="0" applyFont="1" applyBorder="1"/>
    <xf numFmtId="0" fontId="23" fillId="0" borderId="37" xfId="0" applyFont="1" applyBorder="1"/>
    <xf numFmtId="0" fontId="13" fillId="0" borderId="43" xfId="0" applyFont="1" applyBorder="1"/>
    <xf numFmtId="0" fontId="16" fillId="0" borderId="28" xfId="0" applyFont="1" applyBorder="1"/>
    <xf numFmtId="0" fontId="16" fillId="0" borderId="55" xfId="0" applyFont="1" applyBorder="1"/>
    <xf numFmtId="0" fontId="16" fillId="0" borderId="59" xfId="0" applyFont="1" applyBorder="1"/>
    <xf numFmtId="0" fontId="16" fillId="0" borderId="59" xfId="0" applyFont="1" applyBorder="1" applyAlignment="1">
      <alignment horizontal="center"/>
    </xf>
    <xf numFmtId="0" fontId="16" fillId="0" borderId="56" xfId="0" applyFont="1" applyBorder="1" applyAlignment="1">
      <alignment horizontal="center"/>
    </xf>
    <xf numFmtId="0" fontId="122" fillId="0" borderId="51" xfId="0" applyFont="1" applyBorder="1"/>
    <xf numFmtId="0" fontId="123" fillId="0" borderId="0" xfId="0" applyFont="1"/>
    <xf numFmtId="0" fontId="12" fillId="0" borderId="27" xfId="0" applyFont="1" applyBorder="1"/>
    <xf numFmtId="0" fontId="124" fillId="0" borderId="0" xfId="0" applyFont="1"/>
    <xf numFmtId="0" fontId="8" fillId="0" borderId="13" xfId="0" applyFont="1" applyBorder="1" applyAlignment="1">
      <alignment horizontal="center" vertical="center"/>
    </xf>
    <xf numFmtId="167" fontId="0" fillId="0" borderId="13" xfId="56" applyFont="1" applyBorder="1" applyAlignment="1">
      <alignment horizontal="center" vertical="center"/>
    </xf>
    <xf numFmtId="0" fontId="14" fillId="0" borderId="14" xfId="0" applyFont="1" applyBorder="1"/>
    <xf numFmtId="0" fontId="39" fillId="0" borderId="13" xfId="0" applyFont="1" applyBorder="1" applyAlignment="1">
      <alignment horizontal="center" wrapText="1"/>
    </xf>
    <xf numFmtId="0" fontId="12" fillId="0" borderId="47" xfId="0" applyFont="1" applyBorder="1" applyAlignment="1">
      <alignment horizontal="center"/>
    </xf>
    <xf numFmtId="0" fontId="12" fillId="0" borderId="13" xfId="0" applyFont="1" applyBorder="1" applyAlignment="1">
      <alignment horizontal="center" wrapText="1"/>
    </xf>
    <xf numFmtId="0" fontId="8" fillId="0" borderId="13" xfId="0" applyFont="1" applyBorder="1"/>
    <xf numFmtId="167" fontId="0" fillId="0" borderId="13" xfId="56" applyFont="1" applyBorder="1"/>
    <xf numFmtId="167" fontId="0" fillId="0" borderId="0" xfId="56" applyFont="1"/>
    <xf numFmtId="14" fontId="0" fillId="0" borderId="46" xfId="0" applyNumberFormat="1" applyBorder="1"/>
    <xf numFmtId="14" fontId="8" fillId="0" borderId="46" xfId="0" applyNumberFormat="1" applyFont="1" applyBorder="1"/>
    <xf numFmtId="16" fontId="8" fillId="0" borderId="46" xfId="0" applyNumberFormat="1" applyFont="1" applyBorder="1"/>
    <xf numFmtId="167" fontId="12" fillId="0" borderId="13" xfId="56" applyFont="1" applyBorder="1"/>
    <xf numFmtId="0" fontId="12" fillId="0" borderId="13" xfId="0" applyFont="1" applyBorder="1"/>
    <xf numFmtId="0" fontId="17" fillId="0" borderId="0" xfId="1209" applyFont="1"/>
    <xf numFmtId="0" fontId="8" fillId="0" borderId="0" xfId="1209"/>
    <xf numFmtId="0" fontId="127" fillId="0" borderId="0" xfId="1209" applyFont="1"/>
    <xf numFmtId="0" fontId="10" fillId="0" borderId="0" xfId="1209" applyFont="1" applyAlignment="1">
      <alignment horizontal="left"/>
    </xf>
    <xf numFmtId="0" fontId="12" fillId="0" borderId="0" xfId="1209" applyFont="1"/>
    <xf numFmtId="0" fontId="17" fillId="0" borderId="0" xfId="1209" applyFont="1" applyAlignment="1">
      <alignment horizontal="center"/>
    </xf>
    <xf numFmtId="0" fontId="8" fillId="0" borderId="0" xfId="1209" applyAlignment="1">
      <alignment horizontal="center"/>
    </xf>
    <xf numFmtId="189" fontId="124" fillId="0" borderId="0" xfId="1209" applyNumberFormat="1" applyFont="1"/>
    <xf numFmtId="189" fontId="8" fillId="0" borderId="0" xfId="1209" applyNumberFormat="1"/>
    <xf numFmtId="189" fontId="12" fillId="0" borderId="62" xfId="1209" applyNumberFormat="1" applyFont="1" applyBorder="1"/>
    <xf numFmtId="189" fontId="20" fillId="0" borderId="0" xfId="1209" applyNumberFormat="1" applyFont="1"/>
    <xf numFmtId="0" fontId="7" fillId="0" borderId="0" xfId="1210" applyAlignment="1">
      <alignment horizontal="center"/>
    </xf>
    <xf numFmtId="0" fontId="7" fillId="0" borderId="0" xfId="1210"/>
    <xf numFmtId="0" fontId="128" fillId="0" borderId="13" xfId="1210" applyFont="1" applyBorder="1" applyAlignment="1">
      <alignment horizontal="center"/>
    </xf>
    <xf numFmtId="0" fontId="128" fillId="0" borderId="13" xfId="1210" applyFont="1" applyBorder="1" applyAlignment="1">
      <alignment horizontal="center" wrapText="1"/>
    </xf>
    <xf numFmtId="0" fontId="7" fillId="0" borderId="13" xfId="1210" applyBorder="1" applyAlignment="1">
      <alignment horizontal="center"/>
    </xf>
    <xf numFmtId="43" fontId="128" fillId="0" borderId="13" xfId="1211" applyFont="1" applyBorder="1"/>
    <xf numFmtId="43" fontId="128" fillId="0" borderId="13" xfId="1210" applyNumberFormat="1" applyFont="1" applyBorder="1"/>
    <xf numFmtId="181" fontId="128" fillId="0" borderId="13" xfId="1211" applyNumberFormat="1" applyFont="1" applyBorder="1" applyAlignment="1">
      <alignment horizontal="center"/>
    </xf>
    <xf numFmtId="0" fontId="7" fillId="0" borderId="13" xfId="1210" applyBorder="1"/>
    <xf numFmtId="43" fontId="7" fillId="0" borderId="13" xfId="1210" applyNumberFormat="1" applyBorder="1"/>
    <xf numFmtId="43" fontId="129" fillId="57" borderId="13" xfId="1212" applyNumberFormat="1" applyFont="1" applyFill="1" applyBorder="1"/>
    <xf numFmtId="43" fontId="0" fillId="0" borderId="24" xfId="1211" applyFont="1" applyBorder="1"/>
    <xf numFmtId="43" fontId="128" fillId="0" borderId="0" xfId="1211" applyFont="1"/>
    <xf numFmtId="43" fontId="129" fillId="57" borderId="0" xfId="1212" applyNumberFormat="1" applyFont="1" applyFill="1"/>
    <xf numFmtId="43" fontId="7" fillId="0" borderId="0" xfId="1210" applyNumberFormat="1"/>
    <xf numFmtId="43" fontId="128" fillId="0" borderId="0" xfId="1210" applyNumberFormat="1" applyFont="1"/>
    <xf numFmtId="181" fontId="128" fillId="0" borderId="0" xfId="1211" applyNumberFormat="1" applyFont="1" applyAlignment="1">
      <alignment horizontal="center"/>
    </xf>
    <xf numFmtId="43" fontId="0" fillId="0" borderId="0" xfId="1211" applyFont="1"/>
    <xf numFmtId="43" fontId="129" fillId="56" borderId="0" xfId="1212" applyNumberFormat="1" applyFont="1" applyFill="1"/>
    <xf numFmtId="43" fontId="128" fillId="0" borderId="0" xfId="1211" applyFont="1" applyAlignment="1">
      <alignment horizontal="center"/>
    </xf>
    <xf numFmtId="0" fontId="130" fillId="58" borderId="0" xfId="1210" applyFont="1" applyFill="1" applyAlignment="1">
      <alignment horizontal="center"/>
    </xf>
    <xf numFmtId="0" fontId="130" fillId="58" borderId="0" xfId="1210" applyFont="1" applyFill="1"/>
    <xf numFmtId="43" fontId="130" fillId="58" borderId="0" xfId="1210" applyNumberFormat="1" applyFont="1" applyFill="1"/>
    <xf numFmtId="0" fontId="25" fillId="0" borderId="13" xfId="1027" applyBorder="1"/>
    <xf numFmtId="0" fontId="25" fillId="0" borderId="0" xfId="1027"/>
    <xf numFmtId="0" fontId="126" fillId="0" borderId="13" xfId="1027" applyFont="1" applyBorder="1"/>
    <xf numFmtId="0" fontId="126" fillId="0" borderId="13" xfId="1027" applyFont="1" applyBorder="1" applyAlignment="1">
      <alignment horizontal="center"/>
    </xf>
    <xf numFmtId="0" fontId="132" fillId="0" borderId="13" xfId="1027" applyFont="1" applyBorder="1"/>
    <xf numFmtId="0" fontId="133" fillId="0" borderId="13" xfId="1027" applyFont="1" applyBorder="1"/>
    <xf numFmtId="0" fontId="134" fillId="0" borderId="13" xfId="1027" applyFont="1" applyBorder="1"/>
    <xf numFmtId="167" fontId="25" fillId="0" borderId="13" xfId="1027" applyNumberFormat="1" applyBorder="1"/>
    <xf numFmtId="0" fontId="135" fillId="0" borderId="13" xfId="1027" applyFont="1" applyBorder="1"/>
    <xf numFmtId="0" fontId="19" fillId="0" borderId="13" xfId="0" applyFont="1" applyBorder="1" applyAlignment="1">
      <alignment horizontal="center"/>
    </xf>
    <xf numFmtId="167" fontId="17" fillId="0" borderId="30" xfId="56" applyFont="1" applyBorder="1" applyAlignment="1">
      <alignment horizontal="center"/>
    </xf>
    <xf numFmtId="167" fontId="17" fillId="0" borderId="63" xfId="56" applyFont="1" applyBorder="1" applyAlignment="1">
      <alignment horizontal="center"/>
    </xf>
    <xf numFmtId="0" fontId="17" fillId="0" borderId="31" xfId="0" applyFont="1" applyBorder="1"/>
    <xf numFmtId="0" fontId="0" fillId="0" borderId="29" xfId="0" applyBorder="1"/>
    <xf numFmtId="0" fontId="17" fillId="0" borderId="40" xfId="0" applyFont="1" applyBorder="1"/>
    <xf numFmtId="0" fontId="17" fillId="0" borderId="54" xfId="0" applyFont="1" applyBorder="1" applyAlignment="1">
      <alignment horizontal="center"/>
    </xf>
    <xf numFmtId="0" fontId="17" fillId="0" borderId="53" xfId="0" applyFont="1" applyBorder="1" applyAlignment="1">
      <alignment horizontal="center"/>
    </xf>
    <xf numFmtId="0" fontId="19" fillId="0" borderId="0" xfId="1209" applyFont="1"/>
    <xf numFmtId="0" fontId="12" fillId="0" borderId="0" xfId="1209" applyFont="1" applyAlignment="1">
      <alignment horizontal="left"/>
    </xf>
    <xf numFmtId="0" fontId="19" fillId="0" borderId="0" xfId="1209" applyFont="1" applyAlignment="1">
      <alignment horizontal="left"/>
    </xf>
    <xf numFmtId="0" fontId="20" fillId="0" borderId="0" xfId="1209" applyFont="1" applyAlignment="1">
      <alignment horizontal="left"/>
    </xf>
    <xf numFmtId="0" fontId="137" fillId="0" borderId="0" xfId="1214" applyFont="1" applyAlignment="1">
      <alignment horizontal="center"/>
    </xf>
    <xf numFmtId="0" fontId="138" fillId="0" borderId="0" xfId="1214" applyFont="1" applyAlignment="1">
      <alignment horizontal="center"/>
    </xf>
    <xf numFmtId="0" fontId="138" fillId="0" borderId="0" xfId="1214" applyFont="1" applyAlignment="1">
      <alignment horizontal="center" wrapText="1"/>
    </xf>
    <xf numFmtId="0" fontId="137" fillId="0" borderId="0" xfId="1214" applyFont="1" applyAlignment="1">
      <alignment horizontal="center" vertical="center"/>
    </xf>
    <xf numFmtId="0" fontId="139" fillId="0" borderId="0" xfId="1214" applyFont="1" applyAlignment="1">
      <alignment horizontal="center"/>
    </xf>
    <xf numFmtId="0" fontId="36" fillId="0" borderId="13" xfId="1027" applyFont="1" applyBorder="1"/>
    <xf numFmtId="43" fontId="25" fillId="0" borderId="0" xfId="1027" applyNumberFormat="1"/>
    <xf numFmtId="43" fontId="25" fillId="0" borderId="13" xfId="1027" applyNumberFormat="1" applyBorder="1"/>
    <xf numFmtId="0" fontId="39" fillId="0" borderId="14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31" fillId="0" borderId="13" xfId="1027" applyFont="1" applyBorder="1"/>
    <xf numFmtId="4" fontId="0" fillId="0" borderId="24" xfId="0" applyNumberFormat="1" applyBorder="1"/>
    <xf numFmtId="0" fontId="140" fillId="0" borderId="0" xfId="0" applyFont="1" applyAlignment="1">
      <alignment horizontal="center"/>
    </xf>
    <xf numFmtId="0" fontId="136" fillId="0" borderId="0" xfId="0" applyFont="1"/>
    <xf numFmtId="0" fontId="125" fillId="0" borderId="27" xfId="1208" applyBorder="1" applyAlignment="1" applyProtection="1"/>
    <xf numFmtId="2" fontId="12" fillId="0" borderId="27" xfId="0" applyNumberFormat="1" applyFont="1" applyBorder="1"/>
    <xf numFmtId="0" fontId="12" fillId="0" borderId="27" xfId="0" quotePrefix="1" applyFont="1" applyBorder="1"/>
    <xf numFmtId="0" fontId="12" fillId="0" borderId="27" xfId="0" applyFont="1" applyBorder="1" applyAlignment="1">
      <alignment horizontal="left"/>
    </xf>
    <xf numFmtId="0" fontId="12" fillId="0" borderId="27" xfId="0" applyFont="1" applyBorder="1" applyAlignment="1">
      <alignment horizontal="right"/>
    </xf>
    <xf numFmtId="0" fontId="12" fillId="0" borderId="0" xfId="0" applyFont="1" applyAlignment="1">
      <alignment horizontal="left"/>
    </xf>
    <xf numFmtId="0" fontId="12" fillId="0" borderId="22" xfId="0" applyFont="1" applyBorder="1"/>
    <xf numFmtId="0" fontId="19" fillId="0" borderId="22" xfId="0" applyFont="1" applyBorder="1"/>
    <xf numFmtId="0" fontId="13" fillId="0" borderId="34" xfId="0" applyFont="1" applyBorder="1"/>
    <xf numFmtId="0" fontId="14" fillId="0" borderId="40" xfId="0" applyFont="1" applyBorder="1"/>
    <xf numFmtId="0" fontId="13" fillId="0" borderId="41" xfId="0" applyFont="1" applyBorder="1" applyAlignment="1">
      <alignment wrapText="1"/>
    </xf>
    <xf numFmtId="0" fontId="23" fillId="0" borderId="0" xfId="0" applyFont="1" applyAlignment="1">
      <alignment wrapText="1"/>
    </xf>
    <xf numFmtId="0" fontId="13" fillId="0" borderId="26" xfId="0" applyFont="1" applyBorder="1" applyAlignment="1">
      <alignment horizontal="center"/>
    </xf>
    <xf numFmtId="14" fontId="19" fillId="0" borderId="13" xfId="0" applyNumberFormat="1" applyFont="1" applyBorder="1" applyAlignment="1">
      <alignment horizontal="center"/>
    </xf>
    <xf numFmtId="167" fontId="19" fillId="0" borderId="13" xfId="56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167" fontId="13" fillId="0" borderId="0" xfId="56" applyFont="1" applyBorder="1" applyAlignment="1">
      <alignment horizontal="center"/>
    </xf>
    <xf numFmtId="167" fontId="13" fillId="0" borderId="13" xfId="56" applyFont="1" applyBorder="1" applyAlignment="1">
      <alignment horizontal="center"/>
    </xf>
    <xf numFmtId="0" fontId="0" fillId="0" borderId="24" xfId="0" applyBorder="1" applyAlignment="1">
      <alignment horizontal="center"/>
    </xf>
    <xf numFmtId="0" fontId="8" fillId="0" borderId="0" xfId="0" applyFont="1"/>
    <xf numFmtId="14" fontId="0" fillId="0" borderId="13" xfId="0" applyNumberFormat="1" applyBorder="1" applyAlignment="1">
      <alignment horizontal="center"/>
    </xf>
    <xf numFmtId="167" fontId="16" fillId="0" borderId="13" xfId="0" applyNumberFormat="1" applyFont="1" applyBorder="1"/>
    <xf numFmtId="167" fontId="16" fillId="0" borderId="0" xfId="0" applyNumberFormat="1" applyFont="1"/>
    <xf numFmtId="0" fontId="16" fillId="0" borderId="13" xfId="0" applyFont="1" applyBorder="1"/>
    <xf numFmtId="0" fontId="16" fillId="0" borderId="13" xfId="0" applyFont="1" applyBorder="1" applyAlignment="1">
      <alignment horizontal="center"/>
    </xf>
    <xf numFmtId="4" fontId="0" fillId="0" borderId="13" xfId="0" applyNumberFormat="1" applyBorder="1"/>
    <xf numFmtId="14" fontId="0" fillId="0" borderId="13" xfId="0" applyNumberFormat="1" applyBorder="1"/>
    <xf numFmtId="0" fontId="17" fillId="0" borderId="13" xfId="0" applyFont="1" applyBorder="1"/>
    <xf numFmtId="4" fontId="17" fillId="0" borderId="13" xfId="0" applyNumberFormat="1" applyFont="1" applyBorder="1"/>
    <xf numFmtId="14" fontId="17" fillId="0" borderId="13" xfId="0" applyNumberFormat="1" applyFont="1" applyBorder="1"/>
    <xf numFmtId="14" fontId="8" fillId="0" borderId="24" xfId="0" applyNumberFormat="1" applyFont="1" applyBorder="1"/>
    <xf numFmtId="167" fontId="16" fillId="0" borderId="13" xfId="0" applyNumberFormat="1" applyFont="1" applyBorder="1" applyAlignment="1">
      <alignment horizontal="center"/>
    </xf>
    <xf numFmtId="0" fontId="141" fillId="0" borderId="30" xfId="1027" applyFont="1" applyBorder="1"/>
    <xf numFmtId="43" fontId="2" fillId="0" borderId="13" xfId="1555" applyFont="1" applyBorder="1"/>
    <xf numFmtId="0" fontId="142" fillId="0" borderId="13" xfId="1027" applyFont="1" applyBorder="1"/>
    <xf numFmtId="43" fontId="142" fillId="0" borderId="13" xfId="1555" applyFont="1" applyBorder="1"/>
    <xf numFmtId="0" fontId="143" fillId="0" borderId="0" xfId="1027" applyFont="1"/>
    <xf numFmtId="0" fontId="145" fillId="0" borderId="30" xfId="1556" applyFont="1" applyBorder="1" applyAlignment="1">
      <alignment horizontal="center" vertical="center"/>
    </xf>
    <xf numFmtId="0" fontId="145" fillId="0" borderId="64" xfId="1556" applyFont="1" applyBorder="1">
      <alignment vertical="center"/>
    </xf>
    <xf numFmtId="0" fontId="146" fillId="0" borderId="64" xfId="1556" applyFont="1" applyBorder="1">
      <alignment vertical="center"/>
    </xf>
    <xf numFmtId="0" fontId="144" fillId="0" borderId="64" xfId="1556" applyBorder="1">
      <alignment vertical="center"/>
    </xf>
    <xf numFmtId="0" fontId="144" fillId="0" borderId="64" xfId="1556" applyBorder="1" applyAlignment="1">
      <alignment horizontal="center" vertical="center"/>
    </xf>
    <xf numFmtId="0" fontId="144" fillId="0" borderId="65" xfId="1556" applyBorder="1">
      <alignment vertical="center"/>
    </xf>
    <xf numFmtId="0" fontId="144" fillId="0" borderId="0" xfId="1556">
      <alignment vertical="center"/>
    </xf>
    <xf numFmtId="0" fontId="145" fillId="0" borderId="63" xfId="1556" applyFont="1" applyBorder="1" applyAlignment="1">
      <alignment horizontal="center" vertical="center"/>
    </xf>
    <xf numFmtId="0" fontId="145" fillId="0" borderId="0" xfId="1556" applyFont="1">
      <alignment vertical="center"/>
    </xf>
    <xf numFmtId="0" fontId="146" fillId="0" borderId="0" xfId="1556" applyFont="1">
      <alignment vertical="center"/>
    </xf>
    <xf numFmtId="0" fontId="144" fillId="0" borderId="0" xfId="1556" applyAlignment="1">
      <alignment horizontal="center" vertical="center"/>
    </xf>
    <xf numFmtId="0" fontId="144" fillId="0" borderId="40" xfId="1556" applyBorder="1">
      <alignment vertical="center"/>
    </xf>
    <xf numFmtId="0" fontId="147" fillId="0" borderId="66" xfId="1556" applyFont="1" applyBorder="1" applyAlignment="1">
      <alignment horizontal="center" vertical="center" wrapText="1"/>
    </xf>
    <xf numFmtId="0" fontId="148" fillId="0" borderId="67" xfId="1556" applyFont="1" applyBorder="1" applyAlignment="1">
      <alignment horizontal="left" vertical="center"/>
    </xf>
    <xf numFmtId="0" fontId="148" fillId="0" borderId="67" xfId="1556" applyFont="1" applyBorder="1" applyAlignment="1">
      <alignment horizontal="left" vertical="center" wrapText="1"/>
    </xf>
    <xf numFmtId="0" fontId="148" fillId="0" borderId="67" xfId="1556" applyFont="1" applyBorder="1" applyAlignment="1">
      <alignment horizontal="center" vertical="center" wrapText="1"/>
    </xf>
    <xf numFmtId="0" fontId="148" fillId="0" borderId="68" xfId="1556" applyFont="1" applyBorder="1" applyAlignment="1">
      <alignment horizontal="left" vertical="center"/>
    </xf>
    <xf numFmtId="0" fontId="144" fillId="0" borderId="24" xfId="1556" applyBorder="1" applyAlignment="1">
      <alignment horizontal="center" vertical="center"/>
    </xf>
    <xf numFmtId="0" fontId="149" fillId="59" borderId="24" xfId="1556" applyFont="1" applyFill="1" applyBorder="1" applyAlignment="1">
      <alignment vertical="center" wrapText="1"/>
    </xf>
    <xf numFmtId="0" fontId="144" fillId="59" borderId="24" xfId="1556" applyFill="1" applyBorder="1">
      <alignment vertical="center"/>
    </xf>
    <xf numFmtId="0" fontId="149" fillId="59" borderId="24" xfId="1556" applyFont="1" applyFill="1" applyBorder="1" applyAlignment="1">
      <alignment horizontal="center" vertical="center" wrapText="1"/>
    </xf>
    <xf numFmtId="0" fontId="144" fillId="0" borderId="13" xfId="1556" applyBorder="1" applyAlignment="1">
      <alignment horizontal="center" vertical="center"/>
    </xf>
    <xf numFmtId="0" fontId="149" fillId="0" borderId="13" xfId="1556" applyFont="1" applyBorder="1" applyAlignment="1">
      <alignment vertical="center" wrapText="1"/>
    </xf>
    <xf numFmtId="0" fontId="149" fillId="0" borderId="13" xfId="1556" applyFont="1" applyBorder="1" applyAlignment="1">
      <alignment horizontal="center" vertical="center" wrapText="1"/>
    </xf>
    <xf numFmtId="0" fontId="149" fillId="59" borderId="13" xfId="1556" applyFont="1" applyFill="1" applyBorder="1" applyAlignment="1">
      <alignment vertical="center" wrapText="1"/>
    </xf>
    <xf numFmtId="0" fontId="144" fillId="59" borderId="13" xfId="1556" applyFill="1" applyBorder="1">
      <alignment vertical="center"/>
    </xf>
    <xf numFmtId="0" fontId="149" fillId="59" borderId="13" xfId="1556" applyFont="1" applyFill="1" applyBorder="1" applyAlignment="1">
      <alignment horizontal="center" vertical="center" wrapText="1"/>
    </xf>
    <xf numFmtId="0" fontId="144" fillId="0" borderId="13" xfId="1556" applyBorder="1">
      <alignment vertical="center"/>
    </xf>
    <xf numFmtId="0" fontId="150" fillId="0" borderId="69" xfId="1556" applyFont="1" applyBorder="1">
      <alignment vertical="center"/>
    </xf>
    <xf numFmtId="0" fontId="150" fillId="0" borderId="64" xfId="1556" applyFont="1" applyBorder="1">
      <alignment vertical="center"/>
    </xf>
    <xf numFmtId="0" fontId="147" fillId="0" borderId="64" xfId="1556" applyFont="1" applyBorder="1">
      <alignment vertical="center"/>
    </xf>
    <xf numFmtId="0" fontId="150" fillId="0" borderId="63" xfId="1556" applyFont="1" applyBorder="1">
      <alignment vertical="center"/>
    </xf>
    <xf numFmtId="0" fontId="150" fillId="0" borderId="0" xfId="1556" applyFont="1">
      <alignment vertical="center"/>
    </xf>
    <xf numFmtId="0" fontId="147" fillId="0" borderId="0" xfId="1556" applyFont="1">
      <alignment vertical="center"/>
    </xf>
    <xf numFmtId="0" fontId="144" fillId="0" borderId="70" xfId="1556" applyBorder="1">
      <alignment vertical="center"/>
    </xf>
    <xf numFmtId="0" fontId="144" fillId="0" borderId="27" xfId="1556" applyBorder="1">
      <alignment vertical="center"/>
    </xf>
    <xf numFmtId="0" fontId="151" fillId="0" borderId="66" xfId="1556" applyFont="1" applyBorder="1" applyAlignment="1">
      <alignment horizontal="center" vertical="center"/>
    </xf>
    <xf numFmtId="0" fontId="151" fillId="0" borderId="67" xfId="1556" applyFont="1" applyBorder="1" applyAlignment="1">
      <alignment horizontal="left" vertical="center"/>
    </xf>
    <xf numFmtId="0" fontId="151" fillId="0" borderId="67" xfId="1556" applyFont="1" applyBorder="1" applyAlignment="1">
      <alignment horizontal="left" vertical="center" wrapText="1"/>
    </xf>
    <xf numFmtId="0" fontId="151" fillId="0" borderId="68" xfId="1556" applyFont="1" applyBorder="1" applyAlignment="1">
      <alignment horizontal="left" vertical="center"/>
    </xf>
    <xf numFmtId="0" fontId="152" fillId="59" borderId="24" xfId="1556" applyFont="1" applyFill="1" applyBorder="1" applyAlignment="1">
      <alignment horizontal="center" vertical="center" wrapText="1"/>
    </xf>
    <xf numFmtId="0" fontId="152" fillId="59" borderId="24" xfId="1556" applyFont="1" applyFill="1" applyBorder="1" applyAlignment="1">
      <alignment vertical="center" wrapText="1"/>
    </xf>
    <xf numFmtId="0" fontId="152" fillId="59" borderId="24" xfId="1556" applyFont="1" applyFill="1" applyBorder="1">
      <alignment vertical="center"/>
    </xf>
    <xf numFmtId="0" fontId="152" fillId="59" borderId="13" xfId="1556" applyFont="1" applyFill="1" applyBorder="1" applyAlignment="1">
      <alignment horizontal="center" vertical="center" wrapText="1"/>
    </xf>
    <xf numFmtId="0" fontId="152" fillId="0" borderId="13" xfId="1556" applyFont="1" applyBorder="1" applyAlignment="1">
      <alignment vertical="center" wrapText="1"/>
    </xf>
    <xf numFmtId="0" fontId="152" fillId="59" borderId="13" xfId="1556" applyFont="1" applyFill="1" applyBorder="1" applyAlignment="1">
      <alignment vertical="center" wrapText="1"/>
    </xf>
    <xf numFmtId="0" fontId="152" fillId="59" borderId="13" xfId="1556" applyFont="1" applyFill="1" applyBorder="1">
      <alignment vertical="center"/>
    </xf>
    <xf numFmtId="0" fontId="152" fillId="0" borderId="13" xfId="1556" applyFont="1" applyBorder="1">
      <alignment vertical="center"/>
    </xf>
    <xf numFmtId="0" fontId="144" fillId="56" borderId="0" xfId="1556" applyFill="1" applyAlignment="1"/>
    <xf numFmtId="0" fontId="153" fillId="56" borderId="24" xfId="1556" applyFont="1" applyFill="1" applyBorder="1" applyAlignment="1">
      <alignment horizontal="center" vertical="center"/>
    </xf>
    <xf numFmtId="0" fontId="153" fillId="56" borderId="24" xfId="1556" applyFont="1" applyFill="1" applyBorder="1" applyAlignment="1">
      <alignment horizontal="center" vertical="center" wrapText="1"/>
    </xf>
    <xf numFmtId="0" fontId="144" fillId="56" borderId="0" xfId="1556" applyFill="1" applyAlignment="1">
      <alignment horizontal="center" vertical="center"/>
    </xf>
    <xf numFmtId="0" fontId="153" fillId="56" borderId="13" xfId="1556" applyFont="1" applyFill="1" applyBorder="1" applyAlignment="1">
      <alignment horizontal="center" vertical="center"/>
    </xf>
    <xf numFmtId="4" fontId="153" fillId="56" borderId="13" xfId="1556" applyNumberFormat="1" applyFont="1" applyFill="1" applyBorder="1" applyAlignment="1">
      <alignment horizontal="center" vertical="center"/>
    </xf>
    <xf numFmtId="0" fontId="153" fillId="56" borderId="47" xfId="1556" applyFont="1" applyFill="1" applyBorder="1" applyAlignment="1">
      <alignment horizontal="center" vertical="center"/>
    </xf>
    <xf numFmtId="4" fontId="153" fillId="56" borderId="47" xfId="1556" applyNumberFormat="1" applyFont="1" applyFill="1" applyBorder="1" applyAlignment="1">
      <alignment horizontal="center" vertical="center"/>
    </xf>
    <xf numFmtId="0" fontId="153" fillId="56" borderId="67" xfId="1556" applyFont="1" applyFill="1" applyBorder="1" applyAlignment="1">
      <alignment horizontal="center" vertical="center"/>
    </xf>
    <xf numFmtId="0" fontId="153" fillId="56" borderId="66" xfId="1556" applyFont="1" applyFill="1" applyBorder="1" applyAlignment="1">
      <alignment horizontal="center" vertical="center"/>
    </xf>
    <xf numFmtId="0" fontId="153" fillId="56" borderId="67" xfId="1556" applyFont="1" applyFill="1" applyBorder="1" applyAlignment="1">
      <alignment horizontal="center" vertical="center" wrapText="1"/>
    </xf>
    <xf numFmtId="0" fontId="153" fillId="56" borderId="68" xfId="1556" applyFont="1" applyFill="1" applyBorder="1" applyAlignment="1">
      <alignment horizontal="center" vertical="center"/>
    </xf>
    <xf numFmtId="4" fontId="153" fillId="56" borderId="24" xfId="1556" applyNumberFormat="1" applyFont="1" applyFill="1" applyBorder="1" applyAlignment="1">
      <alignment horizontal="center" vertical="center"/>
    </xf>
    <xf numFmtId="0" fontId="153" fillId="56" borderId="45" xfId="1556" applyFont="1" applyFill="1" applyBorder="1" applyAlignment="1"/>
    <xf numFmtId="0" fontId="153" fillId="56" borderId="26" xfId="1556" applyFont="1" applyFill="1" applyBorder="1" applyAlignment="1">
      <alignment horizontal="center" vertical="center"/>
    </xf>
    <xf numFmtId="0" fontId="153" fillId="56" borderId="26" xfId="1556" applyFont="1" applyFill="1" applyBorder="1" applyAlignment="1"/>
    <xf numFmtId="4" fontId="153" fillId="56" borderId="26" xfId="1556" applyNumberFormat="1" applyFont="1" applyFill="1" applyBorder="1" applyAlignment="1">
      <alignment horizontal="center" vertical="center"/>
    </xf>
    <xf numFmtId="4" fontId="153" fillId="56" borderId="38" xfId="1556" applyNumberFormat="1" applyFont="1" applyFill="1" applyBorder="1" applyAlignment="1">
      <alignment horizontal="center" vertical="center"/>
    </xf>
    <xf numFmtId="0" fontId="153" fillId="56" borderId="47" xfId="1556" applyFont="1" applyFill="1" applyBorder="1" applyAlignment="1">
      <alignment horizontal="left" vertical="center"/>
    </xf>
    <xf numFmtId="0" fontId="149" fillId="60" borderId="13" xfId="1556" applyFont="1" applyFill="1" applyBorder="1" applyAlignment="1">
      <alignment vertical="center" wrapText="1"/>
    </xf>
    <xf numFmtId="0" fontId="149" fillId="60" borderId="13" xfId="1556" applyFont="1" applyFill="1" applyBorder="1" applyAlignment="1">
      <alignment horizontal="center" vertical="center" wrapText="1"/>
    </xf>
    <xf numFmtId="167" fontId="144" fillId="0" borderId="0" xfId="56" applyFont="1" applyAlignment="1">
      <alignment vertical="center"/>
    </xf>
    <xf numFmtId="0" fontId="152" fillId="59" borderId="0" xfId="1556" applyFont="1" applyFill="1" applyAlignment="1">
      <alignment horizontal="center" vertical="center" wrapText="1"/>
    </xf>
    <xf numFmtId="0" fontId="153" fillId="56" borderId="13" xfId="1556" applyFont="1" applyFill="1" applyBorder="1" applyAlignment="1">
      <alignment horizontal="left" vertical="center"/>
    </xf>
    <xf numFmtId="167" fontId="144" fillId="56" borderId="0" xfId="56" applyFont="1" applyFill="1" applyAlignment="1"/>
    <xf numFmtId="4" fontId="149" fillId="59" borderId="24" xfId="1556" applyNumberFormat="1" applyFont="1" applyFill="1" applyBorder="1" applyAlignment="1">
      <alignment vertical="center" wrapText="1"/>
    </xf>
    <xf numFmtId="4" fontId="149" fillId="0" borderId="13" xfId="1556" applyNumberFormat="1" applyFont="1" applyBorder="1" applyAlignment="1">
      <alignment vertical="center" wrapText="1"/>
    </xf>
    <xf numFmtId="4" fontId="149" fillId="59" borderId="13" xfId="1556" applyNumberFormat="1" applyFont="1" applyFill="1" applyBorder="1" applyAlignment="1">
      <alignment vertical="center" wrapText="1"/>
    </xf>
    <xf numFmtId="4" fontId="149" fillId="60" borderId="13" xfId="1556" applyNumberFormat="1" applyFont="1" applyFill="1" applyBorder="1" applyAlignment="1">
      <alignment vertical="center" wrapText="1"/>
    </xf>
    <xf numFmtId="43" fontId="144" fillId="0" borderId="0" xfId="1556" applyNumberFormat="1">
      <alignment vertical="center"/>
    </xf>
    <xf numFmtId="4" fontId="152" fillId="59" borderId="24" xfId="1556" applyNumberFormat="1" applyFont="1" applyFill="1" applyBorder="1" applyAlignment="1">
      <alignment vertical="center" wrapText="1"/>
    </xf>
    <xf numFmtId="4" fontId="152" fillId="0" borderId="13" xfId="1556" applyNumberFormat="1" applyFont="1" applyBorder="1" applyAlignment="1">
      <alignment vertical="center" wrapText="1"/>
    </xf>
    <xf numFmtId="4" fontId="152" fillId="59" borderId="13" xfId="1556" applyNumberFormat="1" applyFont="1" applyFill="1" applyBorder="1" applyAlignment="1">
      <alignment vertical="center" wrapText="1"/>
    </xf>
    <xf numFmtId="0" fontId="153" fillId="56" borderId="24" xfId="1556" applyFont="1" applyFill="1" applyBorder="1" applyAlignment="1">
      <alignment horizontal="left" vertical="center"/>
    </xf>
    <xf numFmtId="0" fontId="153" fillId="60" borderId="13" xfId="1556" applyFont="1" applyFill="1" applyBorder="1" applyAlignment="1">
      <alignment horizontal="center" vertical="center"/>
    </xf>
    <xf numFmtId="0" fontId="149" fillId="0" borderId="47" xfId="1556" applyFont="1" applyBorder="1" applyAlignment="1">
      <alignment vertical="center" wrapText="1"/>
    </xf>
    <xf numFmtId="0" fontId="144" fillId="0" borderId="47" xfId="1556" applyBorder="1">
      <alignment vertical="center"/>
    </xf>
    <xf numFmtId="4" fontId="149" fillId="0" borderId="47" xfId="1556" applyNumberFormat="1" applyFont="1" applyBorder="1" applyAlignment="1">
      <alignment vertical="center" wrapText="1"/>
    </xf>
    <xf numFmtId="43" fontId="128" fillId="0" borderId="47" xfId="1211" applyFont="1" applyBorder="1"/>
    <xf numFmtId="0" fontId="152" fillId="0" borderId="47" xfId="1556" applyFont="1" applyBorder="1" applyAlignment="1">
      <alignment vertical="center" wrapText="1"/>
    </xf>
    <xf numFmtId="0" fontId="152" fillId="0" borderId="47" xfId="1556" applyFont="1" applyBorder="1">
      <alignment vertical="center"/>
    </xf>
    <xf numFmtId="4" fontId="152" fillId="0" borderId="47" xfId="1556" applyNumberFormat="1" applyFont="1" applyBorder="1" applyAlignment="1">
      <alignment vertical="center" wrapText="1"/>
    </xf>
    <xf numFmtId="43" fontId="129" fillId="57" borderId="47" xfId="1212" applyNumberFormat="1" applyFont="1" applyFill="1" applyBorder="1"/>
    <xf numFmtId="0" fontId="153" fillId="60" borderId="26" xfId="1556" applyFont="1" applyFill="1" applyBorder="1" applyAlignment="1"/>
    <xf numFmtId="0" fontId="153" fillId="56" borderId="13" xfId="1556" applyFont="1" applyFill="1" applyBorder="1" applyAlignment="1"/>
    <xf numFmtId="0" fontId="153" fillId="60" borderId="13" xfId="1556" applyFont="1" applyFill="1" applyBorder="1" applyAlignment="1"/>
    <xf numFmtId="167" fontId="144" fillId="0" borderId="64" xfId="56" applyFont="1" applyBorder="1" applyAlignment="1">
      <alignment vertical="center"/>
    </xf>
    <xf numFmtId="167" fontId="148" fillId="0" borderId="67" xfId="56" applyFont="1" applyBorder="1" applyAlignment="1">
      <alignment horizontal="left" vertical="center"/>
    </xf>
    <xf numFmtId="167" fontId="149" fillId="59" borderId="24" xfId="56" applyFont="1" applyFill="1" applyBorder="1" applyAlignment="1">
      <alignment vertical="center" wrapText="1"/>
    </xf>
    <xf numFmtId="167" fontId="149" fillId="0" borderId="13" xfId="56" applyFont="1" applyBorder="1" applyAlignment="1">
      <alignment vertical="center" wrapText="1"/>
    </xf>
    <xf numFmtId="167" fontId="149" fillId="59" borderId="13" xfId="56" applyFont="1" applyFill="1" applyBorder="1" applyAlignment="1">
      <alignment vertical="center" wrapText="1"/>
    </xf>
    <xf numFmtId="167" fontId="149" fillId="60" borderId="13" xfId="56" applyFont="1" applyFill="1" applyBorder="1" applyAlignment="1">
      <alignment vertical="center" wrapText="1"/>
    </xf>
    <xf numFmtId="167" fontId="149" fillId="0" borderId="47" xfId="56" applyFont="1" applyBorder="1" applyAlignment="1">
      <alignment vertical="center" wrapText="1"/>
    </xf>
    <xf numFmtId="0" fontId="144" fillId="60" borderId="13" xfId="1556" applyFill="1" applyBorder="1">
      <alignment vertical="center"/>
    </xf>
    <xf numFmtId="0" fontId="144" fillId="60" borderId="13" xfId="1556" applyFill="1" applyBorder="1" applyAlignment="1">
      <alignment horizontal="center" vertical="center"/>
    </xf>
    <xf numFmtId="167" fontId="144" fillId="60" borderId="13" xfId="56" applyFont="1" applyFill="1" applyBorder="1" applyAlignment="1">
      <alignment vertical="center"/>
    </xf>
    <xf numFmtId="43" fontId="128" fillId="60" borderId="13" xfId="1211" applyFont="1" applyFill="1" applyBorder="1"/>
    <xf numFmtId="43" fontId="129" fillId="60" borderId="13" xfId="1212" applyNumberFormat="1" applyFont="1" applyFill="1" applyBorder="1"/>
    <xf numFmtId="43" fontId="7" fillId="60" borderId="13" xfId="1210" applyNumberFormat="1" applyFill="1" applyBorder="1"/>
    <xf numFmtId="43" fontId="128" fillId="60" borderId="13" xfId="1210" applyNumberFormat="1" applyFont="1" applyFill="1" applyBorder="1"/>
    <xf numFmtId="181" fontId="128" fillId="60" borderId="13" xfId="1211" applyNumberFormat="1" applyFont="1" applyFill="1" applyBorder="1" applyAlignment="1">
      <alignment horizontal="center"/>
    </xf>
    <xf numFmtId="43" fontId="0" fillId="60" borderId="24" xfId="1211" applyFont="1" applyFill="1" applyBorder="1"/>
    <xf numFmtId="0" fontId="152" fillId="60" borderId="13" xfId="1556" applyFont="1" applyFill="1" applyBorder="1" applyAlignment="1">
      <alignment vertical="center" wrapText="1"/>
    </xf>
    <xf numFmtId="0" fontId="152" fillId="60" borderId="13" xfId="1556" applyFont="1" applyFill="1" applyBorder="1">
      <alignment vertical="center"/>
    </xf>
    <xf numFmtId="0" fontId="152" fillId="60" borderId="13" xfId="1556" applyFont="1" applyFill="1" applyBorder="1" applyAlignment="1">
      <alignment horizontal="center" vertical="center" wrapText="1"/>
    </xf>
    <xf numFmtId="4" fontId="152" fillId="60" borderId="13" xfId="1556" applyNumberFormat="1" applyFont="1" applyFill="1" applyBorder="1" applyAlignment="1">
      <alignment vertical="center" wrapText="1"/>
    </xf>
    <xf numFmtId="0" fontId="144" fillId="60" borderId="0" xfId="1556" applyFill="1">
      <alignment vertical="center"/>
    </xf>
    <xf numFmtId="0" fontId="144" fillId="60" borderId="0" xfId="1556" applyFill="1" applyAlignment="1">
      <alignment horizontal="center" vertical="center"/>
    </xf>
    <xf numFmtId="0" fontId="152" fillId="0" borderId="0" xfId="1557" applyFont="1">
      <alignment vertical="center"/>
    </xf>
    <xf numFmtId="0" fontId="142" fillId="0" borderId="0" xfId="1557" applyFont="1">
      <alignment vertical="center"/>
    </xf>
    <xf numFmtId="0" fontId="1" fillId="0" borderId="0" xfId="1557" applyAlignment="1"/>
    <xf numFmtId="0" fontId="1" fillId="0" borderId="0" xfId="1557">
      <alignment vertical="center"/>
    </xf>
    <xf numFmtId="0" fontId="155" fillId="0" borderId="14" xfId="1557" applyFont="1" applyBorder="1" applyAlignment="1">
      <alignment horizontal="center"/>
    </xf>
    <xf numFmtId="0" fontId="155" fillId="0" borderId="74" xfId="1557" applyFont="1" applyBorder="1" applyAlignment="1">
      <alignment horizontal="center"/>
    </xf>
    <xf numFmtId="0" fontId="154" fillId="0" borderId="24" xfId="1558" applyFont="1" applyBorder="1" applyAlignment="1">
      <alignment horizontal="center"/>
    </xf>
    <xf numFmtId="0" fontId="154" fillId="0" borderId="76" xfId="1558" applyFont="1" applyBorder="1" applyAlignment="1">
      <alignment horizontal="center" wrapText="1"/>
    </xf>
    <xf numFmtId="0" fontId="156" fillId="0" borderId="76" xfId="1558" applyFont="1" applyBorder="1" applyAlignment="1">
      <alignment horizontal="center"/>
    </xf>
    <xf numFmtId="0" fontId="157" fillId="0" borderId="76" xfId="1557" applyFont="1" applyBorder="1" applyAlignment="1">
      <alignment horizontal="center"/>
    </xf>
    <xf numFmtId="219" fontId="158" fillId="0" borderId="76" xfId="1558" applyNumberFormat="1" applyFont="1" applyBorder="1" applyAlignment="1">
      <alignment horizontal="center"/>
    </xf>
    <xf numFmtId="0" fontId="152" fillId="0" borderId="76" xfId="1557" applyFont="1" applyBorder="1">
      <alignment vertical="center"/>
    </xf>
    <xf numFmtId="14" fontId="158" fillId="0" borderId="76" xfId="1558" applyNumberFormat="1" applyFont="1" applyBorder="1" applyAlignment="1">
      <alignment horizontal="center"/>
    </xf>
    <xf numFmtId="0" fontId="157" fillId="0" borderId="0" xfId="1557" applyFont="1" applyAlignment="1">
      <alignment horizontal="center"/>
    </xf>
    <xf numFmtId="14" fontId="157" fillId="0" borderId="76" xfId="1557" applyNumberFormat="1" applyFont="1" applyBorder="1" applyAlignment="1">
      <alignment horizontal="center"/>
    </xf>
    <xf numFmtId="0" fontId="159" fillId="0" borderId="0" xfId="1557" applyFont="1" applyAlignment="1"/>
    <xf numFmtId="206" fontId="160" fillId="0" borderId="0" xfId="1559" applyFont="1" applyFill="1" applyAlignment="1"/>
    <xf numFmtId="0" fontId="145" fillId="0" borderId="0" xfId="1557" applyFont="1">
      <alignment vertical="center"/>
    </xf>
    <xf numFmtId="0" fontId="161" fillId="0" borderId="0" xfId="1557" applyFont="1">
      <alignment vertical="center"/>
    </xf>
    <xf numFmtId="0" fontId="162" fillId="0" borderId="0" xfId="1557" applyFont="1" applyAlignment="1"/>
    <xf numFmtId="0" fontId="1" fillId="0" borderId="6" xfId="1557" applyBorder="1" applyAlignment="1"/>
    <xf numFmtId="0" fontId="155" fillId="0" borderId="77" xfId="1557" applyFont="1" applyBorder="1" applyAlignment="1">
      <alignment horizontal="center"/>
    </xf>
    <xf numFmtId="0" fontId="155" fillId="0" borderId="7" xfId="1557" applyFont="1" applyBorder="1" applyAlignment="1">
      <alignment horizontal="center"/>
    </xf>
    <xf numFmtId="0" fontId="154" fillId="0" borderId="76" xfId="1558" applyFont="1" applyBorder="1" applyAlignment="1">
      <alignment horizontal="center"/>
    </xf>
    <xf numFmtId="0" fontId="163" fillId="0" borderId="76" xfId="1557" applyFont="1" applyBorder="1" applyAlignment="1">
      <alignment horizontal="center"/>
    </xf>
    <xf numFmtId="219" fontId="164" fillId="0" borderId="76" xfId="1558" applyNumberFormat="1" applyFont="1" applyBorder="1" applyAlignment="1">
      <alignment horizontal="center"/>
    </xf>
    <xf numFmtId="14" fontId="164" fillId="0" borderId="76" xfId="1558" applyNumberFormat="1" applyFont="1" applyBorder="1" applyAlignment="1">
      <alignment horizontal="center"/>
    </xf>
    <xf numFmtId="0" fontId="126" fillId="0" borderId="0" xfId="1557" applyFont="1">
      <alignment vertical="center"/>
    </xf>
    <xf numFmtId="0" fontId="163" fillId="0" borderId="0" xfId="1557" applyFont="1" applyAlignment="1">
      <alignment horizontal="center"/>
    </xf>
    <xf numFmtId="14" fontId="163" fillId="0" borderId="76" xfId="1557" applyNumberFormat="1" applyFont="1" applyBorder="1" applyAlignment="1">
      <alignment horizontal="center"/>
    </xf>
    <xf numFmtId="0" fontId="126" fillId="0" borderId="76" xfId="1557" applyFont="1" applyBorder="1">
      <alignment vertical="center"/>
    </xf>
    <xf numFmtId="0" fontId="156" fillId="0" borderId="0" xfId="1558" applyFont="1" applyAlignment="1">
      <alignment horizontal="center"/>
    </xf>
    <xf numFmtId="14" fontId="157" fillId="0" borderId="0" xfId="1557" applyNumberFormat="1" applyFont="1" applyAlignment="1">
      <alignment horizontal="center"/>
    </xf>
    <xf numFmtId="219" fontId="1" fillId="0" borderId="0" xfId="1557" applyNumberFormat="1">
      <alignment vertical="center"/>
    </xf>
    <xf numFmtId="176" fontId="1" fillId="0" borderId="0" xfId="1557" applyNumberFormat="1">
      <alignment vertical="center"/>
    </xf>
    <xf numFmtId="0" fontId="12" fillId="0" borderId="0" xfId="1209" applyFont="1" applyAlignment="1">
      <alignment horizontal="left"/>
    </xf>
    <xf numFmtId="0" fontId="20" fillId="0" borderId="0" xfId="1209" applyFont="1" applyAlignment="1">
      <alignment horizontal="center"/>
    </xf>
    <xf numFmtId="0" fontId="12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0" borderId="27" xfId="0" applyFont="1" applyBorder="1" applyAlignment="1">
      <alignment horizontal="left" wrapText="1"/>
    </xf>
    <xf numFmtId="0" fontId="14" fillId="0" borderId="9" xfId="0" applyFont="1" applyBorder="1" applyAlignment="1">
      <alignment horizontal="center"/>
    </xf>
    <xf numFmtId="0" fontId="14" fillId="0" borderId="46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2" fillId="0" borderId="28" xfId="0" applyFont="1" applyBorder="1" applyAlignment="1">
      <alignment horizontal="center"/>
    </xf>
    <xf numFmtId="0" fontId="12" fillId="0" borderId="39" xfId="0" applyFont="1" applyBorder="1" applyAlignment="1">
      <alignment horizontal="center"/>
    </xf>
    <xf numFmtId="0" fontId="39" fillId="0" borderId="33" xfId="0" applyFont="1" applyBorder="1" applyAlignment="1">
      <alignment horizontal="center"/>
    </xf>
    <xf numFmtId="0" fontId="39" fillId="0" borderId="34" xfId="0" applyFont="1" applyBorder="1" applyAlignment="1">
      <alignment horizontal="center"/>
    </xf>
    <xf numFmtId="0" fontId="39" fillId="0" borderId="35" xfId="0" applyFont="1" applyBorder="1" applyAlignment="1">
      <alignment horizontal="center"/>
    </xf>
    <xf numFmtId="0" fontId="12" fillId="0" borderId="36" xfId="0" applyFont="1" applyBorder="1" applyAlignment="1">
      <alignment horizontal="center"/>
    </xf>
    <xf numFmtId="0" fontId="12" fillId="0" borderId="60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47" xfId="0" applyFont="1" applyBorder="1" applyAlignment="1">
      <alignment horizontal="center"/>
    </xf>
    <xf numFmtId="0" fontId="12" fillId="0" borderId="41" xfId="0" applyFont="1" applyBorder="1" applyAlignment="1">
      <alignment horizontal="center" wrapText="1"/>
    </xf>
    <xf numFmtId="0" fontId="12" fillId="0" borderId="61" xfId="0" applyFont="1" applyBorder="1" applyAlignment="1">
      <alignment horizontal="center" wrapText="1"/>
    </xf>
    <xf numFmtId="0" fontId="12" fillId="0" borderId="41" xfId="0" applyFont="1" applyBorder="1" applyAlignment="1">
      <alignment horizontal="center"/>
    </xf>
    <xf numFmtId="0" fontId="12" fillId="0" borderId="61" xfId="0" applyFont="1" applyBorder="1" applyAlignment="1">
      <alignment horizontal="center"/>
    </xf>
    <xf numFmtId="0" fontId="39" fillId="0" borderId="13" xfId="0" applyFont="1" applyBorder="1" applyAlignment="1">
      <alignment horizontal="center"/>
    </xf>
    <xf numFmtId="0" fontId="39" fillId="0" borderId="14" xfId="0" applyFont="1" applyBorder="1" applyAlignment="1">
      <alignment horizontal="center"/>
    </xf>
    <xf numFmtId="0" fontId="39" fillId="0" borderId="9" xfId="0" applyFont="1" applyBorder="1" applyAlignment="1">
      <alignment horizontal="center"/>
    </xf>
    <xf numFmtId="0" fontId="39" fillId="0" borderId="46" xfId="0" applyFont="1" applyBorder="1" applyAlignment="1">
      <alignment horizontal="center"/>
    </xf>
    <xf numFmtId="0" fontId="39" fillId="0" borderId="13" xfId="0" applyFont="1" applyBorder="1" applyAlignment="1">
      <alignment horizontal="center" wrapText="1"/>
    </xf>
    <xf numFmtId="0" fontId="39" fillId="0" borderId="47" xfId="0" applyFont="1" applyBorder="1" applyAlignment="1">
      <alignment horizontal="center" wrapText="1"/>
    </xf>
    <xf numFmtId="0" fontId="39" fillId="0" borderId="48" xfId="0" applyFont="1" applyBorder="1" applyAlignment="1">
      <alignment horizontal="center"/>
    </xf>
    <xf numFmtId="0" fontId="12" fillId="0" borderId="46" xfId="0" applyFont="1" applyBorder="1" applyAlignment="1">
      <alignment horizontal="center"/>
    </xf>
    <xf numFmtId="0" fontId="12" fillId="0" borderId="54" xfId="0" applyFont="1" applyBorder="1" applyAlignment="1">
      <alignment horizontal="center"/>
    </xf>
    <xf numFmtId="0" fontId="12" fillId="0" borderId="52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150" fillId="56" borderId="69" xfId="1556" applyFont="1" applyFill="1" applyBorder="1" applyAlignment="1">
      <alignment horizontal="left" vertical="center"/>
    </xf>
    <xf numFmtId="0" fontId="150" fillId="56" borderId="64" xfId="1556" applyFont="1" applyFill="1" applyBorder="1" applyAlignment="1">
      <alignment horizontal="left" vertical="center"/>
    </xf>
    <xf numFmtId="0" fontId="150" fillId="56" borderId="72" xfId="1556" applyFont="1" applyFill="1" applyBorder="1" applyAlignment="1">
      <alignment horizontal="left" vertical="center"/>
    </xf>
    <xf numFmtId="0" fontId="150" fillId="56" borderId="73" xfId="1556" applyFont="1" applyFill="1" applyBorder="1" applyAlignment="1">
      <alignment horizontal="left" vertical="center"/>
    </xf>
    <xf numFmtId="0" fontId="150" fillId="56" borderId="71" xfId="1556" applyFont="1" applyFill="1" applyBorder="1" applyAlignment="1">
      <alignment horizontal="left" vertical="center"/>
    </xf>
    <xf numFmtId="0" fontId="142" fillId="0" borderId="0" xfId="1557" applyFont="1" applyAlignment="1">
      <alignment horizontal="center"/>
    </xf>
    <xf numFmtId="0" fontId="154" fillId="0" borderId="47" xfId="1558" applyFont="1" applyBorder="1" applyAlignment="1">
      <alignment horizontal="center"/>
    </xf>
    <xf numFmtId="0" fontId="154" fillId="0" borderId="24" xfId="1558" applyFont="1" applyBorder="1" applyAlignment="1">
      <alignment horizontal="center"/>
    </xf>
    <xf numFmtId="0" fontId="154" fillId="0" borderId="47" xfId="1558" applyFont="1" applyBorder="1" applyAlignment="1">
      <alignment horizontal="center" wrapText="1"/>
    </xf>
    <xf numFmtId="0" fontId="154" fillId="0" borderId="24" xfId="1558" applyFont="1" applyBorder="1" applyAlignment="1">
      <alignment horizontal="center" wrapText="1"/>
    </xf>
    <xf numFmtId="180" fontId="154" fillId="0" borderId="75" xfId="1558" applyNumberFormat="1" applyFont="1" applyBorder="1" applyAlignment="1">
      <alignment horizontal="center" wrapText="1"/>
    </xf>
    <xf numFmtId="180" fontId="154" fillId="0" borderId="24" xfId="1558" applyNumberFormat="1" applyFont="1" applyBorder="1" applyAlignment="1">
      <alignment horizontal="center" wrapText="1"/>
    </xf>
    <xf numFmtId="0" fontId="142" fillId="0" borderId="55" xfId="1557" applyFont="1" applyBorder="1" applyAlignment="1">
      <alignment horizontal="center"/>
    </xf>
    <xf numFmtId="0" fontId="142" fillId="0" borderId="59" xfId="1557" applyFont="1" applyBorder="1" applyAlignment="1">
      <alignment horizontal="center"/>
    </xf>
    <xf numFmtId="0" fontId="142" fillId="0" borderId="56" xfId="1557" applyFont="1" applyBorder="1" applyAlignment="1">
      <alignment horizontal="center"/>
    </xf>
    <xf numFmtId="0" fontId="154" fillId="0" borderId="1" xfId="1558" applyFont="1" applyBorder="1" applyAlignment="1">
      <alignment horizontal="center"/>
    </xf>
    <xf numFmtId="0" fontId="154" fillId="0" borderId="1" xfId="1558" applyFont="1" applyBorder="1" applyAlignment="1">
      <alignment horizontal="center" wrapText="1"/>
    </xf>
    <xf numFmtId="180" fontId="154" fillId="0" borderId="1" xfId="1558" applyNumberFormat="1" applyFont="1" applyBorder="1" applyAlignment="1">
      <alignment horizontal="center" wrapText="1"/>
    </xf>
  </cellXfs>
  <cellStyles count="1560">
    <cellStyle name="$MM" xfId="1" xr:uid="{00000000-0005-0000-0000-000000000000}"/>
    <cellStyle name="$MM 2" xfId="1215" xr:uid="{00000000-0005-0000-0000-000001000000}"/>
    <cellStyle name="0" xfId="2" xr:uid="{00000000-0005-0000-0000-000002000000}"/>
    <cellStyle name="0 2" xfId="1216" xr:uid="{00000000-0005-0000-0000-000003000000}"/>
    <cellStyle name="0.00" xfId="3" xr:uid="{00000000-0005-0000-0000-000004000000}"/>
    <cellStyle name="0.00 2" xfId="1217" xr:uid="{00000000-0005-0000-0000-000005000000}"/>
    <cellStyle name="0.000" xfId="4" xr:uid="{00000000-0005-0000-0000-000006000000}"/>
    <cellStyle name="0.000 2" xfId="1218" xr:uid="{00000000-0005-0000-0000-000007000000}"/>
    <cellStyle name="20% - Accent1 2" xfId="5" xr:uid="{00000000-0005-0000-0000-000008000000}"/>
    <cellStyle name="20% - Accent1 2 2" xfId="1219" xr:uid="{00000000-0005-0000-0000-000009000000}"/>
    <cellStyle name="20% - Accent2 2" xfId="6" xr:uid="{00000000-0005-0000-0000-00000A000000}"/>
    <cellStyle name="20% - Accent2 2 2" xfId="1220" xr:uid="{00000000-0005-0000-0000-00000B000000}"/>
    <cellStyle name="20% - Accent3 2" xfId="7" xr:uid="{00000000-0005-0000-0000-00000C000000}"/>
    <cellStyle name="20% - Accent3 2 2" xfId="1221" xr:uid="{00000000-0005-0000-0000-00000D000000}"/>
    <cellStyle name="20% - Accent4 2" xfId="8" xr:uid="{00000000-0005-0000-0000-00000E000000}"/>
    <cellStyle name="20% - Accent4 2 2" xfId="1222" xr:uid="{00000000-0005-0000-0000-00000F000000}"/>
    <cellStyle name="20% - Accent5 2" xfId="9" xr:uid="{00000000-0005-0000-0000-000010000000}"/>
    <cellStyle name="20% - Accent5 2 2" xfId="1223" xr:uid="{00000000-0005-0000-0000-000011000000}"/>
    <cellStyle name="20% - Accent6 2" xfId="10" xr:uid="{00000000-0005-0000-0000-000012000000}"/>
    <cellStyle name="20% - Accent6 2 2" xfId="1224" xr:uid="{00000000-0005-0000-0000-000013000000}"/>
    <cellStyle name="40% - Accent1 2" xfId="11" xr:uid="{00000000-0005-0000-0000-000014000000}"/>
    <cellStyle name="40% - Accent1 2 2" xfId="1225" xr:uid="{00000000-0005-0000-0000-000015000000}"/>
    <cellStyle name="40% - Accent2 2" xfId="12" xr:uid="{00000000-0005-0000-0000-000016000000}"/>
    <cellStyle name="40% - Accent2 2 2" xfId="1226" xr:uid="{00000000-0005-0000-0000-000017000000}"/>
    <cellStyle name="40% - Accent3 2" xfId="13" xr:uid="{00000000-0005-0000-0000-000018000000}"/>
    <cellStyle name="40% - Accent3 2 2" xfId="1227" xr:uid="{00000000-0005-0000-0000-000019000000}"/>
    <cellStyle name="40% - Accent4 2" xfId="14" xr:uid="{00000000-0005-0000-0000-00001A000000}"/>
    <cellStyle name="40% - Accent4 2 2" xfId="1228" xr:uid="{00000000-0005-0000-0000-00001B000000}"/>
    <cellStyle name="40% - Accent5 2" xfId="15" xr:uid="{00000000-0005-0000-0000-00001C000000}"/>
    <cellStyle name="40% - Accent5 2 2" xfId="1229" xr:uid="{00000000-0005-0000-0000-00001D000000}"/>
    <cellStyle name="40% - Accent6 2" xfId="16" xr:uid="{00000000-0005-0000-0000-00001E000000}"/>
    <cellStyle name="40% - Accent6 2 2" xfId="1230" xr:uid="{00000000-0005-0000-0000-00001F000000}"/>
    <cellStyle name="60% - Accent1 2" xfId="17" xr:uid="{00000000-0005-0000-0000-000020000000}"/>
    <cellStyle name="60% - Accent2 2" xfId="18" xr:uid="{00000000-0005-0000-0000-000021000000}"/>
    <cellStyle name="60% - Accent3 2" xfId="19" xr:uid="{00000000-0005-0000-0000-000022000000}"/>
    <cellStyle name="60% - Accent4 2" xfId="20" xr:uid="{00000000-0005-0000-0000-000023000000}"/>
    <cellStyle name="60% - Accent5 2" xfId="21" xr:uid="{00000000-0005-0000-0000-000024000000}"/>
    <cellStyle name="60% - Accent6 2" xfId="22" xr:uid="{00000000-0005-0000-0000-000025000000}"/>
    <cellStyle name="Accent1 - 20%" xfId="23" xr:uid="{00000000-0005-0000-0000-000026000000}"/>
    <cellStyle name="Accent1 - 20% 2" xfId="1231" xr:uid="{00000000-0005-0000-0000-000027000000}"/>
    <cellStyle name="Accent1 - 40%" xfId="24" xr:uid="{00000000-0005-0000-0000-000028000000}"/>
    <cellStyle name="Accent1 - 40% 2" xfId="1232" xr:uid="{00000000-0005-0000-0000-000029000000}"/>
    <cellStyle name="Accent1 - 60%" xfId="25" xr:uid="{00000000-0005-0000-0000-00002A000000}"/>
    <cellStyle name="Accent1 2" xfId="26" xr:uid="{00000000-0005-0000-0000-00002B000000}"/>
    <cellStyle name="Accent2 - 20%" xfId="27" xr:uid="{00000000-0005-0000-0000-00002C000000}"/>
    <cellStyle name="Accent2 - 20% 2" xfId="1233" xr:uid="{00000000-0005-0000-0000-00002D000000}"/>
    <cellStyle name="Accent2 - 40%" xfId="28" xr:uid="{00000000-0005-0000-0000-00002E000000}"/>
    <cellStyle name="Accent2 - 40% 2" xfId="1234" xr:uid="{00000000-0005-0000-0000-00002F000000}"/>
    <cellStyle name="Accent2 - 60%" xfId="29" xr:uid="{00000000-0005-0000-0000-000030000000}"/>
    <cellStyle name="Accent2 2" xfId="30" xr:uid="{00000000-0005-0000-0000-000031000000}"/>
    <cellStyle name="Accent3 - 20%" xfId="31" xr:uid="{00000000-0005-0000-0000-000032000000}"/>
    <cellStyle name="Accent3 - 20% 2" xfId="1235" xr:uid="{00000000-0005-0000-0000-000033000000}"/>
    <cellStyle name="Accent3 - 40%" xfId="32" xr:uid="{00000000-0005-0000-0000-000034000000}"/>
    <cellStyle name="Accent3 - 40% 2" xfId="1236" xr:uid="{00000000-0005-0000-0000-000035000000}"/>
    <cellStyle name="Accent3 - 60%" xfId="33" xr:uid="{00000000-0005-0000-0000-000036000000}"/>
    <cellStyle name="Accent3 2" xfId="34" xr:uid="{00000000-0005-0000-0000-000037000000}"/>
    <cellStyle name="Accent4 - 20%" xfId="35" xr:uid="{00000000-0005-0000-0000-000038000000}"/>
    <cellStyle name="Accent4 - 20% 2" xfId="1237" xr:uid="{00000000-0005-0000-0000-000039000000}"/>
    <cellStyle name="Accent4 - 40%" xfId="36" xr:uid="{00000000-0005-0000-0000-00003A000000}"/>
    <cellStyle name="Accent4 - 40% 2" xfId="1238" xr:uid="{00000000-0005-0000-0000-00003B000000}"/>
    <cellStyle name="Accent4 - 60%" xfId="37" xr:uid="{00000000-0005-0000-0000-00003C000000}"/>
    <cellStyle name="Accent4 2" xfId="38" xr:uid="{00000000-0005-0000-0000-00003D000000}"/>
    <cellStyle name="Accent5 - 20%" xfId="39" xr:uid="{00000000-0005-0000-0000-00003E000000}"/>
    <cellStyle name="Accent5 - 20% 2" xfId="1239" xr:uid="{00000000-0005-0000-0000-00003F000000}"/>
    <cellStyle name="Accent5 - 40%" xfId="40" xr:uid="{00000000-0005-0000-0000-000040000000}"/>
    <cellStyle name="Accent5 - 40% 2" xfId="1240" xr:uid="{00000000-0005-0000-0000-000041000000}"/>
    <cellStyle name="Accent5 - 60%" xfId="41" xr:uid="{00000000-0005-0000-0000-000042000000}"/>
    <cellStyle name="Accent5 2" xfId="42" xr:uid="{00000000-0005-0000-0000-000043000000}"/>
    <cellStyle name="Accent6 - 20%" xfId="43" xr:uid="{00000000-0005-0000-0000-000044000000}"/>
    <cellStyle name="Accent6 - 20% 2" xfId="1241" xr:uid="{00000000-0005-0000-0000-000045000000}"/>
    <cellStyle name="Accent6 - 40%" xfId="44" xr:uid="{00000000-0005-0000-0000-000046000000}"/>
    <cellStyle name="Accent6 - 40% 2" xfId="1242" xr:uid="{00000000-0005-0000-0000-000047000000}"/>
    <cellStyle name="Accent6 - 60%" xfId="45" xr:uid="{00000000-0005-0000-0000-000048000000}"/>
    <cellStyle name="Accent6 2" xfId="46" xr:uid="{00000000-0005-0000-0000-000049000000}"/>
    <cellStyle name="args.style" xfId="47" xr:uid="{00000000-0005-0000-0000-00004A000000}"/>
    <cellStyle name="Background" xfId="48" xr:uid="{00000000-0005-0000-0000-00004B000000}"/>
    <cellStyle name="Background 2" xfId="1243" xr:uid="{00000000-0005-0000-0000-00004C000000}"/>
    <cellStyle name="Bad 2" xfId="49" xr:uid="{00000000-0005-0000-0000-00004D000000}"/>
    <cellStyle name="Blue" xfId="50" xr:uid="{00000000-0005-0000-0000-00004E000000}"/>
    <cellStyle name="BlueH" xfId="51" xr:uid="{00000000-0005-0000-0000-00004F000000}"/>
    <cellStyle name="Border" xfId="52" xr:uid="{00000000-0005-0000-0000-000050000000}"/>
    <cellStyle name="Calculation 2" xfId="53" xr:uid="{00000000-0005-0000-0000-000051000000}"/>
    <cellStyle name="Check Cell 2" xfId="54" xr:uid="{00000000-0005-0000-0000-000052000000}"/>
    <cellStyle name="CheckBox" xfId="55" xr:uid="{00000000-0005-0000-0000-000053000000}"/>
    <cellStyle name="Comma" xfId="56" builtinId="3"/>
    <cellStyle name="Comma 10" xfId="57" xr:uid="{00000000-0005-0000-0000-000055000000}"/>
    <cellStyle name="Comma 10 2" xfId="58" xr:uid="{00000000-0005-0000-0000-000056000000}"/>
    <cellStyle name="Comma 10 2 2" xfId="59" xr:uid="{00000000-0005-0000-0000-000057000000}"/>
    <cellStyle name="Comma 10 2 2 2" xfId="60" xr:uid="{00000000-0005-0000-0000-000058000000}"/>
    <cellStyle name="Comma 10 2 3" xfId="1244" xr:uid="{00000000-0005-0000-0000-000059000000}"/>
    <cellStyle name="Comma 10 3" xfId="61" xr:uid="{00000000-0005-0000-0000-00005A000000}"/>
    <cellStyle name="Comma 10 3 2" xfId="1245" xr:uid="{00000000-0005-0000-0000-00005B000000}"/>
    <cellStyle name="Comma 10 4" xfId="62" xr:uid="{00000000-0005-0000-0000-00005C000000}"/>
    <cellStyle name="Comma 10 4 2" xfId="63" xr:uid="{00000000-0005-0000-0000-00005D000000}"/>
    <cellStyle name="Comma 10 5" xfId="64" xr:uid="{00000000-0005-0000-0000-00005E000000}"/>
    <cellStyle name="Comma 10 6" xfId="65" xr:uid="{00000000-0005-0000-0000-00005F000000}"/>
    <cellStyle name="Comma 10 6 2" xfId="1246" xr:uid="{00000000-0005-0000-0000-000060000000}"/>
    <cellStyle name="Comma 10 7" xfId="1213" xr:uid="{00000000-0005-0000-0000-000061000000}"/>
    <cellStyle name="Comma 11" xfId="66" xr:uid="{00000000-0005-0000-0000-000062000000}"/>
    <cellStyle name="Comma 11 2" xfId="67" xr:uid="{00000000-0005-0000-0000-000063000000}"/>
    <cellStyle name="Comma 11 2 2" xfId="68" xr:uid="{00000000-0005-0000-0000-000064000000}"/>
    <cellStyle name="Comma 11 2 2 2" xfId="1247" xr:uid="{00000000-0005-0000-0000-000065000000}"/>
    <cellStyle name="Comma 11 2 3" xfId="1248" xr:uid="{00000000-0005-0000-0000-000066000000}"/>
    <cellStyle name="Comma 11 3" xfId="69" xr:uid="{00000000-0005-0000-0000-000067000000}"/>
    <cellStyle name="Comma 11 3 2" xfId="1249" xr:uid="{00000000-0005-0000-0000-000068000000}"/>
    <cellStyle name="Comma 11 4" xfId="70" xr:uid="{00000000-0005-0000-0000-000069000000}"/>
    <cellStyle name="Comma 11 4 2" xfId="1250" xr:uid="{00000000-0005-0000-0000-00006A000000}"/>
    <cellStyle name="Comma 11 5" xfId="71" xr:uid="{00000000-0005-0000-0000-00006B000000}"/>
    <cellStyle name="Comma 11 6" xfId="72" xr:uid="{00000000-0005-0000-0000-00006C000000}"/>
    <cellStyle name="Comma 12" xfId="73" xr:uid="{00000000-0005-0000-0000-00006D000000}"/>
    <cellStyle name="Comma 12 2" xfId="74" xr:uid="{00000000-0005-0000-0000-00006E000000}"/>
    <cellStyle name="Comma 13" xfId="75" xr:uid="{00000000-0005-0000-0000-00006F000000}"/>
    <cellStyle name="Comma 13 2" xfId="76" xr:uid="{00000000-0005-0000-0000-000070000000}"/>
    <cellStyle name="Comma 13 2 2" xfId="1251" xr:uid="{00000000-0005-0000-0000-000071000000}"/>
    <cellStyle name="Comma 13 3" xfId="77" xr:uid="{00000000-0005-0000-0000-000072000000}"/>
    <cellStyle name="Comma 13 3 2" xfId="1252" xr:uid="{00000000-0005-0000-0000-000073000000}"/>
    <cellStyle name="Comma 14" xfId="78" xr:uid="{00000000-0005-0000-0000-000074000000}"/>
    <cellStyle name="Comma 15" xfId="79" xr:uid="{00000000-0005-0000-0000-000075000000}"/>
    <cellStyle name="Comma 16" xfId="80" xr:uid="{00000000-0005-0000-0000-000076000000}"/>
    <cellStyle name="Comma 17" xfId="81" xr:uid="{00000000-0005-0000-0000-000077000000}"/>
    <cellStyle name="Comma 17 2" xfId="82" xr:uid="{00000000-0005-0000-0000-000078000000}"/>
    <cellStyle name="Comma 18" xfId="83" xr:uid="{00000000-0005-0000-0000-000079000000}"/>
    <cellStyle name="Comma 19" xfId="84" xr:uid="{00000000-0005-0000-0000-00007A000000}"/>
    <cellStyle name="Comma 19 2" xfId="85" xr:uid="{00000000-0005-0000-0000-00007B000000}"/>
    <cellStyle name="Comma 2" xfId="86" xr:uid="{00000000-0005-0000-0000-00007C000000}"/>
    <cellStyle name="Comma 2 10" xfId="87" xr:uid="{00000000-0005-0000-0000-00007D000000}"/>
    <cellStyle name="Comma 2 10 2" xfId="88" xr:uid="{00000000-0005-0000-0000-00007E000000}"/>
    <cellStyle name="Comma 2 10 2 2" xfId="89" xr:uid="{00000000-0005-0000-0000-00007F000000}"/>
    <cellStyle name="Comma 2 10 2 2 2" xfId="1253" xr:uid="{00000000-0005-0000-0000-000080000000}"/>
    <cellStyle name="Comma 2 10 3" xfId="90" xr:uid="{00000000-0005-0000-0000-000081000000}"/>
    <cellStyle name="Comma 2 10 3 2" xfId="1254" xr:uid="{00000000-0005-0000-0000-000082000000}"/>
    <cellStyle name="Comma 2 10 4" xfId="91" xr:uid="{00000000-0005-0000-0000-000083000000}"/>
    <cellStyle name="Comma 2 10 4 2" xfId="1255" xr:uid="{00000000-0005-0000-0000-000084000000}"/>
    <cellStyle name="Comma 2 10 5" xfId="1256" xr:uid="{00000000-0005-0000-0000-000085000000}"/>
    <cellStyle name="Comma 2 11" xfId="92" xr:uid="{00000000-0005-0000-0000-000086000000}"/>
    <cellStyle name="Comma 2 11 2" xfId="93" xr:uid="{00000000-0005-0000-0000-000087000000}"/>
    <cellStyle name="Comma 2 11 3" xfId="94" xr:uid="{00000000-0005-0000-0000-000088000000}"/>
    <cellStyle name="Comma 2 11 3 2" xfId="1257" xr:uid="{00000000-0005-0000-0000-000089000000}"/>
    <cellStyle name="Comma 2 12" xfId="95" xr:uid="{00000000-0005-0000-0000-00008A000000}"/>
    <cellStyle name="Comma 2 12 2" xfId="96" xr:uid="{00000000-0005-0000-0000-00008B000000}"/>
    <cellStyle name="Comma 2 12 3" xfId="1258" xr:uid="{00000000-0005-0000-0000-00008C000000}"/>
    <cellStyle name="Comma 2 13" xfId="97" xr:uid="{00000000-0005-0000-0000-00008D000000}"/>
    <cellStyle name="Comma 2 13 2" xfId="98" xr:uid="{00000000-0005-0000-0000-00008E000000}"/>
    <cellStyle name="Comma 2 13 2 2" xfId="1259" xr:uid="{00000000-0005-0000-0000-00008F000000}"/>
    <cellStyle name="Comma 2 13 3" xfId="1260" xr:uid="{00000000-0005-0000-0000-000090000000}"/>
    <cellStyle name="Comma 2 14" xfId="99" xr:uid="{00000000-0005-0000-0000-000091000000}"/>
    <cellStyle name="Comma 2 14 2" xfId="100" xr:uid="{00000000-0005-0000-0000-000092000000}"/>
    <cellStyle name="Comma 2 15" xfId="101" xr:uid="{00000000-0005-0000-0000-000093000000}"/>
    <cellStyle name="Comma 2 15 2" xfId="102" xr:uid="{00000000-0005-0000-0000-000094000000}"/>
    <cellStyle name="Comma 2 15 3" xfId="1261" xr:uid="{00000000-0005-0000-0000-000095000000}"/>
    <cellStyle name="Comma 2 16" xfId="103" xr:uid="{00000000-0005-0000-0000-000096000000}"/>
    <cellStyle name="Comma 2 16 2" xfId="104" xr:uid="{00000000-0005-0000-0000-000097000000}"/>
    <cellStyle name="Comma 2 16 3" xfId="1262" xr:uid="{00000000-0005-0000-0000-000098000000}"/>
    <cellStyle name="Comma 2 17" xfId="105" xr:uid="{00000000-0005-0000-0000-000099000000}"/>
    <cellStyle name="Comma 2 17 2" xfId="106" xr:uid="{00000000-0005-0000-0000-00009A000000}"/>
    <cellStyle name="Comma 2 17 3" xfId="1263" xr:uid="{00000000-0005-0000-0000-00009B000000}"/>
    <cellStyle name="Comma 2 18" xfId="107" xr:uid="{00000000-0005-0000-0000-00009C000000}"/>
    <cellStyle name="Comma 2 18 2" xfId="108" xr:uid="{00000000-0005-0000-0000-00009D000000}"/>
    <cellStyle name="Comma 2 18 3" xfId="1264" xr:uid="{00000000-0005-0000-0000-00009E000000}"/>
    <cellStyle name="Comma 2 19" xfId="109" xr:uid="{00000000-0005-0000-0000-00009F000000}"/>
    <cellStyle name="Comma 2 19 2" xfId="110" xr:uid="{00000000-0005-0000-0000-0000A0000000}"/>
    <cellStyle name="Comma 2 19 3" xfId="1265" xr:uid="{00000000-0005-0000-0000-0000A1000000}"/>
    <cellStyle name="Comma 2 2" xfId="111" xr:uid="{00000000-0005-0000-0000-0000A2000000}"/>
    <cellStyle name="Comma 2 2 10" xfId="112" xr:uid="{00000000-0005-0000-0000-0000A3000000}"/>
    <cellStyle name="Comma 2 2 10 2" xfId="1266" xr:uid="{00000000-0005-0000-0000-0000A4000000}"/>
    <cellStyle name="Comma 2 2 11" xfId="113" xr:uid="{00000000-0005-0000-0000-0000A5000000}"/>
    <cellStyle name="Comma 2 2 11 2" xfId="1267" xr:uid="{00000000-0005-0000-0000-0000A6000000}"/>
    <cellStyle name="Comma 2 2 12" xfId="114" xr:uid="{00000000-0005-0000-0000-0000A7000000}"/>
    <cellStyle name="Comma 2 2 12 2" xfId="1268" xr:uid="{00000000-0005-0000-0000-0000A8000000}"/>
    <cellStyle name="Comma 2 2 13" xfId="115" xr:uid="{00000000-0005-0000-0000-0000A9000000}"/>
    <cellStyle name="Comma 2 2 14" xfId="1212" xr:uid="{00000000-0005-0000-0000-0000AA000000}"/>
    <cellStyle name="Comma 2 2 2" xfId="116" xr:uid="{00000000-0005-0000-0000-0000AB000000}"/>
    <cellStyle name="Comma 2 2 2 2" xfId="117" xr:uid="{00000000-0005-0000-0000-0000AC000000}"/>
    <cellStyle name="Comma 2 2 2 2 2" xfId="1269" xr:uid="{00000000-0005-0000-0000-0000AD000000}"/>
    <cellStyle name="Comma 2 2 2 3" xfId="118" xr:uid="{00000000-0005-0000-0000-0000AE000000}"/>
    <cellStyle name="Comma 2 2 2 4" xfId="119" xr:uid="{00000000-0005-0000-0000-0000AF000000}"/>
    <cellStyle name="Comma 2 2 2 4 2" xfId="1270" xr:uid="{00000000-0005-0000-0000-0000B0000000}"/>
    <cellStyle name="Comma 2 2 2 5" xfId="120" xr:uid="{00000000-0005-0000-0000-0000B1000000}"/>
    <cellStyle name="Comma 2 2 2 5 2" xfId="1271" xr:uid="{00000000-0005-0000-0000-0000B2000000}"/>
    <cellStyle name="Comma 2 2 2 6" xfId="1272" xr:uid="{00000000-0005-0000-0000-0000B3000000}"/>
    <cellStyle name="Comma 2 2 3" xfId="121" xr:uid="{00000000-0005-0000-0000-0000B4000000}"/>
    <cellStyle name="Comma 2 2 3 2" xfId="1273" xr:uid="{00000000-0005-0000-0000-0000B5000000}"/>
    <cellStyle name="Comma 2 2 4" xfId="122" xr:uid="{00000000-0005-0000-0000-0000B6000000}"/>
    <cellStyle name="Comma 2 2 4 2" xfId="1274" xr:uid="{00000000-0005-0000-0000-0000B7000000}"/>
    <cellStyle name="Comma 2 2 5" xfId="123" xr:uid="{00000000-0005-0000-0000-0000B8000000}"/>
    <cellStyle name="Comma 2 2 5 2" xfId="1275" xr:uid="{00000000-0005-0000-0000-0000B9000000}"/>
    <cellStyle name="Comma 2 2 6" xfId="124" xr:uid="{00000000-0005-0000-0000-0000BA000000}"/>
    <cellStyle name="Comma 2 2 6 2" xfId="1276" xr:uid="{00000000-0005-0000-0000-0000BB000000}"/>
    <cellStyle name="Comma 2 2 7" xfId="125" xr:uid="{00000000-0005-0000-0000-0000BC000000}"/>
    <cellStyle name="Comma 2 2 7 2" xfId="1277" xr:uid="{00000000-0005-0000-0000-0000BD000000}"/>
    <cellStyle name="Comma 2 2 8" xfId="126" xr:uid="{00000000-0005-0000-0000-0000BE000000}"/>
    <cellStyle name="Comma 2 2 8 2" xfId="1278" xr:uid="{00000000-0005-0000-0000-0000BF000000}"/>
    <cellStyle name="Comma 2 2 9" xfId="127" xr:uid="{00000000-0005-0000-0000-0000C0000000}"/>
    <cellStyle name="Comma 2 2 9 2" xfId="1279" xr:uid="{00000000-0005-0000-0000-0000C1000000}"/>
    <cellStyle name="Comma 2 20" xfId="128" xr:uid="{00000000-0005-0000-0000-0000C2000000}"/>
    <cellStyle name="Comma 2 20 2" xfId="129" xr:uid="{00000000-0005-0000-0000-0000C3000000}"/>
    <cellStyle name="Comma 2 20 3" xfId="1280" xr:uid="{00000000-0005-0000-0000-0000C4000000}"/>
    <cellStyle name="Comma 2 21" xfId="130" xr:uid="{00000000-0005-0000-0000-0000C5000000}"/>
    <cellStyle name="Comma 2 21 2" xfId="131" xr:uid="{00000000-0005-0000-0000-0000C6000000}"/>
    <cellStyle name="Comma 2 21 3" xfId="1281" xr:uid="{00000000-0005-0000-0000-0000C7000000}"/>
    <cellStyle name="Comma 2 22" xfId="132" xr:uid="{00000000-0005-0000-0000-0000C8000000}"/>
    <cellStyle name="Comma 2 22 2" xfId="133" xr:uid="{00000000-0005-0000-0000-0000C9000000}"/>
    <cellStyle name="Comma 2 22 3" xfId="1282" xr:uid="{00000000-0005-0000-0000-0000CA000000}"/>
    <cellStyle name="Comma 2 23" xfId="134" xr:uid="{00000000-0005-0000-0000-0000CB000000}"/>
    <cellStyle name="Comma 2 23 2" xfId="135" xr:uid="{00000000-0005-0000-0000-0000CC000000}"/>
    <cellStyle name="Comma 2 23 3" xfId="1283" xr:uid="{00000000-0005-0000-0000-0000CD000000}"/>
    <cellStyle name="Comma 2 24" xfId="136" xr:uid="{00000000-0005-0000-0000-0000CE000000}"/>
    <cellStyle name="Comma 2 24 2" xfId="137" xr:uid="{00000000-0005-0000-0000-0000CF000000}"/>
    <cellStyle name="Comma 2 24 3" xfId="1284" xr:uid="{00000000-0005-0000-0000-0000D0000000}"/>
    <cellStyle name="Comma 2 25" xfId="138" xr:uid="{00000000-0005-0000-0000-0000D1000000}"/>
    <cellStyle name="Comma 2 25 2" xfId="139" xr:uid="{00000000-0005-0000-0000-0000D2000000}"/>
    <cellStyle name="Comma 2 25 3" xfId="1285" xr:uid="{00000000-0005-0000-0000-0000D3000000}"/>
    <cellStyle name="Comma 2 26" xfId="140" xr:uid="{00000000-0005-0000-0000-0000D4000000}"/>
    <cellStyle name="Comma 2 26 2" xfId="141" xr:uid="{00000000-0005-0000-0000-0000D5000000}"/>
    <cellStyle name="Comma 2 26 3" xfId="1286" xr:uid="{00000000-0005-0000-0000-0000D6000000}"/>
    <cellStyle name="Comma 2 27" xfId="142" xr:uid="{00000000-0005-0000-0000-0000D7000000}"/>
    <cellStyle name="Comma 2 27 2" xfId="143" xr:uid="{00000000-0005-0000-0000-0000D8000000}"/>
    <cellStyle name="Comma 2 27 3" xfId="1287" xr:uid="{00000000-0005-0000-0000-0000D9000000}"/>
    <cellStyle name="Comma 2 28" xfId="144" xr:uid="{00000000-0005-0000-0000-0000DA000000}"/>
    <cellStyle name="Comma 2 28 2" xfId="145" xr:uid="{00000000-0005-0000-0000-0000DB000000}"/>
    <cellStyle name="Comma 2 28 3" xfId="1288" xr:uid="{00000000-0005-0000-0000-0000DC000000}"/>
    <cellStyle name="Comma 2 29" xfId="146" xr:uid="{00000000-0005-0000-0000-0000DD000000}"/>
    <cellStyle name="Comma 2 29 2" xfId="147" xr:uid="{00000000-0005-0000-0000-0000DE000000}"/>
    <cellStyle name="Comma 2 29 3" xfId="1289" xr:uid="{00000000-0005-0000-0000-0000DF000000}"/>
    <cellStyle name="Comma 2 3" xfId="148" xr:uid="{00000000-0005-0000-0000-0000E0000000}"/>
    <cellStyle name="Comma 2 3 11" xfId="149" xr:uid="{00000000-0005-0000-0000-0000E1000000}"/>
    <cellStyle name="Comma 2 3 11 2" xfId="1290" xr:uid="{00000000-0005-0000-0000-0000E2000000}"/>
    <cellStyle name="Comma 2 3 2" xfId="150" xr:uid="{00000000-0005-0000-0000-0000E3000000}"/>
    <cellStyle name="Comma 2 3 2 2" xfId="151" xr:uid="{00000000-0005-0000-0000-0000E4000000}"/>
    <cellStyle name="Comma 2 3 3" xfId="152" xr:uid="{00000000-0005-0000-0000-0000E5000000}"/>
    <cellStyle name="Comma 2 3 3 2" xfId="1291" xr:uid="{00000000-0005-0000-0000-0000E6000000}"/>
    <cellStyle name="Comma 2 3 4" xfId="1292" xr:uid="{00000000-0005-0000-0000-0000E7000000}"/>
    <cellStyle name="Comma 2 3 9" xfId="153" xr:uid="{00000000-0005-0000-0000-0000E8000000}"/>
    <cellStyle name="Comma 2 3 9 2" xfId="1293" xr:uid="{00000000-0005-0000-0000-0000E9000000}"/>
    <cellStyle name="Comma 2 30" xfId="154" xr:uid="{00000000-0005-0000-0000-0000EA000000}"/>
    <cellStyle name="Comma 2 30 2" xfId="155" xr:uid="{00000000-0005-0000-0000-0000EB000000}"/>
    <cellStyle name="Comma 2 30 3" xfId="1294" xr:uid="{00000000-0005-0000-0000-0000EC000000}"/>
    <cellStyle name="Comma 2 31" xfId="156" xr:uid="{00000000-0005-0000-0000-0000ED000000}"/>
    <cellStyle name="Comma 2 31 2" xfId="157" xr:uid="{00000000-0005-0000-0000-0000EE000000}"/>
    <cellStyle name="Comma 2 31 3" xfId="1295" xr:uid="{00000000-0005-0000-0000-0000EF000000}"/>
    <cellStyle name="Comma 2 32" xfId="158" xr:uid="{00000000-0005-0000-0000-0000F0000000}"/>
    <cellStyle name="Comma 2 32 2" xfId="159" xr:uid="{00000000-0005-0000-0000-0000F1000000}"/>
    <cellStyle name="Comma 2 32 3" xfId="1296" xr:uid="{00000000-0005-0000-0000-0000F2000000}"/>
    <cellStyle name="Comma 2 33" xfId="160" xr:uid="{00000000-0005-0000-0000-0000F3000000}"/>
    <cellStyle name="Comma 2 33 2" xfId="161" xr:uid="{00000000-0005-0000-0000-0000F4000000}"/>
    <cellStyle name="Comma 2 33 3" xfId="1297" xr:uid="{00000000-0005-0000-0000-0000F5000000}"/>
    <cellStyle name="Comma 2 34" xfId="162" xr:uid="{00000000-0005-0000-0000-0000F6000000}"/>
    <cellStyle name="Comma 2 34 2" xfId="163" xr:uid="{00000000-0005-0000-0000-0000F7000000}"/>
    <cellStyle name="Comma 2 34 3" xfId="1298" xr:uid="{00000000-0005-0000-0000-0000F8000000}"/>
    <cellStyle name="Comma 2 35" xfId="164" xr:uid="{00000000-0005-0000-0000-0000F9000000}"/>
    <cellStyle name="Comma 2 35 2" xfId="165" xr:uid="{00000000-0005-0000-0000-0000FA000000}"/>
    <cellStyle name="Comma 2 35 3" xfId="1299" xr:uid="{00000000-0005-0000-0000-0000FB000000}"/>
    <cellStyle name="Comma 2 36" xfId="166" xr:uid="{00000000-0005-0000-0000-0000FC000000}"/>
    <cellStyle name="Comma 2 37" xfId="167" xr:uid="{00000000-0005-0000-0000-0000FD000000}"/>
    <cellStyle name="Comma 2 37 2" xfId="1300" xr:uid="{00000000-0005-0000-0000-0000FE000000}"/>
    <cellStyle name="Comma 2 38" xfId="168" xr:uid="{00000000-0005-0000-0000-0000FF000000}"/>
    <cellStyle name="Comma 2 39" xfId="169" xr:uid="{00000000-0005-0000-0000-000000010000}"/>
    <cellStyle name="Comma 2 4" xfId="170" xr:uid="{00000000-0005-0000-0000-000001010000}"/>
    <cellStyle name="Comma 2 4 2" xfId="171" xr:uid="{00000000-0005-0000-0000-000002010000}"/>
    <cellStyle name="Comma 2 4 2 2" xfId="1301" xr:uid="{00000000-0005-0000-0000-000003010000}"/>
    <cellStyle name="Comma 2 40" xfId="172" xr:uid="{00000000-0005-0000-0000-000004010000}"/>
    <cellStyle name="Comma 2 40 2" xfId="1302" xr:uid="{00000000-0005-0000-0000-000005010000}"/>
    <cellStyle name="Comma 2 41" xfId="173" xr:uid="{00000000-0005-0000-0000-000006010000}"/>
    <cellStyle name="Comma 2 41 2" xfId="174" xr:uid="{00000000-0005-0000-0000-000007010000}"/>
    <cellStyle name="Comma 2 42" xfId="1303" xr:uid="{00000000-0005-0000-0000-000008010000}"/>
    <cellStyle name="Comma 2 5" xfId="175" xr:uid="{00000000-0005-0000-0000-000009010000}"/>
    <cellStyle name="Comma 2 5 2" xfId="176" xr:uid="{00000000-0005-0000-0000-00000A010000}"/>
    <cellStyle name="Comma 2 5 2 2" xfId="1304" xr:uid="{00000000-0005-0000-0000-00000B010000}"/>
    <cellStyle name="Comma 2 6" xfId="177" xr:uid="{00000000-0005-0000-0000-00000C010000}"/>
    <cellStyle name="Comma 2 6 2" xfId="178" xr:uid="{00000000-0005-0000-0000-00000D010000}"/>
    <cellStyle name="Comma 2 6 2 2" xfId="1305" xr:uid="{00000000-0005-0000-0000-00000E010000}"/>
    <cellStyle name="Comma 2 6 3" xfId="179" xr:uid="{00000000-0005-0000-0000-00000F010000}"/>
    <cellStyle name="Comma 2 6 4" xfId="1306" xr:uid="{00000000-0005-0000-0000-000010010000}"/>
    <cellStyle name="Comma 2 7" xfId="180" xr:uid="{00000000-0005-0000-0000-000011010000}"/>
    <cellStyle name="Comma 2 7 2" xfId="181" xr:uid="{00000000-0005-0000-0000-000012010000}"/>
    <cellStyle name="Comma 2 7 2 2" xfId="1307" xr:uid="{00000000-0005-0000-0000-000013010000}"/>
    <cellStyle name="Comma 2 7 3" xfId="1308" xr:uid="{00000000-0005-0000-0000-000014010000}"/>
    <cellStyle name="Comma 2 8" xfId="182" xr:uid="{00000000-0005-0000-0000-000015010000}"/>
    <cellStyle name="Comma 2 8 2" xfId="183" xr:uid="{00000000-0005-0000-0000-000016010000}"/>
    <cellStyle name="Comma 2 8 2 2" xfId="1309" xr:uid="{00000000-0005-0000-0000-000017010000}"/>
    <cellStyle name="Comma 2 8 3" xfId="184" xr:uid="{00000000-0005-0000-0000-000018010000}"/>
    <cellStyle name="Comma 2 8 3 2" xfId="1310" xr:uid="{00000000-0005-0000-0000-000019010000}"/>
    <cellStyle name="Comma 2 8 4" xfId="1311" xr:uid="{00000000-0005-0000-0000-00001A010000}"/>
    <cellStyle name="Comma 2 9" xfId="185" xr:uid="{00000000-0005-0000-0000-00001B010000}"/>
    <cellStyle name="Comma 2 9 2" xfId="186" xr:uid="{00000000-0005-0000-0000-00001C010000}"/>
    <cellStyle name="Comma 2 9 2 2" xfId="1312" xr:uid="{00000000-0005-0000-0000-00001D010000}"/>
    <cellStyle name="Comma 2 9 3" xfId="187" xr:uid="{00000000-0005-0000-0000-00001E010000}"/>
    <cellStyle name="Comma 2 9 3 2" xfId="1313" xr:uid="{00000000-0005-0000-0000-00001F010000}"/>
    <cellStyle name="Comma 2 9 4" xfId="1314" xr:uid="{00000000-0005-0000-0000-000020010000}"/>
    <cellStyle name="Comma 20" xfId="188" xr:uid="{00000000-0005-0000-0000-000021010000}"/>
    <cellStyle name="Comma 20 2" xfId="189" xr:uid="{00000000-0005-0000-0000-000022010000}"/>
    <cellStyle name="Comma 21" xfId="190" xr:uid="{00000000-0005-0000-0000-000023010000}"/>
    <cellStyle name="Comma 22" xfId="191" xr:uid="{00000000-0005-0000-0000-000024010000}"/>
    <cellStyle name="Comma 23" xfId="192" xr:uid="{00000000-0005-0000-0000-000025010000}"/>
    <cellStyle name="Comma 24" xfId="193" xr:uid="{00000000-0005-0000-0000-000026010000}"/>
    <cellStyle name="Comma 24 2" xfId="194" xr:uid="{00000000-0005-0000-0000-000027010000}"/>
    <cellStyle name="Comma 25" xfId="195" xr:uid="{00000000-0005-0000-0000-000028010000}"/>
    <cellStyle name="Comma 25 2" xfId="196" xr:uid="{00000000-0005-0000-0000-000029010000}"/>
    <cellStyle name="Comma 26" xfId="197" xr:uid="{00000000-0005-0000-0000-00002A010000}"/>
    <cellStyle name="Comma 27" xfId="198" xr:uid="{00000000-0005-0000-0000-00002B010000}"/>
    <cellStyle name="Comma 27 2" xfId="199" xr:uid="{00000000-0005-0000-0000-00002C010000}"/>
    <cellStyle name="Comma 28" xfId="200" xr:uid="{00000000-0005-0000-0000-00002D010000}"/>
    <cellStyle name="Comma 28 2" xfId="201" xr:uid="{00000000-0005-0000-0000-00002E010000}"/>
    <cellStyle name="Comma 29" xfId="202" xr:uid="{00000000-0005-0000-0000-00002F010000}"/>
    <cellStyle name="Comma 29 2" xfId="203" xr:uid="{00000000-0005-0000-0000-000030010000}"/>
    <cellStyle name="Comma 3" xfId="204" xr:uid="{00000000-0005-0000-0000-000031010000}"/>
    <cellStyle name="Comma 3 10" xfId="205" xr:uid="{00000000-0005-0000-0000-000032010000}"/>
    <cellStyle name="Comma 3 10 2" xfId="1315" xr:uid="{00000000-0005-0000-0000-000033010000}"/>
    <cellStyle name="Comma 3 11" xfId="206" xr:uid="{00000000-0005-0000-0000-000034010000}"/>
    <cellStyle name="Comma 3 11 2" xfId="1316" xr:uid="{00000000-0005-0000-0000-000035010000}"/>
    <cellStyle name="Comma 3 12" xfId="207" xr:uid="{00000000-0005-0000-0000-000036010000}"/>
    <cellStyle name="Comma 3 12 2" xfId="1317" xr:uid="{00000000-0005-0000-0000-000037010000}"/>
    <cellStyle name="Comma 3 13" xfId="208" xr:uid="{00000000-0005-0000-0000-000038010000}"/>
    <cellStyle name="Comma 3 13 2" xfId="1318" xr:uid="{00000000-0005-0000-0000-000039010000}"/>
    <cellStyle name="Comma 3 14" xfId="1319" xr:uid="{00000000-0005-0000-0000-00003A010000}"/>
    <cellStyle name="Comma 3 2" xfId="209" xr:uid="{00000000-0005-0000-0000-00003B010000}"/>
    <cellStyle name="Comma 3 2 2" xfId="210" xr:uid="{00000000-0005-0000-0000-00003C010000}"/>
    <cellStyle name="Comma 3 2 2 2" xfId="1320" xr:uid="{00000000-0005-0000-0000-00003D010000}"/>
    <cellStyle name="Comma 3 2 3" xfId="211" xr:uid="{00000000-0005-0000-0000-00003E010000}"/>
    <cellStyle name="Comma 3 2 4" xfId="1321" xr:uid="{00000000-0005-0000-0000-00003F010000}"/>
    <cellStyle name="Comma 3 3" xfId="212" xr:uid="{00000000-0005-0000-0000-000040010000}"/>
    <cellStyle name="Comma 3 3 2" xfId="213" xr:uid="{00000000-0005-0000-0000-000041010000}"/>
    <cellStyle name="Comma 3 3 2 2" xfId="1322" xr:uid="{00000000-0005-0000-0000-000042010000}"/>
    <cellStyle name="Comma 3 3 3" xfId="214" xr:uid="{00000000-0005-0000-0000-000043010000}"/>
    <cellStyle name="Comma 3 3 3 2" xfId="1323" xr:uid="{00000000-0005-0000-0000-000044010000}"/>
    <cellStyle name="Comma 3 3 9" xfId="215" xr:uid="{00000000-0005-0000-0000-000045010000}"/>
    <cellStyle name="Comma 3 3 9 2" xfId="1324" xr:uid="{00000000-0005-0000-0000-000046010000}"/>
    <cellStyle name="Comma 3 4" xfId="216" xr:uid="{00000000-0005-0000-0000-000047010000}"/>
    <cellStyle name="Comma 3 4 2" xfId="217" xr:uid="{00000000-0005-0000-0000-000048010000}"/>
    <cellStyle name="Comma 3 4 2 2" xfId="1325" xr:uid="{00000000-0005-0000-0000-000049010000}"/>
    <cellStyle name="Comma 3 4 3" xfId="218" xr:uid="{00000000-0005-0000-0000-00004A010000}"/>
    <cellStyle name="Comma 3 4 3 2" xfId="1326" xr:uid="{00000000-0005-0000-0000-00004B010000}"/>
    <cellStyle name="Comma 3 5" xfId="219" xr:uid="{00000000-0005-0000-0000-00004C010000}"/>
    <cellStyle name="Comma 3 5 2" xfId="220" xr:uid="{00000000-0005-0000-0000-00004D010000}"/>
    <cellStyle name="Comma 3 6" xfId="221" xr:uid="{00000000-0005-0000-0000-00004E010000}"/>
    <cellStyle name="Comma 3 7" xfId="222" xr:uid="{00000000-0005-0000-0000-00004F010000}"/>
    <cellStyle name="Comma 3 7 2" xfId="1327" xr:uid="{00000000-0005-0000-0000-000050010000}"/>
    <cellStyle name="Comma 3 8" xfId="223" xr:uid="{00000000-0005-0000-0000-000051010000}"/>
    <cellStyle name="Comma 3 8 2" xfId="1328" xr:uid="{00000000-0005-0000-0000-000052010000}"/>
    <cellStyle name="Comma 3 9" xfId="224" xr:uid="{00000000-0005-0000-0000-000053010000}"/>
    <cellStyle name="Comma 3 9 2" xfId="1329" xr:uid="{00000000-0005-0000-0000-000054010000}"/>
    <cellStyle name="Comma 30" xfId="225" xr:uid="{00000000-0005-0000-0000-000055010000}"/>
    <cellStyle name="Comma 30 2" xfId="226" xr:uid="{00000000-0005-0000-0000-000056010000}"/>
    <cellStyle name="Comma 31" xfId="227" xr:uid="{00000000-0005-0000-0000-000057010000}"/>
    <cellStyle name="Comma 31 2" xfId="228" xr:uid="{00000000-0005-0000-0000-000058010000}"/>
    <cellStyle name="Comma 32" xfId="229" xr:uid="{00000000-0005-0000-0000-000059010000}"/>
    <cellStyle name="Comma 32 2" xfId="230" xr:uid="{00000000-0005-0000-0000-00005A010000}"/>
    <cellStyle name="Comma 32 3" xfId="1330" xr:uid="{00000000-0005-0000-0000-00005B010000}"/>
    <cellStyle name="Comma 33" xfId="231" xr:uid="{00000000-0005-0000-0000-00005C010000}"/>
    <cellStyle name="Comma 33 2" xfId="232" xr:uid="{00000000-0005-0000-0000-00005D010000}"/>
    <cellStyle name="Comma 34" xfId="233" xr:uid="{00000000-0005-0000-0000-00005E010000}"/>
    <cellStyle name="Comma 34 2" xfId="234" xr:uid="{00000000-0005-0000-0000-00005F010000}"/>
    <cellStyle name="Comma 35" xfId="235" xr:uid="{00000000-0005-0000-0000-000060010000}"/>
    <cellStyle name="Comma 35 2" xfId="236" xr:uid="{00000000-0005-0000-0000-000061010000}"/>
    <cellStyle name="Comma 36" xfId="237" xr:uid="{00000000-0005-0000-0000-000062010000}"/>
    <cellStyle name="Comma 36 2" xfId="238" xr:uid="{00000000-0005-0000-0000-000063010000}"/>
    <cellStyle name="Comma 36 2 2" xfId="1331" xr:uid="{00000000-0005-0000-0000-000064010000}"/>
    <cellStyle name="Comma 36 3" xfId="239" xr:uid="{00000000-0005-0000-0000-000065010000}"/>
    <cellStyle name="Comma 36 4" xfId="1332" xr:uid="{00000000-0005-0000-0000-000066010000}"/>
    <cellStyle name="Comma 37" xfId="240" xr:uid="{00000000-0005-0000-0000-000067010000}"/>
    <cellStyle name="Comma 37 2" xfId="241" xr:uid="{00000000-0005-0000-0000-000068010000}"/>
    <cellStyle name="Comma 38" xfId="242" xr:uid="{00000000-0005-0000-0000-000069010000}"/>
    <cellStyle name="Comma 38 2" xfId="243" xr:uid="{00000000-0005-0000-0000-00006A010000}"/>
    <cellStyle name="Comma 38 3" xfId="244" xr:uid="{00000000-0005-0000-0000-00006B010000}"/>
    <cellStyle name="Comma 38 4" xfId="245" xr:uid="{00000000-0005-0000-0000-00006C010000}"/>
    <cellStyle name="Comma 38 5" xfId="246" xr:uid="{00000000-0005-0000-0000-00006D010000}"/>
    <cellStyle name="Comma 38 6" xfId="1333" xr:uid="{00000000-0005-0000-0000-00006E010000}"/>
    <cellStyle name="Comma 39" xfId="247" xr:uid="{00000000-0005-0000-0000-00006F010000}"/>
    <cellStyle name="Comma 39 2" xfId="248" xr:uid="{00000000-0005-0000-0000-000070010000}"/>
    <cellStyle name="Comma 39 2 2" xfId="249" xr:uid="{00000000-0005-0000-0000-000071010000}"/>
    <cellStyle name="Comma 39 2 2 2" xfId="250" xr:uid="{00000000-0005-0000-0000-000072010000}"/>
    <cellStyle name="Comma 39 2 2 3" xfId="251" xr:uid="{00000000-0005-0000-0000-000073010000}"/>
    <cellStyle name="Comma 39 2 2 4" xfId="252" xr:uid="{00000000-0005-0000-0000-000074010000}"/>
    <cellStyle name="Comma 39 2 3" xfId="253" xr:uid="{00000000-0005-0000-0000-000075010000}"/>
    <cellStyle name="Comma 39 2 4" xfId="254" xr:uid="{00000000-0005-0000-0000-000076010000}"/>
    <cellStyle name="Comma 39 3" xfId="255" xr:uid="{00000000-0005-0000-0000-000077010000}"/>
    <cellStyle name="Comma 39 3 2" xfId="256" xr:uid="{00000000-0005-0000-0000-000078010000}"/>
    <cellStyle name="Comma 39 3 3" xfId="257" xr:uid="{00000000-0005-0000-0000-000079010000}"/>
    <cellStyle name="Comma 39 4" xfId="258" xr:uid="{00000000-0005-0000-0000-00007A010000}"/>
    <cellStyle name="Comma 39 5" xfId="259" xr:uid="{00000000-0005-0000-0000-00007B010000}"/>
    <cellStyle name="Comma 4" xfId="260" xr:uid="{00000000-0005-0000-0000-00007C010000}"/>
    <cellStyle name="Comma 4 10" xfId="261" xr:uid="{00000000-0005-0000-0000-00007D010000}"/>
    <cellStyle name="Comma 4 11" xfId="262" xr:uid="{00000000-0005-0000-0000-00007E010000}"/>
    <cellStyle name="Comma 4 12" xfId="263" xr:uid="{00000000-0005-0000-0000-00007F010000}"/>
    <cellStyle name="Comma 4 13" xfId="264" xr:uid="{00000000-0005-0000-0000-000080010000}"/>
    <cellStyle name="Comma 4 13 2" xfId="1334" xr:uid="{00000000-0005-0000-0000-000081010000}"/>
    <cellStyle name="Comma 4 14" xfId="265" xr:uid="{00000000-0005-0000-0000-000082010000}"/>
    <cellStyle name="Comma 4 14 2" xfId="1335" xr:uid="{00000000-0005-0000-0000-000083010000}"/>
    <cellStyle name="Comma 4 15" xfId="266" xr:uid="{00000000-0005-0000-0000-000084010000}"/>
    <cellStyle name="Comma 4 15 2" xfId="1336" xr:uid="{00000000-0005-0000-0000-000085010000}"/>
    <cellStyle name="Comma 4 16" xfId="267" xr:uid="{00000000-0005-0000-0000-000086010000}"/>
    <cellStyle name="Comma 4 16 2" xfId="1337" xr:uid="{00000000-0005-0000-0000-000087010000}"/>
    <cellStyle name="Comma 4 17" xfId="268" xr:uid="{00000000-0005-0000-0000-000088010000}"/>
    <cellStyle name="Comma 4 17 2" xfId="1338" xr:uid="{00000000-0005-0000-0000-000089010000}"/>
    <cellStyle name="Comma 4 18" xfId="269" xr:uid="{00000000-0005-0000-0000-00008A010000}"/>
    <cellStyle name="Comma 4 18 2" xfId="1339" xr:uid="{00000000-0005-0000-0000-00008B010000}"/>
    <cellStyle name="Comma 4 19" xfId="270" xr:uid="{00000000-0005-0000-0000-00008C010000}"/>
    <cellStyle name="Comma 4 2" xfId="271" xr:uid="{00000000-0005-0000-0000-00008D010000}"/>
    <cellStyle name="Comma 4 2 2" xfId="272" xr:uid="{00000000-0005-0000-0000-00008E010000}"/>
    <cellStyle name="Comma 4 2 2 2" xfId="1340" xr:uid="{00000000-0005-0000-0000-00008F010000}"/>
    <cellStyle name="Comma 4 2 3" xfId="273" xr:uid="{00000000-0005-0000-0000-000090010000}"/>
    <cellStyle name="Comma 4 2 4" xfId="1341" xr:uid="{00000000-0005-0000-0000-000091010000}"/>
    <cellStyle name="Comma 4 3" xfId="274" xr:uid="{00000000-0005-0000-0000-000092010000}"/>
    <cellStyle name="Comma 4 3 2" xfId="275" xr:uid="{00000000-0005-0000-0000-000093010000}"/>
    <cellStyle name="Comma 4 3 2 2" xfId="276" xr:uid="{00000000-0005-0000-0000-000094010000}"/>
    <cellStyle name="Comma 4 3 2 2 2" xfId="1342" xr:uid="{00000000-0005-0000-0000-000095010000}"/>
    <cellStyle name="Comma 4 3 3" xfId="277" xr:uid="{00000000-0005-0000-0000-000096010000}"/>
    <cellStyle name="Comma 4 3 3 2" xfId="1343" xr:uid="{00000000-0005-0000-0000-000097010000}"/>
    <cellStyle name="Comma 4 3 4" xfId="278" xr:uid="{00000000-0005-0000-0000-000098010000}"/>
    <cellStyle name="Comma 4 3 4 2" xfId="1344" xr:uid="{00000000-0005-0000-0000-000099010000}"/>
    <cellStyle name="Comma 4 3 5" xfId="279" xr:uid="{00000000-0005-0000-0000-00009A010000}"/>
    <cellStyle name="Comma 4 3 5 2" xfId="1345" xr:uid="{00000000-0005-0000-0000-00009B010000}"/>
    <cellStyle name="Comma 4 3 6" xfId="280" xr:uid="{00000000-0005-0000-0000-00009C010000}"/>
    <cellStyle name="Comma 4 3 6 2" xfId="1346" xr:uid="{00000000-0005-0000-0000-00009D010000}"/>
    <cellStyle name="Comma 4 4" xfId="281" xr:uid="{00000000-0005-0000-0000-00009E010000}"/>
    <cellStyle name="Comma 4 4 2" xfId="1347" xr:uid="{00000000-0005-0000-0000-00009F010000}"/>
    <cellStyle name="Comma 4 5" xfId="282" xr:uid="{00000000-0005-0000-0000-0000A0010000}"/>
    <cellStyle name="Comma 4 5 2" xfId="1348" xr:uid="{00000000-0005-0000-0000-0000A1010000}"/>
    <cellStyle name="Comma 4 6" xfId="283" xr:uid="{00000000-0005-0000-0000-0000A2010000}"/>
    <cellStyle name="Comma 4 7" xfId="284" xr:uid="{00000000-0005-0000-0000-0000A3010000}"/>
    <cellStyle name="Comma 4 8" xfId="285" xr:uid="{00000000-0005-0000-0000-0000A4010000}"/>
    <cellStyle name="Comma 4 9" xfId="286" xr:uid="{00000000-0005-0000-0000-0000A5010000}"/>
    <cellStyle name="Comma 40" xfId="287" xr:uid="{00000000-0005-0000-0000-0000A6010000}"/>
    <cellStyle name="Comma 40 10" xfId="288" xr:uid="{00000000-0005-0000-0000-0000A7010000}"/>
    <cellStyle name="Comma 40 2" xfId="289" xr:uid="{00000000-0005-0000-0000-0000A8010000}"/>
    <cellStyle name="Comma 40 2 2" xfId="290" xr:uid="{00000000-0005-0000-0000-0000A9010000}"/>
    <cellStyle name="Comma 40 2 2 2" xfId="291" xr:uid="{00000000-0005-0000-0000-0000AA010000}"/>
    <cellStyle name="Comma 40 2 2 2 2" xfId="292" xr:uid="{00000000-0005-0000-0000-0000AB010000}"/>
    <cellStyle name="Comma 40 2 2 2 3" xfId="293" xr:uid="{00000000-0005-0000-0000-0000AC010000}"/>
    <cellStyle name="Comma 40 2 2 3" xfId="294" xr:uid="{00000000-0005-0000-0000-0000AD010000}"/>
    <cellStyle name="Comma 40 2 2 4" xfId="295" xr:uid="{00000000-0005-0000-0000-0000AE010000}"/>
    <cellStyle name="Comma 40 2 3" xfId="296" xr:uid="{00000000-0005-0000-0000-0000AF010000}"/>
    <cellStyle name="Comma 40 2 3 2" xfId="297" xr:uid="{00000000-0005-0000-0000-0000B0010000}"/>
    <cellStyle name="Comma 40 2 3 3" xfId="298" xr:uid="{00000000-0005-0000-0000-0000B1010000}"/>
    <cellStyle name="Comma 40 2 4" xfId="299" xr:uid="{00000000-0005-0000-0000-0000B2010000}"/>
    <cellStyle name="Comma 40 2 5" xfId="300" xr:uid="{00000000-0005-0000-0000-0000B3010000}"/>
    <cellStyle name="Comma 40 3" xfId="301" xr:uid="{00000000-0005-0000-0000-0000B4010000}"/>
    <cellStyle name="Comma 40 3 2" xfId="302" xr:uid="{00000000-0005-0000-0000-0000B5010000}"/>
    <cellStyle name="Comma 40 3 2 2" xfId="303" xr:uid="{00000000-0005-0000-0000-0000B6010000}"/>
    <cellStyle name="Comma 40 3 2 2 2" xfId="304" xr:uid="{00000000-0005-0000-0000-0000B7010000}"/>
    <cellStyle name="Comma 40 3 2 2 3" xfId="305" xr:uid="{00000000-0005-0000-0000-0000B8010000}"/>
    <cellStyle name="Comma 40 3 2 3" xfId="306" xr:uid="{00000000-0005-0000-0000-0000B9010000}"/>
    <cellStyle name="Comma 40 3 2 4" xfId="307" xr:uid="{00000000-0005-0000-0000-0000BA010000}"/>
    <cellStyle name="Comma 40 3 3" xfId="308" xr:uid="{00000000-0005-0000-0000-0000BB010000}"/>
    <cellStyle name="Comma 40 3 3 2" xfId="309" xr:uid="{00000000-0005-0000-0000-0000BC010000}"/>
    <cellStyle name="Comma 40 3 3 3" xfId="310" xr:uid="{00000000-0005-0000-0000-0000BD010000}"/>
    <cellStyle name="Comma 40 3 4" xfId="311" xr:uid="{00000000-0005-0000-0000-0000BE010000}"/>
    <cellStyle name="Comma 40 3 5" xfId="312" xr:uid="{00000000-0005-0000-0000-0000BF010000}"/>
    <cellStyle name="Comma 40 4" xfId="313" xr:uid="{00000000-0005-0000-0000-0000C0010000}"/>
    <cellStyle name="Comma 40 4 2" xfId="314" xr:uid="{00000000-0005-0000-0000-0000C1010000}"/>
    <cellStyle name="Comma 40 4 2 2" xfId="315" xr:uid="{00000000-0005-0000-0000-0000C2010000}"/>
    <cellStyle name="Comma 40 4 2 2 2" xfId="316" xr:uid="{00000000-0005-0000-0000-0000C3010000}"/>
    <cellStyle name="Comma 40 4 2 2 3" xfId="317" xr:uid="{00000000-0005-0000-0000-0000C4010000}"/>
    <cellStyle name="Comma 40 4 2 3" xfId="318" xr:uid="{00000000-0005-0000-0000-0000C5010000}"/>
    <cellStyle name="Comma 40 4 2 4" xfId="319" xr:uid="{00000000-0005-0000-0000-0000C6010000}"/>
    <cellStyle name="Comma 40 4 3" xfId="320" xr:uid="{00000000-0005-0000-0000-0000C7010000}"/>
    <cellStyle name="Comma 40 4 3 2" xfId="321" xr:uid="{00000000-0005-0000-0000-0000C8010000}"/>
    <cellStyle name="Comma 40 4 3 3" xfId="322" xr:uid="{00000000-0005-0000-0000-0000C9010000}"/>
    <cellStyle name="Comma 40 4 4" xfId="323" xr:uid="{00000000-0005-0000-0000-0000CA010000}"/>
    <cellStyle name="Comma 40 4 5" xfId="324" xr:uid="{00000000-0005-0000-0000-0000CB010000}"/>
    <cellStyle name="Comma 40 5" xfId="325" xr:uid="{00000000-0005-0000-0000-0000CC010000}"/>
    <cellStyle name="Comma 40 5 2" xfId="326" xr:uid="{00000000-0005-0000-0000-0000CD010000}"/>
    <cellStyle name="Comma 40 5 2 2" xfId="327" xr:uid="{00000000-0005-0000-0000-0000CE010000}"/>
    <cellStyle name="Comma 40 5 2 2 2" xfId="328" xr:uid="{00000000-0005-0000-0000-0000CF010000}"/>
    <cellStyle name="Comma 40 5 2 2 3" xfId="329" xr:uid="{00000000-0005-0000-0000-0000D0010000}"/>
    <cellStyle name="Comma 40 5 2 3" xfId="330" xr:uid="{00000000-0005-0000-0000-0000D1010000}"/>
    <cellStyle name="Comma 40 5 2 4" xfId="331" xr:uid="{00000000-0005-0000-0000-0000D2010000}"/>
    <cellStyle name="Comma 40 5 3" xfId="332" xr:uid="{00000000-0005-0000-0000-0000D3010000}"/>
    <cellStyle name="Comma 40 5 3 2" xfId="333" xr:uid="{00000000-0005-0000-0000-0000D4010000}"/>
    <cellStyle name="Comma 40 5 3 3" xfId="334" xr:uid="{00000000-0005-0000-0000-0000D5010000}"/>
    <cellStyle name="Comma 40 5 4" xfId="335" xr:uid="{00000000-0005-0000-0000-0000D6010000}"/>
    <cellStyle name="Comma 40 5 5" xfId="336" xr:uid="{00000000-0005-0000-0000-0000D7010000}"/>
    <cellStyle name="Comma 40 5 6" xfId="337" xr:uid="{00000000-0005-0000-0000-0000D8010000}"/>
    <cellStyle name="Comma 40 6" xfId="338" xr:uid="{00000000-0005-0000-0000-0000D9010000}"/>
    <cellStyle name="Comma 40 6 2" xfId="339" xr:uid="{00000000-0005-0000-0000-0000DA010000}"/>
    <cellStyle name="Comma 40 6 2 2" xfId="340" xr:uid="{00000000-0005-0000-0000-0000DB010000}"/>
    <cellStyle name="Comma 40 6 2 2 2" xfId="341" xr:uid="{00000000-0005-0000-0000-0000DC010000}"/>
    <cellStyle name="Comma 40 6 2 2 3" xfId="342" xr:uid="{00000000-0005-0000-0000-0000DD010000}"/>
    <cellStyle name="Comma 40 6 2 3" xfId="343" xr:uid="{00000000-0005-0000-0000-0000DE010000}"/>
    <cellStyle name="Comma 40 6 2 4" xfId="344" xr:uid="{00000000-0005-0000-0000-0000DF010000}"/>
    <cellStyle name="Comma 40 6 3" xfId="345" xr:uid="{00000000-0005-0000-0000-0000E0010000}"/>
    <cellStyle name="Comma 40 6 3 2" xfId="346" xr:uid="{00000000-0005-0000-0000-0000E1010000}"/>
    <cellStyle name="Comma 40 6 3 3" xfId="347" xr:uid="{00000000-0005-0000-0000-0000E2010000}"/>
    <cellStyle name="Comma 40 6 4" xfId="348" xr:uid="{00000000-0005-0000-0000-0000E3010000}"/>
    <cellStyle name="Comma 40 6 5" xfId="349" xr:uid="{00000000-0005-0000-0000-0000E4010000}"/>
    <cellStyle name="Comma 40 7" xfId="350" xr:uid="{00000000-0005-0000-0000-0000E5010000}"/>
    <cellStyle name="Comma 40 7 2" xfId="351" xr:uid="{00000000-0005-0000-0000-0000E6010000}"/>
    <cellStyle name="Comma 40 7 2 2" xfId="352" xr:uid="{00000000-0005-0000-0000-0000E7010000}"/>
    <cellStyle name="Comma 40 7 2 3" xfId="353" xr:uid="{00000000-0005-0000-0000-0000E8010000}"/>
    <cellStyle name="Comma 40 7 3" xfId="354" xr:uid="{00000000-0005-0000-0000-0000E9010000}"/>
    <cellStyle name="Comma 40 7 4" xfId="355" xr:uid="{00000000-0005-0000-0000-0000EA010000}"/>
    <cellStyle name="Comma 40 8" xfId="356" xr:uid="{00000000-0005-0000-0000-0000EB010000}"/>
    <cellStyle name="Comma 40 8 2" xfId="357" xr:uid="{00000000-0005-0000-0000-0000EC010000}"/>
    <cellStyle name="Comma 40 8 3" xfId="358" xr:uid="{00000000-0005-0000-0000-0000ED010000}"/>
    <cellStyle name="Comma 40 9" xfId="359" xr:uid="{00000000-0005-0000-0000-0000EE010000}"/>
    <cellStyle name="Comma 41" xfId="360" xr:uid="{00000000-0005-0000-0000-0000EF010000}"/>
    <cellStyle name="Comma 41 2" xfId="361" xr:uid="{00000000-0005-0000-0000-0000F0010000}"/>
    <cellStyle name="Comma 41 2 2" xfId="362" xr:uid="{00000000-0005-0000-0000-0000F1010000}"/>
    <cellStyle name="Comma 41 2 2 2" xfId="363" xr:uid="{00000000-0005-0000-0000-0000F2010000}"/>
    <cellStyle name="Comma 41 2 2 3" xfId="364" xr:uid="{00000000-0005-0000-0000-0000F3010000}"/>
    <cellStyle name="Comma 41 2 3" xfId="365" xr:uid="{00000000-0005-0000-0000-0000F4010000}"/>
    <cellStyle name="Comma 41 2 4" xfId="366" xr:uid="{00000000-0005-0000-0000-0000F5010000}"/>
    <cellStyle name="Comma 41 3" xfId="367" xr:uid="{00000000-0005-0000-0000-0000F6010000}"/>
    <cellStyle name="Comma 41 3 2" xfId="368" xr:uid="{00000000-0005-0000-0000-0000F7010000}"/>
    <cellStyle name="Comma 41 3 3" xfId="369" xr:uid="{00000000-0005-0000-0000-0000F8010000}"/>
    <cellStyle name="Comma 41 4" xfId="370" xr:uid="{00000000-0005-0000-0000-0000F9010000}"/>
    <cellStyle name="Comma 41 5" xfId="371" xr:uid="{00000000-0005-0000-0000-0000FA010000}"/>
    <cellStyle name="Comma 42" xfId="372" xr:uid="{00000000-0005-0000-0000-0000FB010000}"/>
    <cellStyle name="Comma 42 2" xfId="373" xr:uid="{00000000-0005-0000-0000-0000FC010000}"/>
    <cellStyle name="Comma 42 2 2" xfId="374" xr:uid="{00000000-0005-0000-0000-0000FD010000}"/>
    <cellStyle name="Comma 42 2 2 2" xfId="375" xr:uid="{00000000-0005-0000-0000-0000FE010000}"/>
    <cellStyle name="Comma 42 2 2 3" xfId="376" xr:uid="{00000000-0005-0000-0000-0000FF010000}"/>
    <cellStyle name="Comma 42 2 3" xfId="377" xr:uid="{00000000-0005-0000-0000-000000020000}"/>
    <cellStyle name="Comma 42 2 4" xfId="378" xr:uid="{00000000-0005-0000-0000-000001020000}"/>
    <cellStyle name="Comma 42 3" xfId="379" xr:uid="{00000000-0005-0000-0000-000002020000}"/>
    <cellStyle name="Comma 42 3 2" xfId="380" xr:uid="{00000000-0005-0000-0000-000003020000}"/>
    <cellStyle name="Comma 42 3 3" xfId="381" xr:uid="{00000000-0005-0000-0000-000004020000}"/>
    <cellStyle name="Comma 42 4" xfId="382" xr:uid="{00000000-0005-0000-0000-000005020000}"/>
    <cellStyle name="Comma 42 5" xfId="383" xr:uid="{00000000-0005-0000-0000-000006020000}"/>
    <cellStyle name="Comma 43" xfId="384" xr:uid="{00000000-0005-0000-0000-000007020000}"/>
    <cellStyle name="Comma 43 2" xfId="385" xr:uid="{00000000-0005-0000-0000-000008020000}"/>
    <cellStyle name="Comma 44" xfId="386" xr:uid="{00000000-0005-0000-0000-000009020000}"/>
    <cellStyle name="Comma 44 2" xfId="387" xr:uid="{00000000-0005-0000-0000-00000A020000}"/>
    <cellStyle name="Comma 44 2 2" xfId="388" xr:uid="{00000000-0005-0000-0000-00000B020000}"/>
    <cellStyle name="Comma 44 2 3" xfId="389" xr:uid="{00000000-0005-0000-0000-00000C020000}"/>
    <cellStyle name="Comma 44 3" xfId="390" xr:uid="{00000000-0005-0000-0000-00000D020000}"/>
    <cellStyle name="Comma 44 4" xfId="391" xr:uid="{00000000-0005-0000-0000-00000E020000}"/>
    <cellStyle name="Comma 45" xfId="392" xr:uid="{00000000-0005-0000-0000-00000F020000}"/>
    <cellStyle name="Comma 45 2" xfId="393" xr:uid="{00000000-0005-0000-0000-000010020000}"/>
    <cellStyle name="Comma 45 2 2" xfId="394" xr:uid="{00000000-0005-0000-0000-000011020000}"/>
    <cellStyle name="Comma 45 2 3" xfId="395" xr:uid="{00000000-0005-0000-0000-000012020000}"/>
    <cellStyle name="Comma 45 3" xfId="396" xr:uid="{00000000-0005-0000-0000-000013020000}"/>
    <cellStyle name="Comma 45 4" xfId="397" xr:uid="{00000000-0005-0000-0000-000014020000}"/>
    <cellStyle name="Comma 45 5" xfId="398" xr:uid="{00000000-0005-0000-0000-000015020000}"/>
    <cellStyle name="Comma 46" xfId="399" xr:uid="{00000000-0005-0000-0000-000016020000}"/>
    <cellStyle name="Comma 46 2" xfId="400" xr:uid="{00000000-0005-0000-0000-000017020000}"/>
    <cellStyle name="Comma 46 3" xfId="401" xr:uid="{00000000-0005-0000-0000-000018020000}"/>
    <cellStyle name="Comma 46 4" xfId="402" xr:uid="{00000000-0005-0000-0000-000019020000}"/>
    <cellStyle name="Comma 47" xfId="403" xr:uid="{00000000-0005-0000-0000-00001A020000}"/>
    <cellStyle name="Comma 48" xfId="404" xr:uid="{00000000-0005-0000-0000-00001B020000}"/>
    <cellStyle name="Comma 48 2" xfId="405" xr:uid="{00000000-0005-0000-0000-00001C020000}"/>
    <cellStyle name="Comma 48 3" xfId="406" xr:uid="{00000000-0005-0000-0000-00001D020000}"/>
    <cellStyle name="Comma 49" xfId="407" xr:uid="{00000000-0005-0000-0000-00001E020000}"/>
    <cellStyle name="Comma 5" xfId="408" xr:uid="{00000000-0005-0000-0000-00001F020000}"/>
    <cellStyle name="Comma 5 10" xfId="409" xr:uid="{00000000-0005-0000-0000-000020020000}"/>
    <cellStyle name="Comma 5 10 2" xfId="1349" xr:uid="{00000000-0005-0000-0000-000021020000}"/>
    <cellStyle name="Comma 5 11" xfId="410" xr:uid="{00000000-0005-0000-0000-000022020000}"/>
    <cellStyle name="Comma 5 11 2" xfId="1350" xr:uid="{00000000-0005-0000-0000-000023020000}"/>
    <cellStyle name="Comma 5 12" xfId="411" xr:uid="{00000000-0005-0000-0000-000024020000}"/>
    <cellStyle name="Comma 5 13" xfId="412" xr:uid="{00000000-0005-0000-0000-000025020000}"/>
    <cellStyle name="Comma 5 13 2" xfId="1351" xr:uid="{00000000-0005-0000-0000-000026020000}"/>
    <cellStyle name="Comma 5 2" xfId="413" xr:uid="{00000000-0005-0000-0000-000027020000}"/>
    <cellStyle name="Comma 5 2 2" xfId="414" xr:uid="{00000000-0005-0000-0000-000028020000}"/>
    <cellStyle name="Comma 5 2 3" xfId="415" xr:uid="{00000000-0005-0000-0000-000029020000}"/>
    <cellStyle name="Comma 5 2 4" xfId="416" xr:uid="{00000000-0005-0000-0000-00002A020000}"/>
    <cellStyle name="Comma 5 2 4 2" xfId="1352" xr:uid="{00000000-0005-0000-0000-00002B020000}"/>
    <cellStyle name="Comma 5 2 5" xfId="1353" xr:uid="{00000000-0005-0000-0000-00002C020000}"/>
    <cellStyle name="Comma 5 3" xfId="417" xr:uid="{00000000-0005-0000-0000-00002D020000}"/>
    <cellStyle name="Comma 5 3 2" xfId="418" xr:uid="{00000000-0005-0000-0000-00002E020000}"/>
    <cellStyle name="Comma 5 3 2 2" xfId="419" xr:uid="{00000000-0005-0000-0000-00002F020000}"/>
    <cellStyle name="Comma 5 3 2 2 2" xfId="420" xr:uid="{00000000-0005-0000-0000-000030020000}"/>
    <cellStyle name="Comma 5 3 2 2 2 2" xfId="421" xr:uid="{00000000-0005-0000-0000-000031020000}"/>
    <cellStyle name="Comma 5 3 2 2 2 3" xfId="422" xr:uid="{00000000-0005-0000-0000-000032020000}"/>
    <cellStyle name="Comma 5 3 2 2 3" xfId="423" xr:uid="{00000000-0005-0000-0000-000033020000}"/>
    <cellStyle name="Comma 5 3 2 2 4" xfId="424" xr:uid="{00000000-0005-0000-0000-000034020000}"/>
    <cellStyle name="Comma 5 3 2 3" xfId="425" xr:uid="{00000000-0005-0000-0000-000035020000}"/>
    <cellStyle name="Comma 5 3 2 3 2" xfId="426" xr:uid="{00000000-0005-0000-0000-000036020000}"/>
    <cellStyle name="Comma 5 3 2 3 3" xfId="427" xr:uid="{00000000-0005-0000-0000-000037020000}"/>
    <cellStyle name="Comma 5 3 2 4" xfId="428" xr:uid="{00000000-0005-0000-0000-000038020000}"/>
    <cellStyle name="Comma 5 3 2 5" xfId="429" xr:uid="{00000000-0005-0000-0000-000039020000}"/>
    <cellStyle name="Comma 5 3 3" xfId="430" xr:uid="{00000000-0005-0000-0000-00003A020000}"/>
    <cellStyle name="Comma 5 3 3 2" xfId="431" xr:uid="{00000000-0005-0000-0000-00003B020000}"/>
    <cellStyle name="Comma 5 3 3 2 2" xfId="432" xr:uid="{00000000-0005-0000-0000-00003C020000}"/>
    <cellStyle name="Comma 5 3 3 2 3" xfId="433" xr:uid="{00000000-0005-0000-0000-00003D020000}"/>
    <cellStyle name="Comma 5 3 3 3" xfId="434" xr:uid="{00000000-0005-0000-0000-00003E020000}"/>
    <cellStyle name="Comma 5 3 3 4" xfId="435" xr:uid="{00000000-0005-0000-0000-00003F020000}"/>
    <cellStyle name="Comma 5 3 4" xfId="436" xr:uid="{00000000-0005-0000-0000-000040020000}"/>
    <cellStyle name="Comma 5 3 4 2" xfId="437" xr:uid="{00000000-0005-0000-0000-000041020000}"/>
    <cellStyle name="Comma 5 3 4 3" xfId="438" xr:uid="{00000000-0005-0000-0000-000042020000}"/>
    <cellStyle name="Comma 5 3 5" xfId="439" xr:uid="{00000000-0005-0000-0000-000043020000}"/>
    <cellStyle name="Comma 5 3 6" xfId="440" xr:uid="{00000000-0005-0000-0000-000044020000}"/>
    <cellStyle name="Comma 5 4" xfId="441" xr:uid="{00000000-0005-0000-0000-000045020000}"/>
    <cellStyle name="Comma 5 4 2" xfId="1354" xr:uid="{00000000-0005-0000-0000-000046020000}"/>
    <cellStyle name="Comma 5 5" xfId="442" xr:uid="{00000000-0005-0000-0000-000047020000}"/>
    <cellStyle name="Comma 5 6" xfId="443" xr:uid="{00000000-0005-0000-0000-000048020000}"/>
    <cellStyle name="Comma 5 7" xfId="444" xr:uid="{00000000-0005-0000-0000-000049020000}"/>
    <cellStyle name="Comma 5 7 2" xfId="1355" xr:uid="{00000000-0005-0000-0000-00004A020000}"/>
    <cellStyle name="Comma 5 8" xfId="445" xr:uid="{00000000-0005-0000-0000-00004B020000}"/>
    <cellStyle name="Comma 5 8 2" xfId="1356" xr:uid="{00000000-0005-0000-0000-00004C020000}"/>
    <cellStyle name="Comma 5 9" xfId="446" xr:uid="{00000000-0005-0000-0000-00004D020000}"/>
    <cellStyle name="Comma 5 9 2" xfId="1357" xr:uid="{00000000-0005-0000-0000-00004E020000}"/>
    <cellStyle name="Comma 50" xfId="447" xr:uid="{00000000-0005-0000-0000-00004F020000}"/>
    <cellStyle name="Comma 51" xfId="448" xr:uid="{00000000-0005-0000-0000-000050020000}"/>
    <cellStyle name="Comma 52" xfId="449" xr:uid="{00000000-0005-0000-0000-000051020000}"/>
    <cellStyle name="Comma 53" xfId="450" xr:uid="{00000000-0005-0000-0000-000052020000}"/>
    <cellStyle name="Comma 54" xfId="451" xr:uid="{00000000-0005-0000-0000-000053020000}"/>
    <cellStyle name="Comma 55" xfId="452" xr:uid="{00000000-0005-0000-0000-000054020000}"/>
    <cellStyle name="Comma 56" xfId="1358" xr:uid="{00000000-0005-0000-0000-000055020000}"/>
    <cellStyle name="Comma 57" xfId="1559" xr:uid="{2BB52792-8160-4EC9-BC67-ABDCD4E599DA}"/>
    <cellStyle name="Comma 6" xfId="453" xr:uid="{00000000-0005-0000-0000-000056020000}"/>
    <cellStyle name="Comma 6 10" xfId="454" xr:uid="{00000000-0005-0000-0000-000057020000}"/>
    <cellStyle name="Comma 6 10 2" xfId="455" xr:uid="{00000000-0005-0000-0000-000058020000}"/>
    <cellStyle name="Comma 6 10 3" xfId="1359" xr:uid="{00000000-0005-0000-0000-000059020000}"/>
    <cellStyle name="Comma 6 11" xfId="456" xr:uid="{00000000-0005-0000-0000-00005A020000}"/>
    <cellStyle name="Comma 6 11 2" xfId="457" xr:uid="{00000000-0005-0000-0000-00005B020000}"/>
    <cellStyle name="Comma 6 11 3" xfId="1360" xr:uid="{00000000-0005-0000-0000-00005C020000}"/>
    <cellStyle name="Comma 6 12" xfId="458" xr:uid="{00000000-0005-0000-0000-00005D020000}"/>
    <cellStyle name="Comma 6 12 2" xfId="459" xr:uid="{00000000-0005-0000-0000-00005E020000}"/>
    <cellStyle name="Comma 6 12 3" xfId="1361" xr:uid="{00000000-0005-0000-0000-00005F020000}"/>
    <cellStyle name="Comma 6 13" xfId="460" xr:uid="{00000000-0005-0000-0000-000060020000}"/>
    <cellStyle name="Comma 6 13 2" xfId="461" xr:uid="{00000000-0005-0000-0000-000061020000}"/>
    <cellStyle name="Comma 6 13 3" xfId="1362" xr:uid="{00000000-0005-0000-0000-000062020000}"/>
    <cellStyle name="Comma 6 14" xfId="462" xr:uid="{00000000-0005-0000-0000-000063020000}"/>
    <cellStyle name="Comma 6 14 2" xfId="463" xr:uid="{00000000-0005-0000-0000-000064020000}"/>
    <cellStyle name="Comma 6 14 3" xfId="1363" xr:uid="{00000000-0005-0000-0000-000065020000}"/>
    <cellStyle name="Comma 6 15" xfId="464" xr:uid="{00000000-0005-0000-0000-000066020000}"/>
    <cellStyle name="Comma 6 15 2" xfId="465" xr:uid="{00000000-0005-0000-0000-000067020000}"/>
    <cellStyle name="Comma 6 15 2 2" xfId="1364" xr:uid="{00000000-0005-0000-0000-000068020000}"/>
    <cellStyle name="Comma 6 15 3" xfId="1365" xr:uid="{00000000-0005-0000-0000-000069020000}"/>
    <cellStyle name="Comma 6 16" xfId="466" xr:uid="{00000000-0005-0000-0000-00006A020000}"/>
    <cellStyle name="Comma 6 16 2" xfId="467" xr:uid="{00000000-0005-0000-0000-00006B020000}"/>
    <cellStyle name="Comma 6 16 3" xfId="1366" xr:uid="{00000000-0005-0000-0000-00006C020000}"/>
    <cellStyle name="Comma 6 17" xfId="468" xr:uid="{00000000-0005-0000-0000-00006D020000}"/>
    <cellStyle name="Comma 6 17 2" xfId="469" xr:uid="{00000000-0005-0000-0000-00006E020000}"/>
    <cellStyle name="Comma 6 17 3" xfId="470" xr:uid="{00000000-0005-0000-0000-00006F020000}"/>
    <cellStyle name="Comma 6 17 4" xfId="1367" xr:uid="{00000000-0005-0000-0000-000070020000}"/>
    <cellStyle name="Comma 6 18" xfId="471" xr:uid="{00000000-0005-0000-0000-000071020000}"/>
    <cellStyle name="Comma 6 18 2" xfId="472" xr:uid="{00000000-0005-0000-0000-000072020000}"/>
    <cellStyle name="Comma 6 19" xfId="473" xr:uid="{00000000-0005-0000-0000-000073020000}"/>
    <cellStyle name="Comma 6 19 2" xfId="474" xr:uid="{00000000-0005-0000-0000-000074020000}"/>
    <cellStyle name="Comma 6 2" xfId="475" xr:uid="{00000000-0005-0000-0000-000075020000}"/>
    <cellStyle name="Comma 6 2 2" xfId="476" xr:uid="{00000000-0005-0000-0000-000076020000}"/>
    <cellStyle name="Comma 6 2 2 2" xfId="1368" xr:uid="{00000000-0005-0000-0000-000077020000}"/>
    <cellStyle name="Comma 6 2 3" xfId="477" xr:uid="{00000000-0005-0000-0000-000078020000}"/>
    <cellStyle name="Comma 6 2 3 2" xfId="1369" xr:uid="{00000000-0005-0000-0000-000079020000}"/>
    <cellStyle name="Comma 6 2 4" xfId="478" xr:uid="{00000000-0005-0000-0000-00007A020000}"/>
    <cellStyle name="Comma 6 2 4 2" xfId="1370" xr:uid="{00000000-0005-0000-0000-00007B020000}"/>
    <cellStyle name="Comma 6 2 5" xfId="1371" xr:uid="{00000000-0005-0000-0000-00007C020000}"/>
    <cellStyle name="Comma 6 20" xfId="479" xr:uid="{00000000-0005-0000-0000-00007D020000}"/>
    <cellStyle name="Comma 6 20 2" xfId="480" xr:uid="{00000000-0005-0000-0000-00007E020000}"/>
    <cellStyle name="Comma 6 21" xfId="481" xr:uid="{00000000-0005-0000-0000-00007F020000}"/>
    <cellStyle name="Comma 6 21 2" xfId="482" xr:uid="{00000000-0005-0000-0000-000080020000}"/>
    <cellStyle name="Comma 6 22" xfId="483" xr:uid="{00000000-0005-0000-0000-000081020000}"/>
    <cellStyle name="Comma 6 22 2" xfId="484" xr:uid="{00000000-0005-0000-0000-000082020000}"/>
    <cellStyle name="Comma 6 22 3" xfId="1372" xr:uid="{00000000-0005-0000-0000-000083020000}"/>
    <cellStyle name="Comma 6 23" xfId="485" xr:uid="{00000000-0005-0000-0000-000084020000}"/>
    <cellStyle name="Comma 6 23 2" xfId="486" xr:uid="{00000000-0005-0000-0000-000085020000}"/>
    <cellStyle name="Comma 6 23 3" xfId="1373" xr:uid="{00000000-0005-0000-0000-000086020000}"/>
    <cellStyle name="Comma 6 24" xfId="487" xr:uid="{00000000-0005-0000-0000-000087020000}"/>
    <cellStyle name="Comma 6 25" xfId="488" xr:uid="{00000000-0005-0000-0000-000088020000}"/>
    <cellStyle name="Comma 6 25 2" xfId="1374" xr:uid="{00000000-0005-0000-0000-000089020000}"/>
    <cellStyle name="Comma 6 27" xfId="1552" xr:uid="{00000000-0005-0000-0000-00008A020000}"/>
    <cellStyle name="Comma 6 27 2" xfId="1555" xr:uid="{425C086F-51A8-4E62-A1E9-3846D8C3834C}"/>
    <cellStyle name="Comma 6 3" xfId="489" xr:uid="{00000000-0005-0000-0000-00008B020000}"/>
    <cellStyle name="Comma 6 3 2" xfId="490" xr:uid="{00000000-0005-0000-0000-00008C020000}"/>
    <cellStyle name="Comma 6 3 3" xfId="1375" xr:uid="{00000000-0005-0000-0000-00008D020000}"/>
    <cellStyle name="Comma 6 4" xfId="491" xr:uid="{00000000-0005-0000-0000-00008E020000}"/>
    <cellStyle name="Comma 6 4 2" xfId="492" xr:uid="{00000000-0005-0000-0000-00008F020000}"/>
    <cellStyle name="Comma 6 4 3" xfId="1376" xr:uid="{00000000-0005-0000-0000-000090020000}"/>
    <cellStyle name="Comma 6 5" xfId="493" xr:uid="{00000000-0005-0000-0000-000091020000}"/>
    <cellStyle name="Comma 6 5 2" xfId="494" xr:uid="{00000000-0005-0000-0000-000092020000}"/>
    <cellStyle name="Comma 6 5 3" xfId="1377" xr:uid="{00000000-0005-0000-0000-000093020000}"/>
    <cellStyle name="Comma 6 6" xfId="495" xr:uid="{00000000-0005-0000-0000-000094020000}"/>
    <cellStyle name="Comma 6 6 2" xfId="496" xr:uid="{00000000-0005-0000-0000-000095020000}"/>
    <cellStyle name="Comma 6 6 3" xfId="1378" xr:uid="{00000000-0005-0000-0000-000096020000}"/>
    <cellStyle name="Comma 6 7" xfId="497" xr:uid="{00000000-0005-0000-0000-000097020000}"/>
    <cellStyle name="Comma 6 7 2" xfId="498" xr:uid="{00000000-0005-0000-0000-000098020000}"/>
    <cellStyle name="Comma 6 7 3" xfId="1379" xr:uid="{00000000-0005-0000-0000-000099020000}"/>
    <cellStyle name="Comma 6 8" xfId="499" xr:uid="{00000000-0005-0000-0000-00009A020000}"/>
    <cellStyle name="Comma 6 8 2" xfId="500" xr:uid="{00000000-0005-0000-0000-00009B020000}"/>
    <cellStyle name="Comma 6 8 3" xfId="1380" xr:uid="{00000000-0005-0000-0000-00009C020000}"/>
    <cellStyle name="Comma 6 9" xfId="501" xr:uid="{00000000-0005-0000-0000-00009D020000}"/>
    <cellStyle name="Comma 6 9 2" xfId="502" xr:uid="{00000000-0005-0000-0000-00009E020000}"/>
    <cellStyle name="Comma 6 9 3" xfId="1381" xr:uid="{00000000-0005-0000-0000-00009F020000}"/>
    <cellStyle name="Comma 7" xfId="503" xr:uid="{00000000-0005-0000-0000-0000A0020000}"/>
    <cellStyle name="Comma 7 10" xfId="504" xr:uid="{00000000-0005-0000-0000-0000A1020000}"/>
    <cellStyle name="Comma 7 10 2" xfId="505" xr:uid="{00000000-0005-0000-0000-0000A2020000}"/>
    <cellStyle name="Comma 7 10 3" xfId="1382" xr:uid="{00000000-0005-0000-0000-0000A3020000}"/>
    <cellStyle name="Comma 7 11" xfId="506" xr:uid="{00000000-0005-0000-0000-0000A4020000}"/>
    <cellStyle name="Comma 7 12" xfId="507" xr:uid="{00000000-0005-0000-0000-0000A5020000}"/>
    <cellStyle name="Comma 7 13" xfId="1383" xr:uid="{00000000-0005-0000-0000-0000A6020000}"/>
    <cellStyle name="Comma 7 2" xfId="508" xr:uid="{00000000-0005-0000-0000-0000A7020000}"/>
    <cellStyle name="Comma 7 2 2" xfId="509" xr:uid="{00000000-0005-0000-0000-0000A8020000}"/>
    <cellStyle name="Comma 7 2 2 2" xfId="510" xr:uid="{00000000-0005-0000-0000-0000A9020000}"/>
    <cellStyle name="Comma 7 2 2 3" xfId="511" xr:uid="{00000000-0005-0000-0000-0000AA020000}"/>
    <cellStyle name="Comma 7 2 2 4" xfId="1384" xr:uid="{00000000-0005-0000-0000-0000AB020000}"/>
    <cellStyle name="Comma 7 2 3" xfId="512" xr:uid="{00000000-0005-0000-0000-0000AC020000}"/>
    <cellStyle name="Comma 7 2 4" xfId="513" xr:uid="{00000000-0005-0000-0000-0000AD020000}"/>
    <cellStyle name="Comma 7 2 5" xfId="1385" xr:uid="{00000000-0005-0000-0000-0000AE020000}"/>
    <cellStyle name="Comma 7 3" xfId="514" xr:uid="{00000000-0005-0000-0000-0000AF020000}"/>
    <cellStyle name="Comma 7 3 2" xfId="515" xr:uid="{00000000-0005-0000-0000-0000B0020000}"/>
    <cellStyle name="Comma 7 3 3" xfId="516" xr:uid="{00000000-0005-0000-0000-0000B1020000}"/>
    <cellStyle name="Comma 7 4" xfId="517" xr:uid="{00000000-0005-0000-0000-0000B2020000}"/>
    <cellStyle name="Comma 7 4 2" xfId="518" xr:uid="{00000000-0005-0000-0000-0000B3020000}"/>
    <cellStyle name="Comma 7 5" xfId="519" xr:uid="{00000000-0005-0000-0000-0000B4020000}"/>
    <cellStyle name="Comma 7 5 2" xfId="520" xr:uid="{00000000-0005-0000-0000-0000B5020000}"/>
    <cellStyle name="Comma 7 6" xfId="521" xr:uid="{00000000-0005-0000-0000-0000B6020000}"/>
    <cellStyle name="Comma 7 6 2" xfId="522" xr:uid="{00000000-0005-0000-0000-0000B7020000}"/>
    <cellStyle name="Comma 7 7" xfId="523" xr:uid="{00000000-0005-0000-0000-0000B8020000}"/>
    <cellStyle name="Comma 7 7 2" xfId="524" xr:uid="{00000000-0005-0000-0000-0000B9020000}"/>
    <cellStyle name="Comma 7 7 3" xfId="1386" xr:uid="{00000000-0005-0000-0000-0000BA020000}"/>
    <cellStyle name="Comma 7 8" xfId="525" xr:uid="{00000000-0005-0000-0000-0000BB020000}"/>
    <cellStyle name="Comma 7 8 2" xfId="526" xr:uid="{00000000-0005-0000-0000-0000BC020000}"/>
    <cellStyle name="Comma 7 8 3" xfId="1387" xr:uid="{00000000-0005-0000-0000-0000BD020000}"/>
    <cellStyle name="Comma 7 9" xfId="527" xr:uid="{00000000-0005-0000-0000-0000BE020000}"/>
    <cellStyle name="Comma 7 9 2" xfId="528" xr:uid="{00000000-0005-0000-0000-0000BF020000}"/>
    <cellStyle name="Comma 7 9 3" xfId="1388" xr:uid="{00000000-0005-0000-0000-0000C0020000}"/>
    <cellStyle name="Comma 8" xfId="529" xr:uid="{00000000-0005-0000-0000-0000C1020000}"/>
    <cellStyle name="Comma 8 2" xfId="530" xr:uid="{00000000-0005-0000-0000-0000C2020000}"/>
    <cellStyle name="Comma 8 2 2" xfId="531" xr:uid="{00000000-0005-0000-0000-0000C3020000}"/>
    <cellStyle name="Comma 8 2 3" xfId="532" xr:uid="{00000000-0005-0000-0000-0000C4020000}"/>
    <cellStyle name="Comma 8 3" xfId="533" xr:uid="{00000000-0005-0000-0000-0000C5020000}"/>
    <cellStyle name="Comma 8 4" xfId="534" xr:uid="{00000000-0005-0000-0000-0000C6020000}"/>
    <cellStyle name="Comma 8 5" xfId="1211" xr:uid="{00000000-0005-0000-0000-0000C7020000}"/>
    <cellStyle name="Comma 8 5 2" xfId="1554" xr:uid="{00000000-0005-0000-0000-0000C8020000}"/>
    <cellStyle name="Comma 9" xfId="535" xr:uid="{00000000-0005-0000-0000-0000C9020000}"/>
    <cellStyle name="Comma 9 2" xfId="536" xr:uid="{00000000-0005-0000-0000-0000CA020000}"/>
    <cellStyle name="Comma 9 3" xfId="537" xr:uid="{00000000-0005-0000-0000-0000CB020000}"/>
    <cellStyle name="Comma 9 4" xfId="538" xr:uid="{00000000-0005-0000-0000-0000CC020000}"/>
    <cellStyle name="Comma 9 4 2" xfId="1389" xr:uid="{00000000-0005-0000-0000-0000CD020000}"/>
    <cellStyle name="Comma0" xfId="539" xr:uid="{00000000-0005-0000-0000-0000CE020000}"/>
    <cellStyle name="Currency 2" xfId="540" xr:uid="{00000000-0005-0000-0000-0000CF020000}"/>
    <cellStyle name="Currency 2 2" xfId="541" xr:uid="{00000000-0005-0000-0000-0000D0020000}"/>
    <cellStyle name="Currency 2 2 2" xfId="542" xr:uid="{00000000-0005-0000-0000-0000D1020000}"/>
    <cellStyle name="Currency 2 2 2 2" xfId="543" xr:uid="{00000000-0005-0000-0000-0000D2020000}"/>
    <cellStyle name="Currency 2 2 2 2 2" xfId="544" xr:uid="{00000000-0005-0000-0000-0000D3020000}"/>
    <cellStyle name="Currency 2 2 2 2 3" xfId="545" xr:uid="{00000000-0005-0000-0000-0000D4020000}"/>
    <cellStyle name="Currency 2 2 2 3" xfId="546" xr:uid="{00000000-0005-0000-0000-0000D5020000}"/>
    <cellStyle name="Currency 2 2 2 4" xfId="547" xr:uid="{00000000-0005-0000-0000-0000D6020000}"/>
    <cellStyle name="Currency 2 2 3" xfId="548" xr:uid="{00000000-0005-0000-0000-0000D7020000}"/>
    <cellStyle name="Currency 2 2 3 2" xfId="549" xr:uid="{00000000-0005-0000-0000-0000D8020000}"/>
    <cellStyle name="Currency 2 2 3 3" xfId="550" xr:uid="{00000000-0005-0000-0000-0000D9020000}"/>
    <cellStyle name="Currency 2 2 4" xfId="551" xr:uid="{00000000-0005-0000-0000-0000DA020000}"/>
    <cellStyle name="Currency 2 2 5" xfId="552" xr:uid="{00000000-0005-0000-0000-0000DB020000}"/>
    <cellStyle name="Currency 2 3" xfId="553" xr:uid="{00000000-0005-0000-0000-0000DC020000}"/>
    <cellStyle name="Currency 2 3 2" xfId="554" xr:uid="{00000000-0005-0000-0000-0000DD020000}"/>
    <cellStyle name="Currency 2 3 2 2" xfId="555" xr:uid="{00000000-0005-0000-0000-0000DE020000}"/>
    <cellStyle name="Currency 2 3 2 2 2" xfId="556" xr:uid="{00000000-0005-0000-0000-0000DF020000}"/>
    <cellStyle name="Currency 2 3 2 2 3" xfId="557" xr:uid="{00000000-0005-0000-0000-0000E0020000}"/>
    <cellStyle name="Currency 2 3 2 3" xfId="558" xr:uid="{00000000-0005-0000-0000-0000E1020000}"/>
    <cellStyle name="Currency 2 3 2 4" xfId="559" xr:uid="{00000000-0005-0000-0000-0000E2020000}"/>
    <cellStyle name="Currency 2 3 3" xfId="560" xr:uid="{00000000-0005-0000-0000-0000E3020000}"/>
    <cellStyle name="Currency 2 3 3 2" xfId="561" xr:uid="{00000000-0005-0000-0000-0000E4020000}"/>
    <cellStyle name="Currency 2 3 3 3" xfId="562" xr:uid="{00000000-0005-0000-0000-0000E5020000}"/>
    <cellStyle name="Currency 2 3 4" xfId="563" xr:uid="{00000000-0005-0000-0000-0000E6020000}"/>
    <cellStyle name="Currency 2 3 5" xfId="564" xr:uid="{00000000-0005-0000-0000-0000E7020000}"/>
    <cellStyle name="Currency 2 4" xfId="565" xr:uid="{00000000-0005-0000-0000-0000E8020000}"/>
    <cellStyle name="Currency 2 4 2" xfId="566" xr:uid="{00000000-0005-0000-0000-0000E9020000}"/>
    <cellStyle name="Currency 2 4 2 2" xfId="567" xr:uid="{00000000-0005-0000-0000-0000EA020000}"/>
    <cellStyle name="Currency 2 4 2 2 2" xfId="568" xr:uid="{00000000-0005-0000-0000-0000EB020000}"/>
    <cellStyle name="Currency 2 4 2 2 3" xfId="569" xr:uid="{00000000-0005-0000-0000-0000EC020000}"/>
    <cellStyle name="Currency 2 4 2 3" xfId="570" xr:uid="{00000000-0005-0000-0000-0000ED020000}"/>
    <cellStyle name="Currency 2 4 2 4" xfId="571" xr:uid="{00000000-0005-0000-0000-0000EE020000}"/>
    <cellStyle name="Currency 2 4 3" xfId="572" xr:uid="{00000000-0005-0000-0000-0000EF020000}"/>
    <cellStyle name="Currency 2 4 3 2" xfId="573" xr:uid="{00000000-0005-0000-0000-0000F0020000}"/>
    <cellStyle name="Currency 2 4 3 3" xfId="574" xr:uid="{00000000-0005-0000-0000-0000F1020000}"/>
    <cellStyle name="Currency 2 4 4" xfId="575" xr:uid="{00000000-0005-0000-0000-0000F2020000}"/>
    <cellStyle name="Currency 2 4 5" xfId="576" xr:uid="{00000000-0005-0000-0000-0000F3020000}"/>
    <cellStyle name="Currency 2 5" xfId="577" xr:uid="{00000000-0005-0000-0000-0000F4020000}"/>
    <cellStyle name="Currency 2 5 2" xfId="578" xr:uid="{00000000-0005-0000-0000-0000F5020000}"/>
    <cellStyle name="Currency 2 5 2 2" xfId="579" xr:uid="{00000000-0005-0000-0000-0000F6020000}"/>
    <cellStyle name="Currency 2 5 2 2 2" xfId="580" xr:uid="{00000000-0005-0000-0000-0000F7020000}"/>
    <cellStyle name="Currency 2 5 2 2 3" xfId="581" xr:uid="{00000000-0005-0000-0000-0000F8020000}"/>
    <cellStyle name="Currency 2 5 2 3" xfId="582" xr:uid="{00000000-0005-0000-0000-0000F9020000}"/>
    <cellStyle name="Currency 2 5 2 4" xfId="583" xr:uid="{00000000-0005-0000-0000-0000FA020000}"/>
    <cellStyle name="Currency 2 5 3" xfId="584" xr:uid="{00000000-0005-0000-0000-0000FB020000}"/>
    <cellStyle name="Currency 2 5 3 2" xfId="585" xr:uid="{00000000-0005-0000-0000-0000FC020000}"/>
    <cellStyle name="Currency 2 5 3 3" xfId="586" xr:uid="{00000000-0005-0000-0000-0000FD020000}"/>
    <cellStyle name="Currency 2 5 4" xfId="587" xr:uid="{00000000-0005-0000-0000-0000FE020000}"/>
    <cellStyle name="Currency 2 5 5" xfId="588" xr:uid="{00000000-0005-0000-0000-0000FF020000}"/>
    <cellStyle name="Currency 2 6" xfId="589" xr:uid="{00000000-0005-0000-0000-000000030000}"/>
    <cellStyle name="Currency 2 6 2" xfId="590" xr:uid="{00000000-0005-0000-0000-000001030000}"/>
    <cellStyle name="Currency 2 6 2 2" xfId="591" xr:uid="{00000000-0005-0000-0000-000002030000}"/>
    <cellStyle name="Currency 2 6 2 3" xfId="592" xr:uid="{00000000-0005-0000-0000-000003030000}"/>
    <cellStyle name="Currency 2 6 3" xfId="593" xr:uid="{00000000-0005-0000-0000-000004030000}"/>
    <cellStyle name="Currency 2 6 4" xfId="594" xr:uid="{00000000-0005-0000-0000-000005030000}"/>
    <cellStyle name="Currency 2 7" xfId="595" xr:uid="{00000000-0005-0000-0000-000006030000}"/>
    <cellStyle name="Currency 2 7 2" xfId="596" xr:uid="{00000000-0005-0000-0000-000007030000}"/>
    <cellStyle name="Currency 2 7 3" xfId="597" xr:uid="{00000000-0005-0000-0000-000008030000}"/>
    <cellStyle name="Currency 2 8" xfId="598" xr:uid="{00000000-0005-0000-0000-000009030000}"/>
    <cellStyle name="Currency 2 9" xfId="599" xr:uid="{00000000-0005-0000-0000-00000A030000}"/>
    <cellStyle name="Currency 3" xfId="600" xr:uid="{00000000-0005-0000-0000-00000B030000}"/>
    <cellStyle name="Currency 4" xfId="601" xr:uid="{00000000-0005-0000-0000-00000C030000}"/>
    <cellStyle name="Currency 4 2" xfId="1390" xr:uid="{00000000-0005-0000-0000-00000D030000}"/>
    <cellStyle name="Currency 5" xfId="1391" xr:uid="{00000000-0005-0000-0000-00000E030000}"/>
    <cellStyle name="Currency0" xfId="602" xr:uid="{00000000-0005-0000-0000-00000F030000}"/>
    <cellStyle name="data" xfId="603" xr:uid="{00000000-0005-0000-0000-000010030000}"/>
    <cellStyle name="Date" xfId="604" xr:uid="{00000000-0005-0000-0000-000011030000}"/>
    <cellStyle name="difference" xfId="605" xr:uid="{00000000-0005-0000-0000-000012030000}"/>
    <cellStyle name="difference 2" xfId="1392" xr:uid="{00000000-0005-0000-0000-000013030000}"/>
    <cellStyle name="E&amp;Y House" xfId="606" xr:uid="{00000000-0005-0000-0000-000014030000}"/>
    <cellStyle name="E&amp;Y House 2" xfId="607" xr:uid="{00000000-0005-0000-0000-000015030000}"/>
    <cellStyle name="evenStyle" xfId="608" xr:uid="{00000000-0005-0000-0000-000016030000}"/>
    <cellStyle name="Excel Built-in Comma" xfId="609" xr:uid="{00000000-0005-0000-0000-000017030000}"/>
    <cellStyle name="Excel Built-in Comma [0]" xfId="610" xr:uid="{00000000-0005-0000-0000-000018030000}"/>
    <cellStyle name="Excel Built-in Comma 1" xfId="611" xr:uid="{00000000-0005-0000-0000-000019030000}"/>
    <cellStyle name="Excel Built-in Comma 2" xfId="612" xr:uid="{00000000-0005-0000-0000-00001A030000}"/>
    <cellStyle name="Excel Built-in Comma 3" xfId="613" xr:uid="{00000000-0005-0000-0000-00001B030000}"/>
    <cellStyle name="Excel Built-in Excel Built-in Excel Built-in Excel Built-in Excel Built-in Excel Built-in Excel Built-in Excel Built-in Excel Built-in Excel Built-in Excel Built-in Excel Built-in Excel Built-in Excel Built-in Excel Built-in Excel Built-in Excel Built-in " xfId="614" xr:uid="{00000000-0005-0000-0000-00001C030000}"/>
    <cellStyle name="Excel Built-in Excel Built-in Excel Built-in Excel Built-in Excel Built-in Excel Built-in Excel Built-in Excel Built-in Excel Built-in Excel Built-in Excel Built-in Excel Built-in Excel Built-in Excel Built-in Normal" xfId="615" xr:uid="{00000000-0005-0000-0000-00001D030000}"/>
    <cellStyle name="Excel Built-in Excel Built-in Excel Built-in Excel Built-in Excel Built-in Excel Built-in Excel Built-in Excel Built-in Excel Built-in TableStyleLight1" xfId="616" xr:uid="{00000000-0005-0000-0000-00001E030000}"/>
    <cellStyle name="Excel Built-in Excel Built-in Excel Built-in Excel Built-in Excel Built-in Normal" xfId="617" xr:uid="{00000000-0005-0000-0000-00001F030000}"/>
    <cellStyle name="Excel Built-in Excel Built-in Normal" xfId="618" xr:uid="{00000000-0005-0000-0000-000020030000}"/>
    <cellStyle name="Excel Built-in Normal" xfId="619" xr:uid="{00000000-0005-0000-0000-000021030000}"/>
    <cellStyle name="Excel Built-in Normal 1" xfId="620" xr:uid="{00000000-0005-0000-0000-000022030000}"/>
    <cellStyle name="Excel Built-in Normal 1 2" xfId="621" xr:uid="{00000000-0005-0000-0000-000023030000}"/>
    <cellStyle name="Excel Built-in Normal 2" xfId="622" xr:uid="{00000000-0005-0000-0000-000024030000}"/>
    <cellStyle name="Excel_BuiltIn_Comma" xfId="623" xr:uid="{00000000-0005-0000-0000-000025030000}"/>
    <cellStyle name="Explanatory Text 2" xfId="624" xr:uid="{00000000-0005-0000-0000-000026030000}"/>
    <cellStyle name="Fixed" xfId="625" xr:uid="{00000000-0005-0000-0000-000027030000}"/>
    <cellStyle name="Fond" xfId="626" xr:uid="{00000000-0005-0000-0000-000028030000}"/>
    <cellStyle name="FormSpace" xfId="627" xr:uid="{00000000-0005-0000-0000-000029030000}"/>
    <cellStyle name="FormSpace 2" xfId="1393" xr:uid="{00000000-0005-0000-0000-00002A030000}"/>
    <cellStyle name="Good 2" xfId="628" xr:uid="{00000000-0005-0000-0000-00002B030000}"/>
    <cellStyle name="Grey" xfId="629" xr:uid="{00000000-0005-0000-0000-00002C030000}"/>
    <cellStyle name="Header1" xfId="630" xr:uid="{00000000-0005-0000-0000-00002D030000}"/>
    <cellStyle name="Header2" xfId="631" xr:uid="{00000000-0005-0000-0000-00002E030000}"/>
    <cellStyle name="Heading" xfId="632" xr:uid="{00000000-0005-0000-0000-00002F030000}"/>
    <cellStyle name="Heading 1 2" xfId="633" xr:uid="{00000000-0005-0000-0000-000030030000}"/>
    <cellStyle name="Heading 2 2" xfId="634" xr:uid="{00000000-0005-0000-0000-000031030000}"/>
    <cellStyle name="Heading 3 2" xfId="635" xr:uid="{00000000-0005-0000-0000-000032030000}"/>
    <cellStyle name="Heading 4 2" xfId="636" xr:uid="{00000000-0005-0000-0000-000033030000}"/>
    <cellStyle name="Heading1" xfId="637" xr:uid="{00000000-0005-0000-0000-000034030000}"/>
    <cellStyle name="Heading1 1" xfId="638" xr:uid="{00000000-0005-0000-0000-000035030000}"/>
    <cellStyle name="Hyperlink" xfId="1208" builtinId="8"/>
    <cellStyle name="Hyperlink 2" xfId="639" xr:uid="{00000000-0005-0000-0000-000037030000}"/>
    <cellStyle name="Hyperlink 3" xfId="640" xr:uid="{00000000-0005-0000-0000-000038030000}"/>
    <cellStyle name="Input [yellow]" xfId="641" xr:uid="{00000000-0005-0000-0000-000039030000}"/>
    <cellStyle name="Input 2" xfId="642" xr:uid="{00000000-0005-0000-0000-00003A030000}"/>
    <cellStyle name="Inverse" xfId="643" xr:uid="{00000000-0005-0000-0000-00003B030000}"/>
    <cellStyle name="Linked" xfId="644" xr:uid="{00000000-0005-0000-0000-00003C030000}"/>
    <cellStyle name="Linked Cell 2" xfId="645" xr:uid="{00000000-0005-0000-0000-00003D030000}"/>
    <cellStyle name="M" xfId="646" xr:uid="{00000000-0005-0000-0000-00003E030000}"/>
    <cellStyle name="MAZ_Body" xfId="647" xr:uid="{00000000-0005-0000-0000-00003F030000}"/>
    <cellStyle name="Millares [0]_Diablos" xfId="648" xr:uid="{00000000-0005-0000-0000-000040030000}"/>
    <cellStyle name="Millares_Diablos" xfId="649" xr:uid="{00000000-0005-0000-0000-000041030000}"/>
    <cellStyle name="Milliers [0]_!!!GO" xfId="650" xr:uid="{00000000-0005-0000-0000-000042030000}"/>
    <cellStyle name="Milliers_!!!GO" xfId="651" xr:uid="{00000000-0005-0000-0000-000043030000}"/>
    <cellStyle name="Moneda [0]_Diablos" xfId="652" xr:uid="{00000000-0005-0000-0000-000044030000}"/>
    <cellStyle name="Moneda_Diablos" xfId="653" xr:uid="{00000000-0005-0000-0000-000045030000}"/>
    <cellStyle name="Monétaire [0]_!!!GO" xfId="654" xr:uid="{00000000-0005-0000-0000-000046030000}"/>
    <cellStyle name="Monétaire_!!!GO" xfId="655" xr:uid="{00000000-0005-0000-0000-000047030000}"/>
    <cellStyle name="Neutral 2" xfId="656" xr:uid="{00000000-0005-0000-0000-000048030000}"/>
    <cellStyle name="New" xfId="657" xr:uid="{00000000-0005-0000-0000-000049030000}"/>
    <cellStyle name="Normal" xfId="0" builtinId="0"/>
    <cellStyle name="Normal - Style1" xfId="658" xr:uid="{00000000-0005-0000-0000-00004B030000}"/>
    <cellStyle name="Normal 10" xfId="659" xr:uid="{00000000-0005-0000-0000-00004C030000}"/>
    <cellStyle name="Normal 10 17 2" xfId="660" xr:uid="{00000000-0005-0000-0000-00004D030000}"/>
    <cellStyle name="Normal 10 17 2 2" xfId="1394" xr:uid="{00000000-0005-0000-0000-00004E030000}"/>
    <cellStyle name="Normal 10 2" xfId="661" xr:uid="{00000000-0005-0000-0000-00004F030000}"/>
    <cellStyle name="Normal 10 2 2" xfId="662" xr:uid="{00000000-0005-0000-0000-000050030000}"/>
    <cellStyle name="Normal 10 2 2 2" xfId="1395" xr:uid="{00000000-0005-0000-0000-000051030000}"/>
    <cellStyle name="Normal 10 2 3" xfId="1396" xr:uid="{00000000-0005-0000-0000-000052030000}"/>
    <cellStyle name="Normal 10 3" xfId="663" xr:uid="{00000000-0005-0000-0000-000053030000}"/>
    <cellStyle name="Normal 10 3 2" xfId="1397" xr:uid="{00000000-0005-0000-0000-000054030000}"/>
    <cellStyle name="Normal 10 4" xfId="1398" xr:uid="{00000000-0005-0000-0000-000055030000}"/>
    <cellStyle name="Normal 11" xfId="664" xr:uid="{00000000-0005-0000-0000-000056030000}"/>
    <cellStyle name="Normal 11 2" xfId="665" xr:uid="{00000000-0005-0000-0000-000057030000}"/>
    <cellStyle name="Normal 11 2 2" xfId="1399" xr:uid="{00000000-0005-0000-0000-000058030000}"/>
    <cellStyle name="Normal 11 3" xfId="1400" xr:uid="{00000000-0005-0000-0000-000059030000}"/>
    <cellStyle name="Normal 117" xfId="666" xr:uid="{00000000-0005-0000-0000-00005A030000}"/>
    <cellStyle name="Normal 117 2" xfId="1401" xr:uid="{00000000-0005-0000-0000-00005B030000}"/>
    <cellStyle name="Normal 119" xfId="667" xr:uid="{00000000-0005-0000-0000-00005C030000}"/>
    <cellStyle name="Normal 119 2" xfId="1402" xr:uid="{00000000-0005-0000-0000-00005D030000}"/>
    <cellStyle name="Normal 12" xfId="668" xr:uid="{00000000-0005-0000-0000-00005E030000}"/>
    <cellStyle name="Normal 12 2" xfId="669" xr:uid="{00000000-0005-0000-0000-00005F030000}"/>
    <cellStyle name="Normal 12 2 2" xfId="1403" xr:uid="{00000000-0005-0000-0000-000060030000}"/>
    <cellStyle name="Normal 12 3" xfId="1404" xr:uid="{00000000-0005-0000-0000-000061030000}"/>
    <cellStyle name="Normal 120" xfId="670" xr:uid="{00000000-0005-0000-0000-000062030000}"/>
    <cellStyle name="Normal 120 2" xfId="1405" xr:uid="{00000000-0005-0000-0000-000063030000}"/>
    <cellStyle name="Normal 121" xfId="671" xr:uid="{00000000-0005-0000-0000-000064030000}"/>
    <cellStyle name="Normal 121 2" xfId="1406" xr:uid="{00000000-0005-0000-0000-000065030000}"/>
    <cellStyle name="Normal 122" xfId="672" xr:uid="{00000000-0005-0000-0000-000066030000}"/>
    <cellStyle name="Normal 122 2" xfId="1407" xr:uid="{00000000-0005-0000-0000-000067030000}"/>
    <cellStyle name="Normal 123" xfId="673" xr:uid="{00000000-0005-0000-0000-000068030000}"/>
    <cellStyle name="Normal 123 2" xfId="1408" xr:uid="{00000000-0005-0000-0000-000069030000}"/>
    <cellStyle name="Normal 124" xfId="674" xr:uid="{00000000-0005-0000-0000-00006A030000}"/>
    <cellStyle name="Normal 124 2" xfId="1409" xr:uid="{00000000-0005-0000-0000-00006B030000}"/>
    <cellStyle name="Normal 13" xfId="675" xr:uid="{00000000-0005-0000-0000-00006C030000}"/>
    <cellStyle name="Normal 13 2" xfId="1410" xr:uid="{00000000-0005-0000-0000-00006D030000}"/>
    <cellStyle name="Normal 130" xfId="676" xr:uid="{00000000-0005-0000-0000-00006E030000}"/>
    <cellStyle name="Normal 130 2" xfId="1411" xr:uid="{00000000-0005-0000-0000-00006F030000}"/>
    <cellStyle name="Normal 131" xfId="677" xr:uid="{00000000-0005-0000-0000-000070030000}"/>
    <cellStyle name="Normal 131 2" xfId="1412" xr:uid="{00000000-0005-0000-0000-000071030000}"/>
    <cellStyle name="Normal 132" xfId="678" xr:uid="{00000000-0005-0000-0000-000072030000}"/>
    <cellStyle name="Normal 132 2" xfId="1413" xr:uid="{00000000-0005-0000-0000-000073030000}"/>
    <cellStyle name="Normal 133" xfId="679" xr:uid="{00000000-0005-0000-0000-000074030000}"/>
    <cellStyle name="Normal 133 2" xfId="1414" xr:uid="{00000000-0005-0000-0000-000075030000}"/>
    <cellStyle name="Normal 14" xfId="680" xr:uid="{00000000-0005-0000-0000-000076030000}"/>
    <cellStyle name="Normal 14 2" xfId="681" xr:uid="{00000000-0005-0000-0000-000077030000}"/>
    <cellStyle name="Normal 14 2 2" xfId="1415" xr:uid="{00000000-0005-0000-0000-000078030000}"/>
    <cellStyle name="Normal 14 2 4" xfId="682" xr:uid="{00000000-0005-0000-0000-000079030000}"/>
    <cellStyle name="Normal 14 2 4 2" xfId="1416" xr:uid="{00000000-0005-0000-0000-00007A030000}"/>
    <cellStyle name="Normal 14 3" xfId="1417" xr:uid="{00000000-0005-0000-0000-00007B030000}"/>
    <cellStyle name="Normal 15" xfId="683" xr:uid="{00000000-0005-0000-0000-00007C030000}"/>
    <cellStyle name="Normal 15 2" xfId="684" xr:uid="{00000000-0005-0000-0000-00007D030000}"/>
    <cellStyle name="Normal 15 2 2" xfId="1418" xr:uid="{00000000-0005-0000-0000-00007E030000}"/>
    <cellStyle name="Normal 15 3" xfId="1419" xr:uid="{00000000-0005-0000-0000-00007F030000}"/>
    <cellStyle name="Normal 16" xfId="685" xr:uid="{00000000-0005-0000-0000-000080030000}"/>
    <cellStyle name="Normal 16 2" xfId="1420" xr:uid="{00000000-0005-0000-0000-000081030000}"/>
    <cellStyle name="Normal 17" xfId="686" xr:uid="{00000000-0005-0000-0000-000082030000}"/>
    <cellStyle name="Normal 17 2" xfId="687" xr:uid="{00000000-0005-0000-0000-000083030000}"/>
    <cellStyle name="Normal 17 2 2" xfId="1421" xr:uid="{00000000-0005-0000-0000-000084030000}"/>
    <cellStyle name="Normal 18" xfId="688" xr:uid="{00000000-0005-0000-0000-000085030000}"/>
    <cellStyle name="Normal 18 2" xfId="689" xr:uid="{00000000-0005-0000-0000-000086030000}"/>
    <cellStyle name="Normal 18 2 2" xfId="1422" xr:uid="{00000000-0005-0000-0000-000087030000}"/>
    <cellStyle name="Normal 19" xfId="690" xr:uid="{00000000-0005-0000-0000-000088030000}"/>
    <cellStyle name="Normal 2" xfId="691" xr:uid="{00000000-0005-0000-0000-000089030000}"/>
    <cellStyle name="Normal 2 10" xfId="692" xr:uid="{00000000-0005-0000-0000-00008A030000}"/>
    <cellStyle name="Normal 2 10 2" xfId="1423" xr:uid="{00000000-0005-0000-0000-00008B030000}"/>
    <cellStyle name="Normal 2 11" xfId="693" xr:uid="{00000000-0005-0000-0000-00008C030000}"/>
    <cellStyle name="Normal 2 11 2" xfId="1424" xr:uid="{00000000-0005-0000-0000-00008D030000}"/>
    <cellStyle name="Normal 2 12" xfId="694" xr:uid="{00000000-0005-0000-0000-00008E030000}"/>
    <cellStyle name="Normal 2 12 2" xfId="1425" xr:uid="{00000000-0005-0000-0000-00008F030000}"/>
    <cellStyle name="Normal 2 13" xfId="695" xr:uid="{00000000-0005-0000-0000-000090030000}"/>
    <cellStyle name="Normal 2 13 2" xfId="1426" xr:uid="{00000000-0005-0000-0000-000091030000}"/>
    <cellStyle name="Normal 2 14" xfId="696" xr:uid="{00000000-0005-0000-0000-000092030000}"/>
    <cellStyle name="Normal 2 14 2" xfId="1427" xr:uid="{00000000-0005-0000-0000-000093030000}"/>
    <cellStyle name="Normal 2 15" xfId="697" xr:uid="{00000000-0005-0000-0000-000094030000}"/>
    <cellStyle name="Normal 2 15 2" xfId="1428" xr:uid="{00000000-0005-0000-0000-000095030000}"/>
    <cellStyle name="Normal 2 16" xfId="698" xr:uid="{00000000-0005-0000-0000-000096030000}"/>
    <cellStyle name="Normal 2 16 2" xfId="1429" xr:uid="{00000000-0005-0000-0000-000097030000}"/>
    <cellStyle name="Normal 2 17" xfId="699" xr:uid="{00000000-0005-0000-0000-000098030000}"/>
    <cellStyle name="Normal 2 17 2" xfId="1430" xr:uid="{00000000-0005-0000-0000-000099030000}"/>
    <cellStyle name="Normal 2 18" xfId="1431" xr:uid="{00000000-0005-0000-0000-00009A030000}"/>
    <cellStyle name="Normal 2 19" xfId="1558" xr:uid="{2BCB1E21-3819-436D-8D26-13DAA64FBD98}"/>
    <cellStyle name="Normal 2 2" xfId="700" xr:uid="{00000000-0005-0000-0000-00009B030000}"/>
    <cellStyle name="Normal 2 2 2" xfId="701" xr:uid="{00000000-0005-0000-0000-00009C030000}"/>
    <cellStyle name="Normal 2 2 2 2" xfId="702" xr:uid="{00000000-0005-0000-0000-00009D030000}"/>
    <cellStyle name="Normal 2 2 2 2 2" xfId="1432" xr:uid="{00000000-0005-0000-0000-00009E030000}"/>
    <cellStyle name="Normal 2 2 2 3" xfId="703" xr:uid="{00000000-0005-0000-0000-00009F030000}"/>
    <cellStyle name="Normal 2 2 2 3 2" xfId="704" xr:uid="{00000000-0005-0000-0000-0000A0030000}"/>
    <cellStyle name="Normal 2 2 2 4" xfId="705" xr:uid="{00000000-0005-0000-0000-0000A1030000}"/>
    <cellStyle name="Normal 2 2 2 5" xfId="1433" xr:uid="{00000000-0005-0000-0000-0000A2030000}"/>
    <cellStyle name="Normal 2 2 3" xfId="706" xr:uid="{00000000-0005-0000-0000-0000A3030000}"/>
    <cellStyle name="Normal 2 2 4" xfId="707" xr:uid="{00000000-0005-0000-0000-0000A4030000}"/>
    <cellStyle name="Normal 2 2 4 2" xfId="1434" xr:uid="{00000000-0005-0000-0000-0000A5030000}"/>
    <cellStyle name="Normal 2 2 5" xfId="708" xr:uid="{00000000-0005-0000-0000-0000A6030000}"/>
    <cellStyle name="Normal 2 2 5 2" xfId="1435" xr:uid="{00000000-0005-0000-0000-0000A7030000}"/>
    <cellStyle name="Normal 2 2 6" xfId="1214" xr:uid="{00000000-0005-0000-0000-0000A8030000}"/>
    <cellStyle name="Normal 2 3" xfId="709" xr:uid="{00000000-0005-0000-0000-0000A9030000}"/>
    <cellStyle name="Normal 2 3 10" xfId="710" xr:uid="{00000000-0005-0000-0000-0000AA030000}"/>
    <cellStyle name="Normal 2 3 10 2" xfId="1436" xr:uid="{00000000-0005-0000-0000-0000AB030000}"/>
    <cellStyle name="Normal 2 3 16" xfId="711" xr:uid="{00000000-0005-0000-0000-0000AC030000}"/>
    <cellStyle name="Normal 2 3 16 2" xfId="1437" xr:uid="{00000000-0005-0000-0000-0000AD030000}"/>
    <cellStyle name="Normal 2 3 2" xfId="712" xr:uid="{00000000-0005-0000-0000-0000AE030000}"/>
    <cellStyle name="Normal 2 3 3" xfId="713" xr:uid="{00000000-0005-0000-0000-0000AF030000}"/>
    <cellStyle name="Normal 2 3 3 2" xfId="1438" xr:uid="{00000000-0005-0000-0000-0000B0030000}"/>
    <cellStyle name="Normal 2 3 4" xfId="714" xr:uid="{00000000-0005-0000-0000-0000B1030000}"/>
    <cellStyle name="Normal 2 3 4 2" xfId="1439" xr:uid="{00000000-0005-0000-0000-0000B2030000}"/>
    <cellStyle name="Normal 2 3 5" xfId="715" xr:uid="{00000000-0005-0000-0000-0000B3030000}"/>
    <cellStyle name="Normal 2 3 5 2" xfId="1440" xr:uid="{00000000-0005-0000-0000-0000B4030000}"/>
    <cellStyle name="Normal 2 3 6" xfId="716" xr:uid="{00000000-0005-0000-0000-0000B5030000}"/>
    <cellStyle name="Normal 2 3 6 2" xfId="1441" xr:uid="{00000000-0005-0000-0000-0000B6030000}"/>
    <cellStyle name="Normal 2 3 8" xfId="717" xr:uid="{00000000-0005-0000-0000-0000B7030000}"/>
    <cellStyle name="Normal 2 3 8 2" xfId="1442" xr:uid="{00000000-0005-0000-0000-0000B8030000}"/>
    <cellStyle name="Normal 2 4" xfId="718" xr:uid="{00000000-0005-0000-0000-0000B9030000}"/>
    <cellStyle name="Normal 2 4 2" xfId="719" xr:uid="{00000000-0005-0000-0000-0000BA030000}"/>
    <cellStyle name="Normal 2 4 3" xfId="1443" xr:uid="{00000000-0005-0000-0000-0000BB030000}"/>
    <cellStyle name="Normal 2 5" xfId="720" xr:uid="{00000000-0005-0000-0000-0000BC030000}"/>
    <cellStyle name="Normal 2 5 2" xfId="721" xr:uid="{00000000-0005-0000-0000-0000BD030000}"/>
    <cellStyle name="Normal 2 5 3" xfId="1444" xr:uid="{00000000-0005-0000-0000-0000BE030000}"/>
    <cellStyle name="Normal 2 6" xfId="722" xr:uid="{00000000-0005-0000-0000-0000BF030000}"/>
    <cellStyle name="Normal 2 7" xfId="723" xr:uid="{00000000-0005-0000-0000-0000C0030000}"/>
    <cellStyle name="Normal 2 8" xfId="724" xr:uid="{00000000-0005-0000-0000-0000C1030000}"/>
    <cellStyle name="Normal 2 8 2" xfId="725" xr:uid="{00000000-0005-0000-0000-0000C2030000}"/>
    <cellStyle name="Normal 2 9" xfId="726" xr:uid="{00000000-0005-0000-0000-0000C3030000}"/>
    <cellStyle name="Normal 2 9 2" xfId="727" xr:uid="{00000000-0005-0000-0000-0000C4030000}"/>
    <cellStyle name="Normal 2 9 2 2" xfId="1445" xr:uid="{00000000-0005-0000-0000-0000C5030000}"/>
    <cellStyle name="Normal 2 9 3" xfId="1446" xr:uid="{00000000-0005-0000-0000-0000C6030000}"/>
    <cellStyle name="Normal 2_Jan - May Monthly Expense Report 2009" xfId="728" xr:uid="{00000000-0005-0000-0000-0000C7030000}"/>
    <cellStyle name="Normal 20" xfId="729" xr:uid="{00000000-0005-0000-0000-0000C8030000}"/>
    <cellStyle name="Normal 20 2" xfId="1447" xr:uid="{00000000-0005-0000-0000-0000C9030000}"/>
    <cellStyle name="Normal 21" xfId="730" xr:uid="{00000000-0005-0000-0000-0000CA030000}"/>
    <cellStyle name="Normal 21 2" xfId="731" xr:uid="{00000000-0005-0000-0000-0000CB030000}"/>
    <cellStyle name="Normal 21 2 2" xfId="1448" xr:uid="{00000000-0005-0000-0000-0000CC030000}"/>
    <cellStyle name="Normal 21 3" xfId="1449" xr:uid="{00000000-0005-0000-0000-0000CD030000}"/>
    <cellStyle name="Normal 22" xfId="732" xr:uid="{00000000-0005-0000-0000-0000CE030000}"/>
    <cellStyle name="Normal 22 2" xfId="1450" xr:uid="{00000000-0005-0000-0000-0000CF030000}"/>
    <cellStyle name="Normal 23" xfId="733" xr:uid="{00000000-0005-0000-0000-0000D0030000}"/>
    <cellStyle name="Normal 23 2" xfId="1451" xr:uid="{00000000-0005-0000-0000-0000D1030000}"/>
    <cellStyle name="Normal 24" xfId="734" xr:uid="{00000000-0005-0000-0000-0000D2030000}"/>
    <cellStyle name="Normal 24 2" xfId="735" xr:uid="{00000000-0005-0000-0000-0000D3030000}"/>
    <cellStyle name="Normal 24 2 2" xfId="1452" xr:uid="{00000000-0005-0000-0000-0000D4030000}"/>
    <cellStyle name="Normal 24 3" xfId="1453" xr:uid="{00000000-0005-0000-0000-0000D5030000}"/>
    <cellStyle name="Normal 25" xfId="736" xr:uid="{00000000-0005-0000-0000-0000D6030000}"/>
    <cellStyle name="Normal 26" xfId="737" xr:uid="{00000000-0005-0000-0000-0000D7030000}"/>
    <cellStyle name="Normal 26 2" xfId="1454" xr:uid="{00000000-0005-0000-0000-0000D8030000}"/>
    <cellStyle name="Normal 27" xfId="738" xr:uid="{00000000-0005-0000-0000-0000D9030000}"/>
    <cellStyle name="Normal 27 2" xfId="1455" xr:uid="{00000000-0005-0000-0000-0000DA030000}"/>
    <cellStyle name="Normal 28" xfId="739" xr:uid="{00000000-0005-0000-0000-0000DB030000}"/>
    <cellStyle name="Normal 29" xfId="740" xr:uid="{00000000-0005-0000-0000-0000DC030000}"/>
    <cellStyle name="Normal 29 2" xfId="1456" xr:uid="{00000000-0005-0000-0000-0000DD030000}"/>
    <cellStyle name="Normal 3" xfId="741" xr:uid="{00000000-0005-0000-0000-0000DE030000}"/>
    <cellStyle name="Normal 3 10" xfId="742" xr:uid="{00000000-0005-0000-0000-0000DF030000}"/>
    <cellStyle name="Normal 3 10 2" xfId="743" xr:uid="{00000000-0005-0000-0000-0000E0030000}"/>
    <cellStyle name="Normal 3 10 3" xfId="744" xr:uid="{00000000-0005-0000-0000-0000E1030000}"/>
    <cellStyle name="Normal 3 11" xfId="745" xr:uid="{00000000-0005-0000-0000-0000E2030000}"/>
    <cellStyle name="Normal 3 12" xfId="746" xr:uid="{00000000-0005-0000-0000-0000E3030000}"/>
    <cellStyle name="Normal 3 13" xfId="1457" xr:uid="{00000000-0005-0000-0000-0000E4030000}"/>
    <cellStyle name="Normal 3 14" xfId="747" xr:uid="{00000000-0005-0000-0000-0000E5030000}"/>
    <cellStyle name="Normal 3 14 2" xfId="1458" xr:uid="{00000000-0005-0000-0000-0000E6030000}"/>
    <cellStyle name="Normal 3 2" xfId="748" xr:uid="{00000000-0005-0000-0000-0000E7030000}"/>
    <cellStyle name="Normal 3 2 2" xfId="749" xr:uid="{00000000-0005-0000-0000-0000E8030000}"/>
    <cellStyle name="Normal 3 2 2 2" xfId="1459" xr:uid="{00000000-0005-0000-0000-0000E9030000}"/>
    <cellStyle name="Normal 3 2 3" xfId="750" xr:uid="{00000000-0005-0000-0000-0000EA030000}"/>
    <cellStyle name="Normal 3 2 3 2" xfId="1460" xr:uid="{00000000-0005-0000-0000-0000EB030000}"/>
    <cellStyle name="Normal 3 2 4" xfId="1461" xr:uid="{00000000-0005-0000-0000-0000EC030000}"/>
    <cellStyle name="Normal 3 3" xfId="751" xr:uid="{00000000-0005-0000-0000-0000ED030000}"/>
    <cellStyle name="Normal 3 3 2" xfId="752" xr:uid="{00000000-0005-0000-0000-0000EE030000}"/>
    <cellStyle name="Normal 3 3 2 2" xfId="753" xr:uid="{00000000-0005-0000-0000-0000EF030000}"/>
    <cellStyle name="Normal 3 3 2 2 2" xfId="754" xr:uid="{00000000-0005-0000-0000-0000F0030000}"/>
    <cellStyle name="Normal 3 3 2 2 2 2" xfId="755" xr:uid="{00000000-0005-0000-0000-0000F1030000}"/>
    <cellStyle name="Normal 3 3 2 2 2 3" xfId="756" xr:uid="{00000000-0005-0000-0000-0000F2030000}"/>
    <cellStyle name="Normal 3 3 2 2 3" xfId="757" xr:uid="{00000000-0005-0000-0000-0000F3030000}"/>
    <cellStyle name="Normal 3 3 2 2 4" xfId="758" xr:uid="{00000000-0005-0000-0000-0000F4030000}"/>
    <cellStyle name="Normal 3 3 2 3" xfId="759" xr:uid="{00000000-0005-0000-0000-0000F5030000}"/>
    <cellStyle name="Normal 3 3 2 3 2" xfId="760" xr:uid="{00000000-0005-0000-0000-0000F6030000}"/>
    <cellStyle name="Normal 3 3 2 3 3" xfId="761" xr:uid="{00000000-0005-0000-0000-0000F7030000}"/>
    <cellStyle name="Normal 3 3 2 4" xfId="762" xr:uid="{00000000-0005-0000-0000-0000F8030000}"/>
    <cellStyle name="Normal 3 3 2 5" xfId="763" xr:uid="{00000000-0005-0000-0000-0000F9030000}"/>
    <cellStyle name="Normal 3 3 3" xfId="764" xr:uid="{00000000-0005-0000-0000-0000FA030000}"/>
    <cellStyle name="Normal 3 3 3 2" xfId="765" xr:uid="{00000000-0005-0000-0000-0000FB030000}"/>
    <cellStyle name="Normal 3 3 3 2 2" xfId="766" xr:uid="{00000000-0005-0000-0000-0000FC030000}"/>
    <cellStyle name="Normal 3 3 3 2 3" xfId="767" xr:uid="{00000000-0005-0000-0000-0000FD030000}"/>
    <cellStyle name="Normal 3 3 3 3" xfId="768" xr:uid="{00000000-0005-0000-0000-0000FE030000}"/>
    <cellStyle name="Normal 3 3 3 4" xfId="769" xr:uid="{00000000-0005-0000-0000-0000FF030000}"/>
    <cellStyle name="Normal 3 3 4" xfId="770" xr:uid="{00000000-0005-0000-0000-000000040000}"/>
    <cellStyle name="Normal 3 3 4 2" xfId="771" xr:uid="{00000000-0005-0000-0000-000001040000}"/>
    <cellStyle name="Normal 3 3 4 3" xfId="772" xr:uid="{00000000-0005-0000-0000-000002040000}"/>
    <cellStyle name="Normal 3 3 5" xfId="773" xr:uid="{00000000-0005-0000-0000-000003040000}"/>
    <cellStyle name="Normal 3 3 6" xfId="774" xr:uid="{00000000-0005-0000-0000-000004040000}"/>
    <cellStyle name="Normal 3 3 7" xfId="1462" xr:uid="{00000000-0005-0000-0000-000005040000}"/>
    <cellStyle name="Normal 3 4" xfId="775" xr:uid="{00000000-0005-0000-0000-000006040000}"/>
    <cellStyle name="Normal 3 4 2" xfId="776" xr:uid="{00000000-0005-0000-0000-000007040000}"/>
    <cellStyle name="Normal 3 4 2 2" xfId="777" xr:uid="{00000000-0005-0000-0000-000008040000}"/>
    <cellStyle name="Normal 3 4 2 2 2" xfId="778" xr:uid="{00000000-0005-0000-0000-000009040000}"/>
    <cellStyle name="Normal 3 4 2 2 2 2" xfId="779" xr:uid="{00000000-0005-0000-0000-00000A040000}"/>
    <cellStyle name="Normal 3 4 2 2 2 3" xfId="780" xr:uid="{00000000-0005-0000-0000-00000B040000}"/>
    <cellStyle name="Normal 3 4 2 2 3" xfId="781" xr:uid="{00000000-0005-0000-0000-00000C040000}"/>
    <cellStyle name="Normal 3 4 2 2 4" xfId="782" xr:uid="{00000000-0005-0000-0000-00000D040000}"/>
    <cellStyle name="Normal 3 4 2 3" xfId="783" xr:uid="{00000000-0005-0000-0000-00000E040000}"/>
    <cellStyle name="Normal 3 4 2 3 2" xfId="784" xr:uid="{00000000-0005-0000-0000-00000F040000}"/>
    <cellStyle name="Normal 3 4 2 3 3" xfId="785" xr:uid="{00000000-0005-0000-0000-000010040000}"/>
    <cellStyle name="Normal 3 4 2 4" xfId="786" xr:uid="{00000000-0005-0000-0000-000011040000}"/>
    <cellStyle name="Normal 3 4 2 5" xfId="787" xr:uid="{00000000-0005-0000-0000-000012040000}"/>
    <cellStyle name="Normal 3 4 3" xfId="788" xr:uid="{00000000-0005-0000-0000-000013040000}"/>
    <cellStyle name="Normal 3 4 3 2" xfId="789" xr:uid="{00000000-0005-0000-0000-000014040000}"/>
    <cellStyle name="Normal 3 4 3 2 2" xfId="790" xr:uid="{00000000-0005-0000-0000-000015040000}"/>
    <cellStyle name="Normal 3 4 3 2 3" xfId="791" xr:uid="{00000000-0005-0000-0000-000016040000}"/>
    <cellStyle name="Normal 3 4 3 3" xfId="792" xr:uid="{00000000-0005-0000-0000-000017040000}"/>
    <cellStyle name="Normal 3 4 3 4" xfId="793" xr:uid="{00000000-0005-0000-0000-000018040000}"/>
    <cellStyle name="Normal 3 4 4" xfId="794" xr:uid="{00000000-0005-0000-0000-000019040000}"/>
    <cellStyle name="Normal 3 4 4 2" xfId="795" xr:uid="{00000000-0005-0000-0000-00001A040000}"/>
    <cellStyle name="Normal 3 4 4 3" xfId="796" xr:uid="{00000000-0005-0000-0000-00001B040000}"/>
    <cellStyle name="Normal 3 4 5" xfId="797" xr:uid="{00000000-0005-0000-0000-00001C040000}"/>
    <cellStyle name="Normal 3 4 6" xfId="798" xr:uid="{00000000-0005-0000-0000-00001D040000}"/>
    <cellStyle name="Normal 3 4 7" xfId="1463" xr:uid="{00000000-0005-0000-0000-00001E040000}"/>
    <cellStyle name="Normal 3 5" xfId="799" xr:uid="{00000000-0005-0000-0000-00001F040000}"/>
    <cellStyle name="Normal 3 5 2" xfId="800" xr:uid="{00000000-0005-0000-0000-000020040000}"/>
    <cellStyle name="Normal 3 5 2 2" xfId="801" xr:uid="{00000000-0005-0000-0000-000021040000}"/>
    <cellStyle name="Normal 3 5 2 2 2" xfId="802" xr:uid="{00000000-0005-0000-0000-000022040000}"/>
    <cellStyle name="Normal 3 5 2 2 3" xfId="803" xr:uid="{00000000-0005-0000-0000-000023040000}"/>
    <cellStyle name="Normal 3 5 2 3" xfId="804" xr:uid="{00000000-0005-0000-0000-000024040000}"/>
    <cellStyle name="Normal 3 5 2 4" xfId="805" xr:uid="{00000000-0005-0000-0000-000025040000}"/>
    <cellStyle name="Normal 3 5 3" xfId="806" xr:uid="{00000000-0005-0000-0000-000026040000}"/>
    <cellStyle name="Normal 3 5 3 2" xfId="807" xr:uid="{00000000-0005-0000-0000-000027040000}"/>
    <cellStyle name="Normal 3 5 3 3" xfId="808" xr:uid="{00000000-0005-0000-0000-000028040000}"/>
    <cellStyle name="Normal 3 5 4" xfId="809" xr:uid="{00000000-0005-0000-0000-000029040000}"/>
    <cellStyle name="Normal 3 5 5" xfId="810" xr:uid="{00000000-0005-0000-0000-00002A040000}"/>
    <cellStyle name="Normal 3 5 6" xfId="1464" xr:uid="{00000000-0005-0000-0000-00002B040000}"/>
    <cellStyle name="Normal 3 6" xfId="811" xr:uid="{00000000-0005-0000-0000-00002C040000}"/>
    <cellStyle name="Normal 3 6 2" xfId="812" xr:uid="{00000000-0005-0000-0000-00002D040000}"/>
    <cellStyle name="Normal 3 6 2 2" xfId="813" xr:uid="{00000000-0005-0000-0000-00002E040000}"/>
    <cellStyle name="Normal 3 6 2 2 2" xfId="814" xr:uid="{00000000-0005-0000-0000-00002F040000}"/>
    <cellStyle name="Normal 3 6 2 2 3" xfId="815" xr:uid="{00000000-0005-0000-0000-000030040000}"/>
    <cellStyle name="Normal 3 6 2 3" xfId="816" xr:uid="{00000000-0005-0000-0000-000031040000}"/>
    <cellStyle name="Normal 3 6 2 4" xfId="817" xr:uid="{00000000-0005-0000-0000-000032040000}"/>
    <cellStyle name="Normal 3 6 3" xfId="818" xr:uid="{00000000-0005-0000-0000-000033040000}"/>
    <cellStyle name="Normal 3 6 3 2" xfId="819" xr:uid="{00000000-0005-0000-0000-000034040000}"/>
    <cellStyle name="Normal 3 6 3 3" xfId="820" xr:uid="{00000000-0005-0000-0000-000035040000}"/>
    <cellStyle name="Normal 3 6 4" xfId="821" xr:uid="{00000000-0005-0000-0000-000036040000}"/>
    <cellStyle name="Normal 3 6 5" xfId="822" xr:uid="{00000000-0005-0000-0000-000037040000}"/>
    <cellStyle name="Normal 3 6 6" xfId="1465" xr:uid="{00000000-0005-0000-0000-000038040000}"/>
    <cellStyle name="Normal 3 7" xfId="823" xr:uid="{00000000-0005-0000-0000-000039040000}"/>
    <cellStyle name="Normal 3 7 2" xfId="824" xr:uid="{00000000-0005-0000-0000-00003A040000}"/>
    <cellStyle name="Normal 3 7 2 2" xfId="825" xr:uid="{00000000-0005-0000-0000-00003B040000}"/>
    <cellStyle name="Normal 3 7 2 2 2" xfId="826" xr:uid="{00000000-0005-0000-0000-00003C040000}"/>
    <cellStyle name="Normal 3 7 2 2 3" xfId="827" xr:uid="{00000000-0005-0000-0000-00003D040000}"/>
    <cellStyle name="Normal 3 7 2 3" xfId="828" xr:uid="{00000000-0005-0000-0000-00003E040000}"/>
    <cellStyle name="Normal 3 7 2 4" xfId="829" xr:uid="{00000000-0005-0000-0000-00003F040000}"/>
    <cellStyle name="Normal 3 7 3" xfId="830" xr:uid="{00000000-0005-0000-0000-000040040000}"/>
    <cellStyle name="Normal 3 7 3 2" xfId="831" xr:uid="{00000000-0005-0000-0000-000041040000}"/>
    <cellStyle name="Normal 3 7 3 3" xfId="832" xr:uid="{00000000-0005-0000-0000-000042040000}"/>
    <cellStyle name="Normal 3 7 4" xfId="833" xr:uid="{00000000-0005-0000-0000-000043040000}"/>
    <cellStyle name="Normal 3 7 5" xfId="834" xr:uid="{00000000-0005-0000-0000-000044040000}"/>
    <cellStyle name="Normal 3 8" xfId="835" xr:uid="{00000000-0005-0000-0000-000045040000}"/>
    <cellStyle name="Normal 3 8 2" xfId="836" xr:uid="{00000000-0005-0000-0000-000046040000}"/>
    <cellStyle name="Normal 3 8 2 2" xfId="837" xr:uid="{00000000-0005-0000-0000-000047040000}"/>
    <cellStyle name="Normal 3 8 2 2 2" xfId="838" xr:uid="{00000000-0005-0000-0000-000048040000}"/>
    <cellStyle name="Normal 3 8 2 2 3" xfId="839" xr:uid="{00000000-0005-0000-0000-000049040000}"/>
    <cellStyle name="Normal 3 8 2 3" xfId="840" xr:uid="{00000000-0005-0000-0000-00004A040000}"/>
    <cellStyle name="Normal 3 8 2 4" xfId="841" xr:uid="{00000000-0005-0000-0000-00004B040000}"/>
    <cellStyle name="Normal 3 8 3" xfId="842" xr:uid="{00000000-0005-0000-0000-00004C040000}"/>
    <cellStyle name="Normal 3 8 3 2" xfId="843" xr:uid="{00000000-0005-0000-0000-00004D040000}"/>
    <cellStyle name="Normal 3 8 3 3" xfId="844" xr:uid="{00000000-0005-0000-0000-00004E040000}"/>
    <cellStyle name="Normal 3 8 4" xfId="845" xr:uid="{00000000-0005-0000-0000-00004F040000}"/>
    <cellStyle name="Normal 3 8 5" xfId="846" xr:uid="{00000000-0005-0000-0000-000050040000}"/>
    <cellStyle name="Normal 3 9" xfId="847" xr:uid="{00000000-0005-0000-0000-000051040000}"/>
    <cellStyle name="Normal 3 9 2" xfId="848" xr:uid="{00000000-0005-0000-0000-000052040000}"/>
    <cellStyle name="Normal 3 9 2 2" xfId="849" xr:uid="{00000000-0005-0000-0000-000053040000}"/>
    <cellStyle name="Normal 3 9 2 3" xfId="850" xr:uid="{00000000-0005-0000-0000-000054040000}"/>
    <cellStyle name="Normal 3 9 3" xfId="851" xr:uid="{00000000-0005-0000-0000-000055040000}"/>
    <cellStyle name="Normal 3 9 4" xfId="852" xr:uid="{00000000-0005-0000-0000-000056040000}"/>
    <cellStyle name="Normal 3_GuaranteedSalaryJuly09final" xfId="853" xr:uid="{00000000-0005-0000-0000-000057040000}"/>
    <cellStyle name="Normal 30" xfId="854" xr:uid="{00000000-0005-0000-0000-000058040000}"/>
    <cellStyle name="Normal 30 2" xfId="1466" xr:uid="{00000000-0005-0000-0000-000059040000}"/>
    <cellStyle name="Normal 31" xfId="855" xr:uid="{00000000-0005-0000-0000-00005A040000}"/>
    <cellStyle name="Normal 31 2" xfId="856" xr:uid="{00000000-0005-0000-0000-00005B040000}"/>
    <cellStyle name="Normal 31 2 2" xfId="1467" xr:uid="{00000000-0005-0000-0000-00005C040000}"/>
    <cellStyle name="Normal 31 3" xfId="1468" xr:uid="{00000000-0005-0000-0000-00005D040000}"/>
    <cellStyle name="Normal 32" xfId="857" xr:uid="{00000000-0005-0000-0000-00005E040000}"/>
    <cellStyle name="Normal 32 2" xfId="1469" xr:uid="{00000000-0005-0000-0000-00005F040000}"/>
    <cellStyle name="Normal 33" xfId="858" xr:uid="{00000000-0005-0000-0000-000060040000}"/>
    <cellStyle name="Normal 33 2" xfId="859" xr:uid="{00000000-0005-0000-0000-000061040000}"/>
    <cellStyle name="Normal 33 2 2" xfId="1470" xr:uid="{00000000-0005-0000-0000-000062040000}"/>
    <cellStyle name="Normal 33 3" xfId="1471" xr:uid="{00000000-0005-0000-0000-000063040000}"/>
    <cellStyle name="Normal 34" xfId="860" xr:uid="{00000000-0005-0000-0000-000064040000}"/>
    <cellStyle name="Normal 34 2" xfId="1472" xr:uid="{00000000-0005-0000-0000-000065040000}"/>
    <cellStyle name="Normal 35" xfId="861" xr:uid="{00000000-0005-0000-0000-000066040000}"/>
    <cellStyle name="Normal 35 2" xfId="1473" xr:uid="{00000000-0005-0000-0000-000067040000}"/>
    <cellStyle name="Normal 36" xfId="862" xr:uid="{00000000-0005-0000-0000-000068040000}"/>
    <cellStyle name="Normal 36 2" xfId="1474" xr:uid="{00000000-0005-0000-0000-000069040000}"/>
    <cellStyle name="Normal 37" xfId="863" xr:uid="{00000000-0005-0000-0000-00006A040000}"/>
    <cellStyle name="Normal 37 2" xfId="1475" xr:uid="{00000000-0005-0000-0000-00006B040000}"/>
    <cellStyle name="Normal 38" xfId="864" xr:uid="{00000000-0005-0000-0000-00006C040000}"/>
    <cellStyle name="Normal 38 2" xfId="865" xr:uid="{00000000-0005-0000-0000-00006D040000}"/>
    <cellStyle name="Normal 38 2 2" xfId="866" xr:uid="{00000000-0005-0000-0000-00006E040000}"/>
    <cellStyle name="Normal 38 2 2 2" xfId="867" xr:uid="{00000000-0005-0000-0000-00006F040000}"/>
    <cellStyle name="Normal 38 2 2 2 2" xfId="868" xr:uid="{00000000-0005-0000-0000-000070040000}"/>
    <cellStyle name="Normal 38 2 2 2 3" xfId="869" xr:uid="{00000000-0005-0000-0000-000071040000}"/>
    <cellStyle name="Normal 38 2 2 3" xfId="870" xr:uid="{00000000-0005-0000-0000-000072040000}"/>
    <cellStyle name="Normal 38 2 2 4" xfId="871" xr:uid="{00000000-0005-0000-0000-000073040000}"/>
    <cellStyle name="Normal 38 2 3" xfId="872" xr:uid="{00000000-0005-0000-0000-000074040000}"/>
    <cellStyle name="Normal 38 2 3 2" xfId="873" xr:uid="{00000000-0005-0000-0000-000075040000}"/>
    <cellStyle name="Normal 38 2 3 3" xfId="874" xr:uid="{00000000-0005-0000-0000-000076040000}"/>
    <cellStyle name="Normal 38 2 4" xfId="875" xr:uid="{00000000-0005-0000-0000-000077040000}"/>
    <cellStyle name="Normal 38 2 5" xfId="876" xr:uid="{00000000-0005-0000-0000-000078040000}"/>
    <cellStyle name="Normal 38 3" xfId="877" xr:uid="{00000000-0005-0000-0000-000079040000}"/>
    <cellStyle name="Normal 38 3 2" xfId="878" xr:uid="{00000000-0005-0000-0000-00007A040000}"/>
    <cellStyle name="Normal 38 3 2 2" xfId="879" xr:uid="{00000000-0005-0000-0000-00007B040000}"/>
    <cellStyle name="Normal 38 3 2 2 2" xfId="880" xr:uid="{00000000-0005-0000-0000-00007C040000}"/>
    <cellStyle name="Normal 38 3 2 2 3" xfId="881" xr:uid="{00000000-0005-0000-0000-00007D040000}"/>
    <cellStyle name="Normal 38 3 2 3" xfId="882" xr:uid="{00000000-0005-0000-0000-00007E040000}"/>
    <cellStyle name="Normal 38 3 2 4" xfId="883" xr:uid="{00000000-0005-0000-0000-00007F040000}"/>
    <cellStyle name="Normal 38 3 3" xfId="884" xr:uid="{00000000-0005-0000-0000-000080040000}"/>
    <cellStyle name="Normal 38 3 3 2" xfId="885" xr:uid="{00000000-0005-0000-0000-000081040000}"/>
    <cellStyle name="Normal 38 3 3 3" xfId="886" xr:uid="{00000000-0005-0000-0000-000082040000}"/>
    <cellStyle name="Normal 38 3 4" xfId="887" xr:uid="{00000000-0005-0000-0000-000083040000}"/>
    <cellStyle name="Normal 38 3 5" xfId="888" xr:uid="{00000000-0005-0000-0000-000084040000}"/>
    <cellStyle name="Normal 38 4" xfId="889" xr:uid="{00000000-0005-0000-0000-000085040000}"/>
    <cellStyle name="Normal 38 4 2" xfId="890" xr:uid="{00000000-0005-0000-0000-000086040000}"/>
    <cellStyle name="Normal 38 4 2 2" xfId="891" xr:uid="{00000000-0005-0000-0000-000087040000}"/>
    <cellStyle name="Normal 38 4 2 2 2" xfId="892" xr:uid="{00000000-0005-0000-0000-000088040000}"/>
    <cellStyle name="Normal 38 4 2 2 3" xfId="893" xr:uid="{00000000-0005-0000-0000-000089040000}"/>
    <cellStyle name="Normal 38 4 2 3" xfId="894" xr:uid="{00000000-0005-0000-0000-00008A040000}"/>
    <cellStyle name="Normal 38 4 2 4" xfId="895" xr:uid="{00000000-0005-0000-0000-00008B040000}"/>
    <cellStyle name="Normal 38 4 3" xfId="896" xr:uid="{00000000-0005-0000-0000-00008C040000}"/>
    <cellStyle name="Normal 38 4 3 2" xfId="897" xr:uid="{00000000-0005-0000-0000-00008D040000}"/>
    <cellStyle name="Normal 38 4 3 3" xfId="898" xr:uid="{00000000-0005-0000-0000-00008E040000}"/>
    <cellStyle name="Normal 38 4 4" xfId="899" xr:uid="{00000000-0005-0000-0000-00008F040000}"/>
    <cellStyle name="Normal 38 4 5" xfId="900" xr:uid="{00000000-0005-0000-0000-000090040000}"/>
    <cellStyle name="Normal 38 5" xfId="901" xr:uid="{00000000-0005-0000-0000-000091040000}"/>
    <cellStyle name="Normal 38 5 2" xfId="902" xr:uid="{00000000-0005-0000-0000-000092040000}"/>
    <cellStyle name="Normal 38 5 2 2" xfId="903" xr:uid="{00000000-0005-0000-0000-000093040000}"/>
    <cellStyle name="Normal 38 5 2 2 2" xfId="904" xr:uid="{00000000-0005-0000-0000-000094040000}"/>
    <cellStyle name="Normal 38 5 2 2 3" xfId="905" xr:uid="{00000000-0005-0000-0000-000095040000}"/>
    <cellStyle name="Normal 38 5 2 3" xfId="906" xr:uid="{00000000-0005-0000-0000-000096040000}"/>
    <cellStyle name="Normal 38 5 2 4" xfId="907" xr:uid="{00000000-0005-0000-0000-000097040000}"/>
    <cellStyle name="Normal 38 5 3" xfId="908" xr:uid="{00000000-0005-0000-0000-000098040000}"/>
    <cellStyle name="Normal 38 5 3 2" xfId="909" xr:uid="{00000000-0005-0000-0000-000099040000}"/>
    <cellStyle name="Normal 38 5 3 3" xfId="910" xr:uid="{00000000-0005-0000-0000-00009A040000}"/>
    <cellStyle name="Normal 38 5 4" xfId="911" xr:uid="{00000000-0005-0000-0000-00009B040000}"/>
    <cellStyle name="Normal 38 5 5" xfId="912" xr:uid="{00000000-0005-0000-0000-00009C040000}"/>
    <cellStyle name="Normal 38 6" xfId="913" xr:uid="{00000000-0005-0000-0000-00009D040000}"/>
    <cellStyle name="Normal 38 6 2" xfId="914" xr:uid="{00000000-0005-0000-0000-00009E040000}"/>
    <cellStyle name="Normal 38 6 2 2" xfId="915" xr:uid="{00000000-0005-0000-0000-00009F040000}"/>
    <cellStyle name="Normal 38 6 2 3" xfId="916" xr:uid="{00000000-0005-0000-0000-0000A0040000}"/>
    <cellStyle name="Normal 38 6 3" xfId="917" xr:uid="{00000000-0005-0000-0000-0000A1040000}"/>
    <cellStyle name="Normal 38 6 4" xfId="918" xr:uid="{00000000-0005-0000-0000-0000A2040000}"/>
    <cellStyle name="Normal 38 7" xfId="919" xr:uid="{00000000-0005-0000-0000-0000A3040000}"/>
    <cellStyle name="Normal 38 7 2" xfId="920" xr:uid="{00000000-0005-0000-0000-0000A4040000}"/>
    <cellStyle name="Normal 38 7 3" xfId="921" xr:uid="{00000000-0005-0000-0000-0000A5040000}"/>
    <cellStyle name="Normal 38 8" xfId="922" xr:uid="{00000000-0005-0000-0000-0000A6040000}"/>
    <cellStyle name="Normal 38 9" xfId="923" xr:uid="{00000000-0005-0000-0000-0000A7040000}"/>
    <cellStyle name="Normal 39" xfId="924" xr:uid="{00000000-0005-0000-0000-0000A8040000}"/>
    <cellStyle name="Normal 39 2" xfId="1476" xr:uid="{00000000-0005-0000-0000-0000A9040000}"/>
    <cellStyle name="Normal 4" xfId="925" xr:uid="{00000000-0005-0000-0000-0000AA040000}"/>
    <cellStyle name="Normal 4 2" xfId="926" xr:uid="{00000000-0005-0000-0000-0000AB040000}"/>
    <cellStyle name="Normal 4 2 2" xfId="927" xr:uid="{00000000-0005-0000-0000-0000AC040000}"/>
    <cellStyle name="Normal 4 2 2 2" xfId="1477" xr:uid="{00000000-0005-0000-0000-0000AD040000}"/>
    <cellStyle name="Normal 4 2 3" xfId="928" xr:uid="{00000000-0005-0000-0000-0000AE040000}"/>
    <cellStyle name="Normal 4 2 3 2" xfId="1478" xr:uid="{00000000-0005-0000-0000-0000AF040000}"/>
    <cellStyle name="Normal 4 3" xfId="929" xr:uid="{00000000-0005-0000-0000-0000B0040000}"/>
    <cellStyle name="Normal 4 3 2" xfId="930" xr:uid="{00000000-0005-0000-0000-0000B1040000}"/>
    <cellStyle name="Normal 4 3 2 2" xfId="1479" xr:uid="{00000000-0005-0000-0000-0000B2040000}"/>
    <cellStyle name="Normal 4 3 3" xfId="1480" xr:uid="{00000000-0005-0000-0000-0000B3040000}"/>
    <cellStyle name="Normal 4 4" xfId="931" xr:uid="{00000000-0005-0000-0000-0000B4040000}"/>
    <cellStyle name="Normal 4 4 2" xfId="932" xr:uid="{00000000-0005-0000-0000-0000B5040000}"/>
    <cellStyle name="Normal 4 4 3" xfId="1481" xr:uid="{00000000-0005-0000-0000-0000B6040000}"/>
    <cellStyle name="Normal 4 5" xfId="933" xr:uid="{00000000-0005-0000-0000-0000B7040000}"/>
    <cellStyle name="Normal 4 5 2" xfId="934" xr:uid="{00000000-0005-0000-0000-0000B8040000}"/>
    <cellStyle name="Normal 4 5 3" xfId="1482" xr:uid="{00000000-0005-0000-0000-0000B9040000}"/>
    <cellStyle name="Normal 4 6" xfId="935" xr:uid="{00000000-0005-0000-0000-0000BA040000}"/>
    <cellStyle name="Normal 4 6 2" xfId="1483" xr:uid="{00000000-0005-0000-0000-0000BB040000}"/>
    <cellStyle name="Normal 4 7" xfId="1484" xr:uid="{00000000-0005-0000-0000-0000BC040000}"/>
    <cellStyle name="Normal 40" xfId="936" xr:uid="{00000000-0005-0000-0000-0000BD040000}"/>
    <cellStyle name="Normal 40 2" xfId="937" xr:uid="{00000000-0005-0000-0000-0000BE040000}"/>
    <cellStyle name="Normal 40 2 2" xfId="938" xr:uid="{00000000-0005-0000-0000-0000BF040000}"/>
    <cellStyle name="Normal 40 2 2 2" xfId="939" xr:uid="{00000000-0005-0000-0000-0000C0040000}"/>
    <cellStyle name="Normal 40 2 2 3" xfId="940" xr:uid="{00000000-0005-0000-0000-0000C1040000}"/>
    <cellStyle name="Normal 40 2 3" xfId="941" xr:uid="{00000000-0005-0000-0000-0000C2040000}"/>
    <cellStyle name="Normal 40 2 4" xfId="942" xr:uid="{00000000-0005-0000-0000-0000C3040000}"/>
    <cellStyle name="Normal 40 3" xfId="943" xr:uid="{00000000-0005-0000-0000-0000C4040000}"/>
    <cellStyle name="Normal 40 3 2" xfId="944" xr:uid="{00000000-0005-0000-0000-0000C5040000}"/>
    <cellStyle name="Normal 40 3 3" xfId="945" xr:uid="{00000000-0005-0000-0000-0000C6040000}"/>
    <cellStyle name="Normal 40 4" xfId="946" xr:uid="{00000000-0005-0000-0000-0000C7040000}"/>
    <cellStyle name="Normal 40 5" xfId="947" xr:uid="{00000000-0005-0000-0000-0000C8040000}"/>
    <cellStyle name="Normal 40 6" xfId="1485" xr:uid="{00000000-0005-0000-0000-0000C9040000}"/>
    <cellStyle name="Normal 41" xfId="948" xr:uid="{00000000-0005-0000-0000-0000CA040000}"/>
    <cellStyle name="Normal 41 2" xfId="949" xr:uid="{00000000-0005-0000-0000-0000CB040000}"/>
    <cellStyle name="Normal 41 2 2" xfId="950" xr:uid="{00000000-0005-0000-0000-0000CC040000}"/>
    <cellStyle name="Normal 41 2 2 2" xfId="951" xr:uid="{00000000-0005-0000-0000-0000CD040000}"/>
    <cellStyle name="Normal 41 2 2 3" xfId="952" xr:uid="{00000000-0005-0000-0000-0000CE040000}"/>
    <cellStyle name="Normal 41 2 3" xfId="953" xr:uid="{00000000-0005-0000-0000-0000CF040000}"/>
    <cellStyle name="Normal 41 2 4" xfId="954" xr:uid="{00000000-0005-0000-0000-0000D0040000}"/>
    <cellStyle name="Normal 41 3" xfId="955" xr:uid="{00000000-0005-0000-0000-0000D1040000}"/>
    <cellStyle name="Normal 41 3 2" xfId="956" xr:uid="{00000000-0005-0000-0000-0000D2040000}"/>
    <cellStyle name="Normal 41 3 3" xfId="957" xr:uid="{00000000-0005-0000-0000-0000D3040000}"/>
    <cellStyle name="Normal 41 4" xfId="958" xr:uid="{00000000-0005-0000-0000-0000D4040000}"/>
    <cellStyle name="Normal 41 5" xfId="959" xr:uid="{00000000-0005-0000-0000-0000D5040000}"/>
    <cellStyle name="Normal 41 6" xfId="960" xr:uid="{00000000-0005-0000-0000-0000D6040000}"/>
    <cellStyle name="Normal 41 6 2" xfId="961" xr:uid="{00000000-0005-0000-0000-0000D7040000}"/>
    <cellStyle name="Normal 41 7" xfId="1486" xr:uid="{00000000-0005-0000-0000-0000D8040000}"/>
    <cellStyle name="Normal 42" xfId="962" xr:uid="{00000000-0005-0000-0000-0000D9040000}"/>
    <cellStyle name="Normal 42 2" xfId="963" xr:uid="{00000000-0005-0000-0000-0000DA040000}"/>
    <cellStyle name="Normal 42 2 2" xfId="964" xr:uid="{00000000-0005-0000-0000-0000DB040000}"/>
    <cellStyle name="Normal 42 2 2 2" xfId="965" xr:uid="{00000000-0005-0000-0000-0000DC040000}"/>
    <cellStyle name="Normal 42 2 2 3" xfId="966" xr:uid="{00000000-0005-0000-0000-0000DD040000}"/>
    <cellStyle name="Normal 42 2 3" xfId="967" xr:uid="{00000000-0005-0000-0000-0000DE040000}"/>
    <cellStyle name="Normal 42 2 4" xfId="968" xr:uid="{00000000-0005-0000-0000-0000DF040000}"/>
    <cellStyle name="Normal 42 2 5" xfId="1487" xr:uid="{00000000-0005-0000-0000-0000E0040000}"/>
    <cellStyle name="Normal 42 3" xfId="969" xr:uid="{00000000-0005-0000-0000-0000E1040000}"/>
    <cellStyle name="Normal 42 3 2" xfId="970" xr:uid="{00000000-0005-0000-0000-0000E2040000}"/>
    <cellStyle name="Normal 42 3 3" xfId="971" xr:uid="{00000000-0005-0000-0000-0000E3040000}"/>
    <cellStyle name="Normal 42 4" xfId="972" xr:uid="{00000000-0005-0000-0000-0000E4040000}"/>
    <cellStyle name="Normal 42 5" xfId="973" xr:uid="{00000000-0005-0000-0000-0000E5040000}"/>
    <cellStyle name="Normal 42 6" xfId="1488" xr:uid="{00000000-0005-0000-0000-0000E6040000}"/>
    <cellStyle name="Normal 43" xfId="974" xr:uid="{00000000-0005-0000-0000-0000E7040000}"/>
    <cellStyle name="Normal 43 2" xfId="1489" xr:uid="{00000000-0005-0000-0000-0000E8040000}"/>
    <cellStyle name="Normal 44" xfId="975" xr:uid="{00000000-0005-0000-0000-0000E9040000}"/>
    <cellStyle name="Normal 44 2" xfId="976" xr:uid="{00000000-0005-0000-0000-0000EA040000}"/>
    <cellStyle name="Normal 44 2 2" xfId="977" xr:uid="{00000000-0005-0000-0000-0000EB040000}"/>
    <cellStyle name="Normal 44 2 3" xfId="978" xr:uid="{00000000-0005-0000-0000-0000EC040000}"/>
    <cellStyle name="Normal 44 3" xfId="979" xr:uid="{00000000-0005-0000-0000-0000ED040000}"/>
    <cellStyle name="Normal 44 4" xfId="980" xr:uid="{00000000-0005-0000-0000-0000EE040000}"/>
    <cellStyle name="Normal 44 5" xfId="1490" xr:uid="{00000000-0005-0000-0000-0000EF040000}"/>
    <cellStyle name="Normal 45" xfId="981" xr:uid="{00000000-0005-0000-0000-0000F0040000}"/>
    <cellStyle name="Normal 45 2" xfId="982" xr:uid="{00000000-0005-0000-0000-0000F1040000}"/>
    <cellStyle name="Normal 45 2 2" xfId="983" xr:uid="{00000000-0005-0000-0000-0000F2040000}"/>
    <cellStyle name="Normal 45 2 3" xfId="984" xr:uid="{00000000-0005-0000-0000-0000F3040000}"/>
    <cellStyle name="Normal 45 3" xfId="985" xr:uid="{00000000-0005-0000-0000-0000F4040000}"/>
    <cellStyle name="Normal 45 4" xfId="986" xr:uid="{00000000-0005-0000-0000-0000F5040000}"/>
    <cellStyle name="Normal 46" xfId="987" xr:uid="{00000000-0005-0000-0000-0000F6040000}"/>
    <cellStyle name="Normal 46 2" xfId="988" xr:uid="{00000000-0005-0000-0000-0000F7040000}"/>
    <cellStyle name="Normal 46 2 2" xfId="989" xr:uid="{00000000-0005-0000-0000-0000F8040000}"/>
    <cellStyle name="Normal 46 2 3" xfId="990" xr:uid="{00000000-0005-0000-0000-0000F9040000}"/>
    <cellStyle name="Normal 46 3" xfId="991" xr:uid="{00000000-0005-0000-0000-0000FA040000}"/>
    <cellStyle name="Normal 46 4" xfId="992" xr:uid="{00000000-0005-0000-0000-0000FB040000}"/>
    <cellStyle name="Normal 46 5" xfId="993" xr:uid="{00000000-0005-0000-0000-0000FC040000}"/>
    <cellStyle name="Normal 46 6" xfId="1491" xr:uid="{00000000-0005-0000-0000-0000FD040000}"/>
    <cellStyle name="Normal 47" xfId="994" xr:uid="{00000000-0005-0000-0000-0000FE040000}"/>
    <cellStyle name="Normal 47 2" xfId="995" xr:uid="{00000000-0005-0000-0000-0000FF040000}"/>
    <cellStyle name="Normal 47 3" xfId="996" xr:uid="{00000000-0005-0000-0000-000000050000}"/>
    <cellStyle name="Normal 47 4" xfId="997" xr:uid="{00000000-0005-0000-0000-000001050000}"/>
    <cellStyle name="Normal 48" xfId="998" xr:uid="{00000000-0005-0000-0000-000002050000}"/>
    <cellStyle name="Normal 48 2" xfId="1492" xr:uid="{00000000-0005-0000-0000-000003050000}"/>
    <cellStyle name="Normal 49" xfId="999" xr:uid="{00000000-0005-0000-0000-000004050000}"/>
    <cellStyle name="Normal 5" xfId="1000" xr:uid="{00000000-0005-0000-0000-000005050000}"/>
    <cellStyle name="Normal 5 2" xfId="1001" xr:uid="{00000000-0005-0000-0000-000006050000}"/>
    <cellStyle name="Normal 5 2 2" xfId="1002" xr:uid="{00000000-0005-0000-0000-000007050000}"/>
    <cellStyle name="Normal 5 2 2 2" xfId="1493" xr:uid="{00000000-0005-0000-0000-000008050000}"/>
    <cellStyle name="Normal 5 3" xfId="1003" xr:uid="{00000000-0005-0000-0000-000009050000}"/>
    <cellStyle name="Normal 5 3 2" xfId="1494" xr:uid="{00000000-0005-0000-0000-00000A050000}"/>
    <cellStyle name="Normal 5 4" xfId="1004" xr:uid="{00000000-0005-0000-0000-00000B050000}"/>
    <cellStyle name="Normal 5 4 2" xfId="1005" xr:uid="{00000000-0005-0000-0000-00000C050000}"/>
    <cellStyle name="Normal 5 4 2 2" xfId="1495" xr:uid="{00000000-0005-0000-0000-00000D050000}"/>
    <cellStyle name="Normal 5 4 3" xfId="1496" xr:uid="{00000000-0005-0000-0000-00000E050000}"/>
    <cellStyle name="Normal 5 5" xfId="1006" xr:uid="{00000000-0005-0000-0000-00000F050000}"/>
    <cellStyle name="Normal 5 5 2" xfId="1497" xr:uid="{00000000-0005-0000-0000-000010050000}"/>
    <cellStyle name="Normal 5 6" xfId="1007" xr:uid="{00000000-0005-0000-0000-000011050000}"/>
    <cellStyle name="Normal 5 6 2" xfId="1498" xr:uid="{00000000-0005-0000-0000-000012050000}"/>
    <cellStyle name="Normal 5 7" xfId="1499" xr:uid="{00000000-0005-0000-0000-000013050000}"/>
    <cellStyle name="Normal 50" xfId="1008" xr:uid="{00000000-0005-0000-0000-000014050000}"/>
    <cellStyle name="Normal 50 2" xfId="1500" xr:uid="{00000000-0005-0000-0000-000015050000}"/>
    <cellStyle name="Normal 51" xfId="1009" xr:uid="{00000000-0005-0000-0000-000016050000}"/>
    <cellStyle name="Normal 52" xfId="1010" xr:uid="{00000000-0005-0000-0000-000017050000}"/>
    <cellStyle name="Normal 52 2" xfId="1501" xr:uid="{00000000-0005-0000-0000-000018050000}"/>
    <cellStyle name="Normal 53" xfId="1011" xr:uid="{00000000-0005-0000-0000-000019050000}"/>
    <cellStyle name="Normal 54" xfId="1012" xr:uid="{00000000-0005-0000-0000-00001A050000}"/>
    <cellStyle name="Normal 54 2" xfId="1013" xr:uid="{00000000-0005-0000-0000-00001B050000}"/>
    <cellStyle name="Normal 54 2 2" xfId="1502" xr:uid="{00000000-0005-0000-0000-00001C050000}"/>
    <cellStyle name="Normal 55" xfId="1014" xr:uid="{00000000-0005-0000-0000-00001D050000}"/>
    <cellStyle name="Normal 55 2" xfId="1503" xr:uid="{00000000-0005-0000-0000-00001E050000}"/>
    <cellStyle name="Normal 56" xfId="1015" xr:uid="{00000000-0005-0000-0000-00001F050000}"/>
    <cellStyle name="Normal 57" xfId="1016" xr:uid="{00000000-0005-0000-0000-000020050000}"/>
    <cellStyle name="Normal 57 2" xfId="1504" xr:uid="{00000000-0005-0000-0000-000021050000}"/>
    <cellStyle name="Normal 58" xfId="1209" xr:uid="{00000000-0005-0000-0000-000022050000}"/>
    <cellStyle name="Normal 59" xfId="1017" xr:uid="{00000000-0005-0000-0000-000023050000}"/>
    <cellStyle name="Normal 59 2" xfId="1505" xr:uid="{00000000-0005-0000-0000-000024050000}"/>
    <cellStyle name="Normal 6" xfId="1018" xr:uid="{00000000-0005-0000-0000-000025050000}"/>
    <cellStyle name="Normal 6 2" xfId="1019" xr:uid="{00000000-0005-0000-0000-000026050000}"/>
    <cellStyle name="Normal 6 2 2" xfId="1020" xr:uid="{00000000-0005-0000-0000-000027050000}"/>
    <cellStyle name="Normal 6 2 2 2" xfId="1506" xr:uid="{00000000-0005-0000-0000-000028050000}"/>
    <cellStyle name="Normal 6 3" xfId="1021" xr:uid="{00000000-0005-0000-0000-000029050000}"/>
    <cellStyle name="Normal 6 3 2" xfId="1507" xr:uid="{00000000-0005-0000-0000-00002A050000}"/>
    <cellStyle name="Normal 6 4" xfId="1022" xr:uid="{00000000-0005-0000-0000-00002B050000}"/>
    <cellStyle name="Normal 6 4 2" xfId="1508" xr:uid="{00000000-0005-0000-0000-00002C050000}"/>
    <cellStyle name="Normal 6 5" xfId="1023" xr:uid="{00000000-0005-0000-0000-00002D050000}"/>
    <cellStyle name="Normal 6 5 2" xfId="1509" xr:uid="{00000000-0005-0000-0000-00002E050000}"/>
    <cellStyle name="Normal 6 6" xfId="1024" xr:uid="{00000000-0005-0000-0000-00002F050000}"/>
    <cellStyle name="Normal 6 6 2" xfId="1510" xr:uid="{00000000-0005-0000-0000-000030050000}"/>
    <cellStyle name="Normal 6 7" xfId="1511" xr:uid="{00000000-0005-0000-0000-000031050000}"/>
    <cellStyle name="Normal 60" xfId="1025" xr:uid="{00000000-0005-0000-0000-000032050000}"/>
    <cellStyle name="Normal 60 2" xfId="1512" xr:uid="{00000000-0005-0000-0000-000033050000}"/>
    <cellStyle name="Normal 61" xfId="1556" xr:uid="{CE3EDA31-A71E-45C8-AE21-81E8561DB59B}"/>
    <cellStyle name="Normal 62" xfId="1557" xr:uid="{28B8C323-27C6-44EB-8347-B9A142585D48}"/>
    <cellStyle name="Normal 63" xfId="1513" xr:uid="{00000000-0005-0000-0000-000034050000}"/>
    <cellStyle name="Normal 69" xfId="1026" xr:uid="{00000000-0005-0000-0000-000035050000}"/>
    <cellStyle name="Normal 69 2" xfId="1514" xr:uid="{00000000-0005-0000-0000-000036050000}"/>
    <cellStyle name="Normal 7" xfId="1027" xr:uid="{00000000-0005-0000-0000-000037050000}"/>
    <cellStyle name="Normal 7 2" xfId="1028" xr:uid="{00000000-0005-0000-0000-000038050000}"/>
    <cellStyle name="Normal 7 2 2" xfId="1029" xr:uid="{00000000-0005-0000-0000-000039050000}"/>
    <cellStyle name="Normal 7 2 2 2" xfId="1030" xr:uid="{00000000-0005-0000-0000-00003A050000}"/>
    <cellStyle name="Normal 7 2 2 2 2" xfId="1515" xr:uid="{00000000-0005-0000-0000-00003B050000}"/>
    <cellStyle name="Normal 7 2 2 3" xfId="1516" xr:uid="{00000000-0005-0000-0000-00003C050000}"/>
    <cellStyle name="Normal 7 2 3" xfId="1517" xr:uid="{00000000-0005-0000-0000-00003D050000}"/>
    <cellStyle name="Normal 7 3" xfId="1031" xr:uid="{00000000-0005-0000-0000-00003E050000}"/>
    <cellStyle name="Normal 7 3 2" xfId="1032" xr:uid="{00000000-0005-0000-0000-00003F050000}"/>
    <cellStyle name="Normal 7 4" xfId="1033" xr:uid="{00000000-0005-0000-0000-000040050000}"/>
    <cellStyle name="Normal 7 5" xfId="1034" xr:uid="{00000000-0005-0000-0000-000041050000}"/>
    <cellStyle name="Normal 7 6" xfId="1035" xr:uid="{00000000-0005-0000-0000-000042050000}"/>
    <cellStyle name="Normal 7 7" xfId="1036" xr:uid="{00000000-0005-0000-0000-000043050000}"/>
    <cellStyle name="Normal 7 8" xfId="1518" xr:uid="{00000000-0005-0000-0000-000044050000}"/>
    <cellStyle name="Normal 8" xfId="1037" xr:uid="{00000000-0005-0000-0000-000045050000}"/>
    <cellStyle name="Normal 8 2" xfId="1038" xr:uid="{00000000-0005-0000-0000-000046050000}"/>
    <cellStyle name="Normal 8 2 2" xfId="1039" xr:uid="{00000000-0005-0000-0000-000047050000}"/>
    <cellStyle name="Normal 8 2 2 2" xfId="1040" xr:uid="{00000000-0005-0000-0000-000048050000}"/>
    <cellStyle name="Normal 8 2 2 3" xfId="1041" xr:uid="{00000000-0005-0000-0000-000049050000}"/>
    <cellStyle name="Normal 8 2 3" xfId="1042" xr:uid="{00000000-0005-0000-0000-00004A050000}"/>
    <cellStyle name="Normal 8 2 4" xfId="1043" xr:uid="{00000000-0005-0000-0000-00004B050000}"/>
    <cellStyle name="Normal 8 2 5" xfId="1044" xr:uid="{00000000-0005-0000-0000-00004C050000}"/>
    <cellStyle name="Normal 8 3" xfId="1045" xr:uid="{00000000-0005-0000-0000-00004D050000}"/>
    <cellStyle name="Normal 8 3 2" xfId="1046" xr:uid="{00000000-0005-0000-0000-00004E050000}"/>
    <cellStyle name="Normal 8 3 3" xfId="1047" xr:uid="{00000000-0005-0000-0000-00004F050000}"/>
    <cellStyle name="Normal 8 3 4" xfId="1048" xr:uid="{00000000-0005-0000-0000-000050050000}"/>
    <cellStyle name="Normal 8 4" xfId="1049" xr:uid="{00000000-0005-0000-0000-000051050000}"/>
    <cellStyle name="Normal 8 5" xfId="1050" xr:uid="{00000000-0005-0000-0000-000052050000}"/>
    <cellStyle name="Normal 8 6" xfId="1051" xr:uid="{00000000-0005-0000-0000-000053050000}"/>
    <cellStyle name="Normal 8 7" xfId="1519" xr:uid="{00000000-0005-0000-0000-000054050000}"/>
    <cellStyle name="Normal 9" xfId="1052" xr:uid="{00000000-0005-0000-0000-000055050000}"/>
    <cellStyle name="Normal 9 2" xfId="1053" xr:uid="{00000000-0005-0000-0000-000056050000}"/>
    <cellStyle name="Normal 9 2 2" xfId="1520" xr:uid="{00000000-0005-0000-0000-000057050000}"/>
    <cellStyle name="Normal 9 3" xfId="1054" xr:uid="{00000000-0005-0000-0000-000058050000}"/>
    <cellStyle name="Normal 9 4" xfId="1210" xr:uid="{00000000-0005-0000-0000-000059050000}"/>
    <cellStyle name="Normal 9 4 2" xfId="1553" xr:uid="{00000000-0005-0000-0000-00005A050000}"/>
    <cellStyle name="Normal 90" xfId="1055" xr:uid="{00000000-0005-0000-0000-00005B050000}"/>
    <cellStyle name="Normal 90 2" xfId="1521" xr:uid="{00000000-0005-0000-0000-00005C050000}"/>
    <cellStyle name="Normal 91" xfId="1056" xr:uid="{00000000-0005-0000-0000-00005D050000}"/>
    <cellStyle name="Normal 91 2" xfId="1522" xr:uid="{00000000-0005-0000-0000-00005E050000}"/>
    <cellStyle name="Normal 95" xfId="1057" xr:uid="{00000000-0005-0000-0000-00005F050000}"/>
    <cellStyle name="Normal 95 2" xfId="1523" xr:uid="{00000000-0005-0000-0000-000060050000}"/>
    <cellStyle name="Normal 96" xfId="1058" xr:uid="{00000000-0005-0000-0000-000061050000}"/>
    <cellStyle name="Normal 96 2" xfId="1524" xr:uid="{00000000-0005-0000-0000-000062050000}"/>
    <cellStyle name="Normal 98" xfId="1059" xr:uid="{00000000-0005-0000-0000-000063050000}"/>
    <cellStyle name="Normal 98 2" xfId="1525" xr:uid="{00000000-0005-0000-0000-000064050000}"/>
    <cellStyle name="Note 2" xfId="1060" xr:uid="{00000000-0005-0000-0000-000065050000}"/>
    <cellStyle name="Note 2 2" xfId="1526" xr:uid="{00000000-0005-0000-0000-000066050000}"/>
    <cellStyle name="Note 3" xfId="1061" xr:uid="{00000000-0005-0000-0000-000067050000}"/>
    <cellStyle name="oddStyle" xfId="1062" xr:uid="{00000000-0005-0000-0000-000068050000}"/>
    <cellStyle name="Œ…‹æØ‚è [0.00]_fcs1" xfId="1063" xr:uid="{00000000-0005-0000-0000-000069050000}"/>
    <cellStyle name="Œ…‹æØ‚è_fcs1" xfId="1064" xr:uid="{00000000-0005-0000-0000-00006A050000}"/>
    <cellStyle name="Output 2" xfId="1065" xr:uid="{00000000-0005-0000-0000-00006B050000}"/>
    <cellStyle name="per.style" xfId="1066" xr:uid="{00000000-0005-0000-0000-00006C050000}"/>
    <cellStyle name="Percent (0)" xfId="1067" xr:uid="{00000000-0005-0000-0000-00006D050000}"/>
    <cellStyle name="Percent (0) 2" xfId="1068" xr:uid="{00000000-0005-0000-0000-00006E050000}"/>
    <cellStyle name="Percent (0) 2 2" xfId="1527" xr:uid="{00000000-0005-0000-0000-00006F050000}"/>
    <cellStyle name="Percent (0) 3" xfId="1528" xr:uid="{00000000-0005-0000-0000-000070050000}"/>
    <cellStyle name="Percent [2]" xfId="1069" xr:uid="{00000000-0005-0000-0000-000071050000}"/>
    <cellStyle name="Percent [2] 2" xfId="1529" xr:uid="{00000000-0005-0000-0000-000072050000}"/>
    <cellStyle name="Percent 10" xfId="1070" xr:uid="{00000000-0005-0000-0000-000073050000}"/>
    <cellStyle name="Percent 11" xfId="1071" xr:uid="{00000000-0005-0000-0000-000074050000}"/>
    <cellStyle name="Percent 11 2" xfId="1530" xr:uid="{00000000-0005-0000-0000-000075050000}"/>
    <cellStyle name="Percent 2" xfId="1072" xr:uid="{00000000-0005-0000-0000-000076050000}"/>
    <cellStyle name="Percent 2 2" xfId="1073" xr:uid="{00000000-0005-0000-0000-000077050000}"/>
    <cellStyle name="Percent 2 2 2" xfId="1074" xr:uid="{00000000-0005-0000-0000-000078050000}"/>
    <cellStyle name="Percent 2 2 2 2" xfId="1531" xr:uid="{00000000-0005-0000-0000-000079050000}"/>
    <cellStyle name="Percent 2 2 3" xfId="1532" xr:uid="{00000000-0005-0000-0000-00007A050000}"/>
    <cellStyle name="Percent 2 3" xfId="1075" xr:uid="{00000000-0005-0000-0000-00007B050000}"/>
    <cellStyle name="Percent 2 3 2" xfId="1533" xr:uid="{00000000-0005-0000-0000-00007C050000}"/>
    <cellStyle name="Percent 2 4" xfId="1076" xr:uid="{00000000-0005-0000-0000-00007D050000}"/>
    <cellStyle name="Percent 2 4 2" xfId="1534" xr:uid="{00000000-0005-0000-0000-00007E050000}"/>
    <cellStyle name="Percent 2 5" xfId="1077" xr:uid="{00000000-0005-0000-0000-00007F050000}"/>
    <cellStyle name="Percent 2 5 2" xfId="1535" xr:uid="{00000000-0005-0000-0000-000080050000}"/>
    <cellStyle name="Percent 2 6" xfId="1536" xr:uid="{00000000-0005-0000-0000-000081050000}"/>
    <cellStyle name="Percent 3" xfId="1078" xr:uid="{00000000-0005-0000-0000-000082050000}"/>
    <cellStyle name="Percent 3 2" xfId="1079" xr:uid="{00000000-0005-0000-0000-000083050000}"/>
    <cellStyle name="Percent 3 2 2" xfId="1537" xr:uid="{00000000-0005-0000-0000-000084050000}"/>
    <cellStyle name="Percent 3 3" xfId="1080" xr:uid="{00000000-0005-0000-0000-000085050000}"/>
    <cellStyle name="Percent 3 4" xfId="1538" xr:uid="{00000000-0005-0000-0000-000086050000}"/>
    <cellStyle name="Percent 4" xfId="1081" xr:uid="{00000000-0005-0000-0000-000087050000}"/>
    <cellStyle name="Percent 4 2" xfId="1082" xr:uid="{00000000-0005-0000-0000-000088050000}"/>
    <cellStyle name="Percent 5" xfId="1083" xr:uid="{00000000-0005-0000-0000-000089050000}"/>
    <cellStyle name="Percent 5 2" xfId="1084" xr:uid="{00000000-0005-0000-0000-00008A050000}"/>
    <cellStyle name="Percent 6" xfId="1085" xr:uid="{00000000-0005-0000-0000-00008B050000}"/>
    <cellStyle name="Percent 6 2" xfId="1086" xr:uid="{00000000-0005-0000-0000-00008C050000}"/>
    <cellStyle name="Percent 6 2 2" xfId="1087" xr:uid="{00000000-0005-0000-0000-00008D050000}"/>
    <cellStyle name="Percent 6 2 2 2" xfId="1088" xr:uid="{00000000-0005-0000-0000-00008E050000}"/>
    <cellStyle name="Percent 6 2 2 3" xfId="1089" xr:uid="{00000000-0005-0000-0000-00008F050000}"/>
    <cellStyle name="Percent 6 2 3" xfId="1090" xr:uid="{00000000-0005-0000-0000-000090050000}"/>
    <cellStyle name="Percent 6 2 4" xfId="1091" xr:uid="{00000000-0005-0000-0000-000091050000}"/>
    <cellStyle name="Percent 6 3" xfId="1092" xr:uid="{00000000-0005-0000-0000-000092050000}"/>
    <cellStyle name="Percent 6 3 2" xfId="1093" xr:uid="{00000000-0005-0000-0000-000093050000}"/>
    <cellStyle name="Percent 6 3 3" xfId="1094" xr:uid="{00000000-0005-0000-0000-000094050000}"/>
    <cellStyle name="Percent 6 4" xfId="1095" xr:uid="{00000000-0005-0000-0000-000095050000}"/>
    <cellStyle name="Percent 6 5" xfId="1096" xr:uid="{00000000-0005-0000-0000-000096050000}"/>
    <cellStyle name="Percent 7" xfId="1097" xr:uid="{00000000-0005-0000-0000-000097050000}"/>
    <cellStyle name="Percent 8" xfId="1098" xr:uid="{00000000-0005-0000-0000-000098050000}"/>
    <cellStyle name="Percent 9" xfId="1099" xr:uid="{00000000-0005-0000-0000-000099050000}"/>
    <cellStyle name="pricing" xfId="1100" xr:uid="{00000000-0005-0000-0000-00009A050000}"/>
    <cellStyle name="Result" xfId="1101" xr:uid="{00000000-0005-0000-0000-00009B050000}"/>
    <cellStyle name="Result 1" xfId="1102" xr:uid="{00000000-0005-0000-0000-00009C050000}"/>
    <cellStyle name="Result2" xfId="1103" xr:uid="{00000000-0005-0000-0000-00009D050000}"/>
    <cellStyle name="Result2 1" xfId="1104" xr:uid="{00000000-0005-0000-0000-00009E050000}"/>
    <cellStyle name="rf0" xfId="1105" xr:uid="{00000000-0005-0000-0000-00009F050000}"/>
    <cellStyle name="rf1" xfId="1106" xr:uid="{00000000-0005-0000-0000-0000A0050000}"/>
    <cellStyle name="rf10" xfId="1107" xr:uid="{00000000-0005-0000-0000-0000A1050000}"/>
    <cellStyle name="rf11" xfId="1108" xr:uid="{00000000-0005-0000-0000-0000A2050000}"/>
    <cellStyle name="rf12" xfId="1109" xr:uid="{00000000-0005-0000-0000-0000A3050000}"/>
    <cellStyle name="rf13" xfId="1110" xr:uid="{00000000-0005-0000-0000-0000A4050000}"/>
    <cellStyle name="rf14" xfId="1111" xr:uid="{00000000-0005-0000-0000-0000A5050000}"/>
    <cellStyle name="rf15" xfId="1112" xr:uid="{00000000-0005-0000-0000-0000A6050000}"/>
    <cellStyle name="rf16" xfId="1113" xr:uid="{00000000-0005-0000-0000-0000A7050000}"/>
    <cellStyle name="rf17" xfId="1114" xr:uid="{00000000-0005-0000-0000-0000A8050000}"/>
    <cellStyle name="rf17 10" xfId="1115" xr:uid="{00000000-0005-0000-0000-0000A9050000}"/>
    <cellStyle name="rf17 2" xfId="1116" xr:uid="{00000000-0005-0000-0000-0000AA050000}"/>
    <cellStyle name="rf17 3" xfId="1117" xr:uid="{00000000-0005-0000-0000-0000AB050000}"/>
    <cellStyle name="rf17 4" xfId="1118" xr:uid="{00000000-0005-0000-0000-0000AC050000}"/>
    <cellStyle name="rf17 5" xfId="1119" xr:uid="{00000000-0005-0000-0000-0000AD050000}"/>
    <cellStyle name="rf17 6" xfId="1120" xr:uid="{00000000-0005-0000-0000-0000AE050000}"/>
    <cellStyle name="rf17 7" xfId="1121" xr:uid="{00000000-0005-0000-0000-0000AF050000}"/>
    <cellStyle name="rf17 8" xfId="1122" xr:uid="{00000000-0005-0000-0000-0000B0050000}"/>
    <cellStyle name="rf17 9" xfId="1123" xr:uid="{00000000-0005-0000-0000-0000B1050000}"/>
    <cellStyle name="rf18" xfId="1124" xr:uid="{00000000-0005-0000-0000-0000B2050000}"/>
    <cellStyle name="rf19" xfId="1125" xr:uid="{00000000-0005-0000-0000-0000B3050000}"/>
    <cellStyle name="rf2" xfId="1126" xr:uid="{00000000-0005-0000-0000-0000B4050000}"/>
    <cellStyle name="rf20" xfId="1127" xr:uid="{00000000-0005-0000-0000-0000B5050000}"/>
    <cellStyle name="rf21" xfId="1128" xr:uid="{00000000-0005-0000-0000-0000B6050000}"/>
    <cellStyle name="rf22" xfId="1129" xr:uid="{00000000-0005-0000-0000-0000B7050000}"/>
    <cellStyle name="rf23" xfId="1130" xr:uid="{00000000-0005-0000-0000-0000B8050000}"/>
    <cellStyle name="rf24" xfId="1131" xr:uid="{00000000-0005-0000-0000-0000B9050000}"/>
    <cellStyle name="rf25" xfId="1132" xr:uid="{00000000-0005-0000-0000-0000BA050000}"/>
    <cellStyle name="rf26" xfId="1133" xr:uid="{00000000-0005-0000-0000-0000BB050000}"/>
    <cellStyle name="rf27" xfId="1134" xr:uid="{00000000-0005-0000-0000-0000BC050000}"/>
    <cellStyle name="rf3" xfId="1135" xr:uid="{00000000-0005-0000-0000-0000BD050000}"/>
    <cellStyle name="rf4" xfId="1136" xr:uid="{00000000-0005-0000-0000-0000BE050000}"/>
    <cellStyle name="rf5" xfId="1137" xr:uid="{00000000-0005-0000-0000-0000BF050000}"/>
    <cellStyle name="rf6" xfId="1138" xr:uid="{00000000-0005-0000-0000-0000C0050000}"/>
    <cellStyle name="rf7" xfId="1139" xr:uid="{00000000-0005-0000-0000-0000C1050000}"/>
    <cellStyle name="rf8" xfId="1140" xr:uid="{00000000-0005-0000-0000-0000C2050000}"/>
    <cellStyle name="rf9" xfId="1141" xr:uid="{00000000-0005-0000-0000-0000C3050000}"/>
    <cellStyle name="Saisie" xfId="1142" xr:uid="{00000000-0005-0000-0000-0000C4050000}"/>
    <cellStyle name="SAPBEXaggData" xfId="1143" xr:uid="{00000000-0005-0000-0000-0000C5050000}"/>
    <cellStyle name="SAPBEXaggData 2" xfId="1144" xr:uid="{00000000-0005-0000-0000-0000C6050000}"/>
    <cellStyle name="SAPBEXaggDataEmph" xfId="1145" xr:uid="{00000000-0005-0000-0000-0000C7050000}"/>
    <cellStyle name="SAPBEXaggItem" xfId="1146" xr:uid="{00000000-0005-0000-0000-0000C8050000}"/>
    <cellStyle name="SAPBEXaggItem 2" xfId="1147" xr:uid="{00000000-0005-0000-0000-0000C9050000}"/>
    <cellStyle name="SAPBEXaggItemX" xfId="1148" xr:uid="{00000000-0005-0000-0000-0000CA050000}"/>
    <cellStyle name="SAPBEXchaText" xfId="1149" xr:uid="{00000000-0005-0000-0000-0000CB050000}"/>
    <cellStyle name="SAPBEXchaText 2" xfId="1150" xr:uid="{00000000-0005-0000-0000-0000CC050000}"/>
    <cellStyle name="SAPBEXexcBad7" xfId="1151" xr:uid="{00000000-0005-0000-0000-0000CD050000}"/>
    <cellStyle name="SAPBEXexcBad8" xfId="1152" xr:uid="{00000000-0005-0000-0000-0000CE050000}"/>
    <cellStyle name="SAPBEXexcBad9" xfId="1153" xr:uid="{00000000-0005-0000-0000-0000CF050000}"/>
    <cellStyle name="SAPBEXexcCritical4" xfId="1154" xr:uid="{00000000-0005-0000-0000-0000D0050000}"/>
    <cellStyle name="SAPBEXexcCritical5" xfId="1155" xr:uid="{00000000-0005-0000-0000-0000D1050000}"/>
    <cellStyle name="SAPBEXexcCritical6" xfId="1156" xr:uid="{00000000-0005-0000-0000-0000D2050000}"/>
    <cellStyle name="SAPBEXexcGood1" xfId="1157" xr:uid="{00000000-0005-0000-0000-0000D3050000}"/>
    <cellStyle name="SAPBEXexcGood2" xfId="1158" xr:uid="{00000000-0005-0000-0000-0000D4050000}"/>
    <cellStyle name="SAPBEXexcGood3" xfId="1159" xr:uid="{00000000-0005-0000-0000-0000D5050000}"/>
    <cellStyle name="SAPBEXfilterDrill" xfId="1160" xr:uid="{00000000-0005-0000-0000-0000D6050000}"/>
    <cellStyle name="SAPBEXfilterDrill 2" xfId="1161" xr:uid="{00000000-0005-0000-0000-0000D7050000}"/>
    <cellStyle name="SAPBEXfilterItem" xfId="1162" xr:uid="{00000000-0005-0000-0000-0000D8050000}"/>
    <cellStyle name="SAPBEXfilterItem 2" xfId="1163" xr:uid="{00000000-0005-0000-0000-0000D9050000}"/>
    <cellStyle name="SAPBEXfilterText" xfId="1164" xr:uid="{00000000-0005-0000-0000-0000DA050000}"/>
    <cellStyle name="SAPBEXformats" xfId="1165" xr:uid="{00000000-0005-0000-0000-0000DB050000}"/>
    <cellStyle name="SAPBEXheaderItem" xfId="1166" xr:uid="{00000000-0005-0000-0000-0000DC050000}"/>
    <cellStyle name="SAPBEXheaderItem 2" xfId="1167" xr:uid="{00000000-0005-0000-0000-0000DD050000}"/>
    <cellStyle name="SAPBEXheaderText" xfId="1168" xr:uid="{00000000-0005-0000-0000-0000DE050000}"/>
    <cellStyle name="SAPBEXheaderText 2" xfId="1169" xr:uid="{00000000-0005-0000-0000-0000DF050000}"/>
    <cellStyle name="SAPBEXHLevel0" xfId="1170" xr:uid="{00000000-0005-0000-0000-0000E0050000}"/>
    <cellStyle name="SAPBEXHLevel0 2" xfId="1539" xr:uid="{00000000-0005-0000-0000-0000E1050000}"/>
    <cellStyle name="SAPBEXHLevel0X" xfId="1171" xr:uid="{00000000-0005-0000-0000-0000E2050000}"/>
    <cellStyle name="SAPBEXHLevel0X 2" xfId="1540" xr:uid="{00000000-0005-0000-0000-0000E3050000}"/>
    <cellStyle name="SAPBEXHLevel1" xfId="1172" xr:uid="{00000000-0005-0000-0000-0000E4050000}"/>
    <cellStyle name="SAPBEXHLevel1 2" xfId="1541" xr:uid="{00000000-0005-0000-0000-0000E5050000}"/>
    <cellStyle name="SAPBEXHLevel1X" xfId="1173" xr:uid="{00000000-0005-0000-0000-0000E6050000}"/>
    <cellStyle name="SAPBEXHLevel1X 2" xfId="1542" xr:uid="{00000000-0005-0000-0000-0000E7050000}"/>
    <cellStyle name="SAPBEXHLevel2" xfId="1174" xr:uid="{00000000-0005-0000-0000-0000E8050000}"/>
    <cellStyle name="SAPBEXHLevel2 2" xfId="1543" xr:uid="{00000000-0005-0000-0000-0000E9050000}"/>
    <cellStyle name="SAPBEXHLevel2X" xfId="1175" xr:uid="{00000000-0005-0000-0000-0000EA050000}"/>
    <cellStyle name="SAPBEXHLevel2X 2" xfId="1544" xr:uid="{00000000-0005-0000-0000-0000EB050000}"/>
    <cellStyle name="SAPBEXHLevel3" xfId="1176" xr:uid="{00000000-0005-0000-0000-0000EC050000}"/>
    <cellStyle name="SAPBEXHLevel3 2" xfId="1545" xr:uid="{00000000-0005-0000-0000-0000ED050000}"/>
    <cellStyle name="SAPBEXHLevel3X" xfId="1177" xr:uid="{00000000-0005-0000-0000-0000EE050000}"/>
    <cellStyle name="SAPBEXHLevel3X 2" xfId="1546" xr:uid="{00000000-0005-0000-0000-0000EF050000}"/>
    <cellStyle name="SAPBEXinputData" xfId="1178" xr:uid="{00000000-0005-0000-0000-0000F0050000}"/>
    <cellStyle name="SAPBEXinputData 2" xfId="1547" xr:uid="{00000000-0005-0000-0000-0000F1050000}"/>
    <cellStyle name="SAPBEXresData" xfId="1179" xr:uid="{00000000-0005-0000-0000-0000F2050000}"/>
    <cellStyle name="SAPBEXresDataEmph" xfId="1180" xr:uid="{00000000-0005-0000-0000-0000F3050000}"/>
    <cellStyle name="SAPBEXresItem" xfId="1181" xr:uid="{00000000-0005-0000-0000-0000F4050000}"/>
    <cellStyle name="SAPBEXresItemX" xfId="1182" xr:uid="{00000000-0005-0000-0000-0000F5050000}"/>
    <cellStyle name="SAPBEXstdData" xfId="1183" xr:uid="{00000000-0005-0000-0000-0000F6050000}"/>
    <cellStyle name="SAPBEXstdData 2" xfId="1184" xr:uid="{00000000-0005-0000-0000-0000F7050000}"/>
    <cellStyle name="SAPBEXstdDataEmph" xfId="1185" xr:uid="{00000000-0005-0000-0000-0000F8050000}"/>
    <cellStyle name="SAPBEXstdItem" xfId="1186" xr:uid="{00000000-0005-0000-0000-0000F9050000}"/>
    <cellStyle name="SAPBEXstdItem 2" xfId="1187" xr:uid="{00000000-0005-0000-0000-0000FA050000}"/>
    <cellStyle name="SAPBEXstdItem 3" xfId="1188" xr:uid="{00000000-0005-0000-0000-0000FB050000}"/>
    <cellStyle name="SAPBEXstdItemX" xfId="1189" xr:uid="{00000000-0005-0000-0000-0000FC050000}"/>
    <cellStyle name="SAPBEXtitle" xfId="1190" xr:uid="{00000000-0005-0000-0000-0000FD050000}"/>
    <cellStyle name="SAPBEXundefined" xfId="1191" xr:uid="{00000000-0005-0000-0000-0000FE050000}"/>
    <cellStyle name="Sheet Title" xfId="1192" xr:uid="{00000000-0005-0000-0000-0000FF050000}"/>
    <cellStyle name="Style 1" xfId="1193" xr:uid="{00000000-0005-0000-0000-000000060000}"/>
    <cellStyle name="Style 1 2" xfId="1548" xr:uid="{00000000-0005-0000-0000-000001060000}"/>
    <cellStyle name="Style2" xfId="1194" xr:uid="{00000000-0005-0000-0000-000002060000}"/>
    <cellStyle name="Style2 2" xfId="1549" xr:uid="{00000000-0005-0000-0000-000003060000}"/>
    <cellStyle name="subhead" xfId="1195" xr:uid="{00000000-0005-0000-0000-000004060000}"/>
    <cellStyle name="tab" xfId="1196" xr:uid="{00000000-0005-0000-0000-000005060000}"/>
    <cellStyle name="TableStyleLight1" xfId="1197" xr:uid="{00000000-0005-0000-0000-000006060000}"/>
    <cellStyle name="TableStyleLight1 2" xfId="1198" xr:uid="{00000000-0005-0000-0000-000007060000}"/>
    <cellStyle name="TextInput" xfId="1199" xr:uid="{00000000-0005-0000-0000-000008060000}"/>
    <cellStyle name="TextInput 2" xfId="1550" xr:uid="{00000000-0005-0000-0000-000009060000}"/>
    <cellStyle name="Tickmark" xfId="1200" xr:uid="{00000000-0005-0000-0000-00000A060000}"/>
    <cellStyle name="Title 2" xfId="1201" xr:uid="{00000000-0005-0000-0000-00000B060000}"/>
    <cellStyle name="TitleBar" xfId="1202" xr:uid="{00000000-0005-0000-0000-00000C060000}"/>
    <cellStyle name="Total 2" xfId="1203" xr:uid="{00000000-0005-0000-0000-00000D060000}"/>
    <cellStyle name="Warning Text 2" xfId="1204" xr:uid="{00000000-0005-0000-0000-00000E060000}"/>
    <cellStyle name="ww" xfId="1205" xr:uid="{00000000-0005-0000-0000-00000F060000}"/>
    <cellStyle name="X-" xfId="1206" xr:uid="{00000000-0005-0000-0000-000010060000}"/>
    <cellStyle name="X- 2" xfId="1551" xr:uid="{00000000-0005-0000-0000-000011060000}"/>
    <cellStyle name="Yellow" xfId="1207" xr:uid="{00000000-0005-0000-0000-00001206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 /><Relationship Id="rId18" Type="http://schemas.openxmlformats.org/officeDocument/2006/relationships/worksheet" Target="worksheets/sheet18.xml" /><Relationship Id="rId26" Type="http://schemas.openxmlformats.org/officeDocument/2006/relationships/worksheet" Target="worksheets/sheet26.xml" /><Relationship Id="rId39" Type="http://schemas.openxmlformats.org/officeDocument/2006/relationships/externalLink" Target="externalLinks/externalLink7.xml" /><Relationship Id="rId21" Type="http://schemas.openxmlformats.org/officeDocument/2006/relationships/worksheet" Target="worksheets/sheet21.xml" /><Relationship Id="rId34" Type="http://schemas.openxmlformats.org/officeDocument/2006/relationships/externalLink" Target="externalLinks/externalLink2.xml" /><Relationship Id="rId42" Type="http://schemas.openxmlformats.org/officeDocument/2006/relationships/externalLink" Target="externalLinks/externalLink10.xml" /><Relationship Id="rId47" Type="http://schemas.openxmlformats.org/officeDocument/2006/relationships/externalLink" Target="externalLinks/externalLink15.xml" /><Relationship Id="rId50" Type="http://schemas.openxmlformats.org/officeDocument/2006/relationships/externalLink" Target="externalLinks/externalLink18.xml" /><Relationship Id="rId55" Type="http://schemas.openxmlformats.org/officeDocument/2006/relationships/externalLink" Target="externalLinks/externalLink23.xml" /><Relationship Id="rId63" Type="http://schemas.openxmlformats.org/officeDocument/2006/relationships/externalLink" Target="externalLinks/externalLink31.xml" /><Relationship Id="rId68" Type="http://schemas.openxmlformats.org/officeDocument/2006/relationships/externalLink" Target="externalLinks/externalLink36.xml" /><Relationship Id="rId76" Type="http://schemas.openxmlformats.org/officeDocument/2006/relationships/externalLink" Target="externalLinks/externalLink44.xml" /><Relationship Id="rId84" Type="http://schemas.openxmlformats.org/officeDocument/2006/relationships/externalLink" Target="externalLinks/externalLink52.xml" /><Relationship Id="rId89" Type="http://schemas.openxmlformats.org/officeDocument/2006/relationships/styles" Target="styles.xml" /><Relationship Id="rId7" Type="http://schemas.openxmlformats.org/officeDocument/2006/relationships/worksheet" Target="worksheets/sheet7.xml" /><Relationship Id="rId71" Type="http://schemas.openxmlformats.org/officeDocument/2006/relationships/externalLink" Target="externalLinks/externalLink39.xml" /><Relationship Id="rId2" Type="http://schemas.openxmlformats.org/officeDocument/2006/relationships/worksheet" Target="worksheets/sheet2.xml" /><Relationship Id="rId16" Type="http://schemas.openxmlformats.org/officeDocument/2006/relationships/worksheet" Target="worksheets/sheet16.xml" /><Relationship Id="rId29" Type="http://schemas.openxmlformats.org/officeDocument/2006/relationships/worksheet" Target="worksheets/sheet29.xml" /><Relationship Id="rId11" Type="http://schemas.openxmlformats.org/officeDocument/2006/relationships/worksheet" Target="worksheets/sheet11.xml" /><Relationship Id="rId24" Type="http://schemas.openxmlformats.org/officeDocument/2006/relationships/worksheet" Target="worksheets/sheet24.xml" /><Relationship Id="rId32" Type="http://schemas.openxmlformats.org/officeDocument/2006/relationships/worksheet" Target="worksheets/sheet32.xml" /><Relationship Id="rId37" Type="http://schemas.openxmlformats.org/officeDocument/2006/relationships/externalLink" Target="externalLinks/externalLink5.xml" /><Relationship Id="rId40" Type="http://schemas.openxmlformats.org/officeDocument/2006/relationships/externalLink" Target="externalLinks/externalLink8.xml" /><Relationship Id="rId45" Type="http://schemas.openxmlformats.org/officeDocument/2006/relationships/externalLink" Target="externalLinks/externalLink13.xml" /><Relationship Id="rId53" Type="http://schemas.openxmlformats.org/officeDocument/2006/relationships/externalLink" Target="externalLinks/externalLink21.xml" /><Relationship Id="rId58" Type="http://schemas.openxmlformats.org/officeDocument/2006/relationships/externalLink" Target="externalLinks/externalLink26.xml" /><Relationship Id="rId66" Type="http://schemas.openxmlformats.org/officeDocument/2006/relationships/externalLink" Target="externalLinks/externalLink34.xml" /><Relationship Id="rId74" Type="http://schemas.openxmlformats.org/officeDocument/2006/relationships/externalLink" Target="externalLinks/externalLink42.xml" /><Relationship Id="rId79" Type="http://schemas.openxmlformats.org/officeDocument/2006/relationships/externalLink" Target="externalLinks/externalLink47.xml" /><Relationship Id="rId87" Type="http://schemas.openxmlformats.org/officeDocument/2006/relationships/externalLink" Target="externalLinks/externalLink55.xml" /><Relationship Id="rId5" Type="http://schemas.openxmlformats.org/officeDocument/2006/relationships/worksheet" Target="worksheets/sheet5.xml" /><Relationship Id="rId61" Type="http://schemas.openxmlformats.org/officeDocument/2006/relationships/externalLink" Target="externalLinks/externalLink29.xml" /><Relationship Id="rId82" Type="http://schemas.openxmlformats.org/officeDocument/2006/relationships/externalLink" Target="externalLinks/externalLink50.xml" /><Relationship Id="rId90" Type="http://schemas.openxmlformats.org/officeDocument/2006/relationships/sharedStrings" Target="sharedStrings.xml" /><Relationship Id="rId19" Type="http://schemas.openxmlformats.org/officeDocument/2006/relationships/worksheet" Target="worksheets/sheet19.xml" /><Relationship Id="rId14" Type="http://schemas.openxmlformats.org/officeDocument/2006/relationships/worksheet" Target="worksheets/sheet14.xml" /><Relationship Id="rId22" Type="http://schemas.openxmlformats.org/officeDocument/2006/relationships/worksheet" Target="worksheets/sheet22.xml" /><Relationship Id="rId27" Type="http://schemas.openxmlformats.org/officeDocument/2006/relationships/worksheet" Target="worksheets/sheet27.xml" /><Relationship Id="rId30" Type="http://schemas.openxmlformats.org/officeDocument/2006/relationships/worksheet" Target="worksheets/sheet30.xml" /><Relationship Id="rId35" Type="http://schemas.openxmlformats.org/officeDocument/2006/relationships/externalLink" Target="externalLinks/externalLink3.xml" /><Relationship Id="rId43" Type="http://schemas.openxmlformats.org/officeDocument/2006/relationships/externalLink" Target="externalLinks/externalLink11.xml" /><Relationship Id="rId48" Type="http://schemas.openxmlformats.org/officeDocument/2006/relationships/externalLink" Target="externalLinks/externalLink16.xml" /><Relationship Id="rId56" Type="http://schemas.openxmlformats.org/officeDocument/2006/relationships/externalLink" Target="externalLinks/externalLink24.xml" /><Relationship Id="rId64" Type="http://schemas.openxmlformats.org/officeDocument/2006/relationships/externalLink" Target="externalLinks/externalLink32.xml" /><Relationship Id="rId69" Type="http://schemas.openxmlformats.org/officeDocument/2006/relationships/externalLink" Target="externalLinks/externalLink37.xml" /><Relationship Id="rId77" Type="http://schemas.openxmlformats.org/officeDocument/2006/relationships/externalLink" Target="externalLinks/externalLink45.xml" /><Relationship Id="rId8" Type="http://schemas.openxmlformats.org/officeDocument/2006/relationships/worksheet" Target="worksheets/sheet8.xml" /><Relationship Id="rId51" Type="http://schemas.openxmlformats.org/officeDocument/2006/relationships/externalLink" Target="externalLinks/externalLink19.xml" /><Relationship Id="rId72" Type="http://schemas.openxmlformats.org/officeDocument/2006/relationships/externalLink" Target="externalLinks/externalLink40.xml" /><Relationship Id="rId80" Type="http://schemas.openxmlformats.org/officeDocument/2006/relationships/externalLink" Target="externalLinks/externalLink48.xml" /><Relationship Id="rId85" Type="http://schemas.openxmlformats.org/officeDocument/2006/relationships/externalLink" Target="externalLinks/externalLink53.xml" /><Relationship Id="rId3" Type="http://schemas.openxmlformats.org/officeDocument/2006/relationships/worksheet" Target="worksheets/sheet3.xml" /><Relationship Id="rId12" Type="http://schemas.openxmlformats.org/officeDocument/2006/relationships/worksheet" Target="worksheets/sheet12.xml" /><Relationship Id="rId17" Type="http://schemas.openxmlformats.org/officeDocument/2006/relationships/worksheet" Target="worksheets/sheet17.xml" /><Relationship Id="rId25" Type="http://schemas.openxmlformats.org/officeDocument/2006/relationships/worksheet" Target="worksheets/sheet25.xml" /><Relationship Id="rId33" Type="http://schemas.openxmlformats.org/officeDocument/2006/relationships/externalLink" Target="externalLinks/externalLink1.xml" /><Relationship Id="rId38" Type="http://schemas.openxmlformats.org/officeDocument/2006/relationships/externalLink" Target="externalLinks/externalLink6.xml" /><Relationship Id="rId46" Type="http://schemas.openxmlformats.org/officeDocument/2006/relationships/externalLink" Target="externalLinks/externalLink14.xml" /><Relationship Id="rId59" Type="http://schemas.openxmlformats.org/officeDocument/2006/relationships/externalLink" Target="externalLinks/externalLink27.xml" /><Relationship Id="rId67" Type="http://schemas.openxmlformats.org/officeDocument/2006/relationships/externalLink" Target="externalLinks/externalLink35.xml" /><Relationship Id="rId20" Type="http://schemas.openxmlformats.org/officeDocument/2006/relationships/worksheet" Target="worksheets/sheet20.xml" /><Relationship Id="rId41" Type="http://schemas.openxmlformats.org/officeDocument/2006/relationships/externalLink" Target="externalLinks/externalLink9.xml" /><Relationship Id="rId54" Type="http://schemas.openxmlformats.org/officeDocument/2006/relationships/externalLink" Target="externalLinks/externalLink22.xml" /><Relationship Id="rId62" Type="http://schemas.openxmlformats.org/officeDocument/2006/relationships/externalLink" Target="externalLinks/externalLink30.xml" /><Relationship Id="rId70" Type="http://schemas.openxmlformats.org/officeDocument/2006/relationships/externalLink" Target="externalLinks/externalLink38.xml" /><Relationship Id="rId75" Type="http://schemas.openxmlformats.org/officeDocument/2006/relationships/externalLink" Target="externalLinks/externalLink43.xml" /><Relationship Id="rId83" Type="http://schemas.openxmlformats.org/officeDocument/2006/relationships/externalLink" Target="externalLinks/externalLink51.xml" /><Relationship Id="rId88" Type="http://schemas.openxmlformats.org/officeDocument/2006/relationships/theme" Target="theme/theme1.xml" /><Relationship Id="rId91" Type="http://schemas.openxmlformats.org/officeDocument/2006/relationships/calcChain" Target="calcChain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5" Type="http://schemas.openxmlformats.org/officeDocument/2006/relationships/worksheet" Target="worksheets/sheet15.xml" /><Relationship Id="rId23" Type="http://schemas.openxmlformats.org/officeDocument/2006/relationships/worksheet" Target="worksheets/sheet23.xml" /><Relationship Id="rId28" Type="http://schemas.openxmlformats.org/officeDocument/2006/relationships/worksheet" Target="worksheets/sheet28.xml" /><Relationship Id="rId36" Type="http://schemas.openxmlformats.org/officeDocument/2006/relationships/externalLink" Target="externalLinks/externalLink4.xml" /><Relationship Id="rId49" Type="http://schemas.openxmlformats.org/officeDocument/2006/relationships/externalLink" Target="externalLinks/externalLink17.xml" /><Relationship Id="rId57" Type="http://schemas.openxmlformats.org/officeDocument/2006/relationships/externalLink" Target="externalLinks/externalLink25.xml" /><Relationship Id="rId10" Type="http://schemas.openxmlformats.org/officeDocument/2006/relationships/worksheet" Target="worksheets/sheet10.xml" /><Relationship Id="rId31" Type="http://schemas.openxmlformats.org/officeDocument/2006/relationships/worksheet" Target="worksheets/sheet31.xml" /><Relationship Id="rId44" Type="http://schemas.openxmlformats.org/officeDocument/2006/relationships/externalLink" Target="externalLinks/externalLink12.xml" /><Relationship Id="rId52" Type="http://schemas.openxmlformats.org/officeDocument/2006/relationships/externalLink" Target="externalLinks/externalLink20.xml" /><Relationship Id="rId60" Type="http://schemas.openxmlformats.org/officeDocument/2006/relationships/externalLink" Target="externalLinks/externalLink28.xml" /><Relationship Id="rId65" Type="http://schemas.openxmlformats.org/officeDocument/2006/relationships/externalLink" Target="externalLinks/externalLink33.xml" /><Relationship Id="rId73" Type="http://schemas.openxmlformats.org/officeDocument/2006/relationships/externalLink" Target="externalLinks/externalLink41.xml" /><Relationship Id="rId78" Type="http://schemas.openxmlformats.org/officeDocument/2006/relationships/externalLink" Target="externalLinks/externalLink46.xml" /><Relationship Id="rId81" Type="http://schemas.openxmlformats.org/officeDocument/2006/relationships/externalLink" Target="externalLinks/externalLink49.xml" /><Relationship Id="rId86" Type="http://schemas.openxmlformats.org/officeDocument/2006/relationships/externalLink" Target="externalLinks/externalLink54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</xdr:col>
      <xdr:colOff>0</xdr:colOff>
      <xdr:row>6</xdr:row>
      <xdr:rowOff>127000</xdr:rowOff>
    </xdr:to>
    <xdr:sp macro="" textlink="">
      <xdr:nvSpPr>
        <xdr:cNvPr id="2" name="Host Control  1" hidden="1">
          <a:extLst>
            <a:ext uri="{63B3BB69-23CF-44E3-9099-C40C66FF867C}">
              <a14:compatExt xmlns:a14="http://schemas.microsoft.com/office/drawing/2010/main" spid="_x0000_s2049"/>
            </a:ext>
            <a:ext uri="{FF2B5EF4-FFF2-40B4-BE49-F238E27FC236}">
              <a16:creationId xmlns:a16="http://schemas.microsoft.com/office/drawing/2014/main" id="{88E1CD7C-C9C8-4C83-9BAF-25A5F591E83E}"/>
            </a:ext>
          </a:extLst>
        </xdr:cNvPr>
        <xdr:cNvSpPr/>
      </xdr:nvSpPr>
      <xdr:spPr>
        <a:xfrm>
          <a:off x="800100" y="1162050"/>
          <a:ext cx="0" cy="755650"/>
        </a:xfrm>
        <a:prstGeom prst="rect">
          <a:avLst/>
        </a:prstGeom>
      </xdr:spPr>
    </xdr:sp>
    <xdr:clientData/>
  </xdr:twoCellAnchor>
  <xdr:twoCellAnchor editAs="oneCell">
    <xdr:from>
      <xdr:col>1</xdr:col>
      <xdr:colOff>0</xdr:colOff>
      <xdr:row>3</xdr:row>
      <xdr:rowOff>0</xdr:rowOff>
    </xdr:from>
    <xdr:to>
      <xdr:col>2</xdr:col>
      <xdr:colOff>9525</xdr:colOff>
      <xdr:row>6</xdr:row>
      <xdr:rowOff>228600</xdr:rowOff>
    </xdr:to>
    <xdr:sp macro="" textlink="">
      <xdr:nvSpPr>
        <xdr:cNvPr id="3" name="Host Control  1">
          <a:extLst>
            <a:ext uri="{FF2B5EF4-FFF2-40B4-BE49-F238E27FC236}">
              <a16:creationId xmlns:a16="http://schemas.microsoft.com/office/drawing/2014/main" id="{F923CB59-FB8B-42C8-830C-8A8ECC80F634}"/>
            </a:ext>
          </a:extLst>
        </xdr:cNvPr>
        <xdr:cNvSpPr>
          <a:spLocks noChangeArrowheads="1" noChangeShapeType="1"/>
        </xdr:cNvSpPr>
      </xdr:nvSpPr>
      <xdr:spPr bwMode="auto">
        <a:xfrm>
          <a:off x="800100" y="1162050"/>
          <a:ext cx="9525" cy="857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noFill/>
            </a14:hiddenFill>
          </a:ex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gusto_server/old_486/Br2002/Peer%20Comparisons/GTB2002.xls" TargetMode="External" 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/TAX/ADEYEMI/PAYROLLS/NEWTY.XLS" TargetMode="External" 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PDS3" TargetMode="External" 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mware-host/Shared%20Folders/lanreakinbo%20On%20My%20Mac/Library/Mail%20Downloads/ADMIN/WIZER%20RECORDS.xlsx" TargetMode="External" 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8C38045/CSRL%20MAY%202010-ife.xlsx" TargetMode="External" 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5B42C572/CSRL%20MAY%202010-ife.xlsx" TargetMode="External" 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Ibrahim.Jimoh.FIRSTCITYGROUP/Local%20Settings/Temporary%20Internet%20Files/Content.Outlook/X2U3K68R/CSRL%20MAY%202010-ife.xlsx" TargetMode="External" 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Ibrahim.Jimoh.FIRSTCITYGROUP/Local%20Settings/Temporary%20Internet%20Files/Content.Outlook/X2U3K68R/CSRL%20MAY%202010-ife.xlsx" TargetMode="External" 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/Clients/Hewlett-Packard/Direct%20Tax/Pit/Payroll/2009/December%202009/HP%20December%202009%20Payroll.xls" TargetMode="External" 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tukoya%20Tejumola/Documents/KCSSA/2013/KC%20SSA_MAY_2013%20PAYROLL.xlsx" TargetMode="External" 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%20005/Desktop/NAGODE%20GROUP%20REPORT%202015/Users/HP4~1/AppData/Local/Temp/Users/Otukoya%20Tejumola/Documents/KCSSA/2013/KC%20SSA_MAY_2013%20PAYROLL.xlsx" TargetMode="External" 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003.ISHLAT003-PC/Desktop/NAGODE%20GROUP%20REPORT%202015/Users/HP4~1/AppData/Local/Temp/Users/Otukoya%20Tejumola/Documents/KCSSA/2013/KC%20SSA_MAY_2013%20PAYROLL.xlsx" TargetMode="External" 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Otukoya%20Tejumola/Documents/KCSSA/2013/KC%20SSA_MAY_2013%20PAYROLL.xlsx" TargetMode="External" 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incon/C/My%20Documents%20Old/FELIX1/Budget/2004%20Budget/BUDGET%202004%20TEMPLATETOTAL%20BOARD1.xls" TargetMode="External" 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bolaji%20Olorunkoya/Documents/Audit%20and%20Accounting/Property%20&amp;%20Construction/Primrose%20Property%20Investment%20Limited/PPIL%202008/X%20-%20Accounts%20Working%20Papers/P" TargetMode="External" 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68F8110F/P" TargetMode="External" 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Abolaji%20Olorunkoya/Documents/Audit%20and%20Accounting/Property%20&amp;%20Construction/Primrose%20Property%20Investment%20Limited/PPIL%202008/X%20-%20Accounts%20Working%20Papers/P" TargetMode="External" 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WINDOWS/TEMP/GAMxFiles/ugeeakef77icb7f5avq7bveg9p85ip7bifvxz723ckh4c2dnzw3n/Sep%205%2012/7e7ad093daf94cb9bd51ecf3d32ea8ca/N00-%20Accounts%20payable%20workbook.xlsx" TargetMode="External" 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/WINDOWS/TEMP/GAMxFiles/ugeeakef77icb7f5avq7bveg9p85ip7bifvxz723ckh4c2dnzw3n/Sep%205%2012/7e7ad093daf94cb9bd51ecf3d32ea8ca/N00-%20Accounts%20payable%20workbook.xlsx" TargetMode="External" 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broron/Osas%20-%20WIP/Broron%20Oil%20and%20Gas%20Ltd/Bronon%20Financials/Broron-March(1).xlsx" TargetMode="External" 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%20005/Desktop/NAGODE%20GROUP%20REPORT%202015/Users/HP4~1/AppData/Local/Temp/broron/Osas%20-%20WIP/Broron%20Oil%20and%20Gas%20Ltd/Bronon%20Financials/Broron-March(1).xlsx" TargetMode="External" 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003.ISHLAT003-PC/Desktop/NAGODE%20GROUP%20REPORT%202015/Users/HP4~1/AppData/Local/Temp/broron/Osas%20-%20WIP/Broron%20Oil%20and%20Gas%20Ltd/Bronon%20Financials/Broron-March(1).xlsx" TargetMode="External" 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broron/Osas%20-%20WIP/Broron%20Oil%20and%20Gas%20Ltd/Bronon%20Financials/Broron-March(1).xlsx" TargetMode="External" 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Office/My%20Documents/AUDIT/PPIL%20Olu/PPIL%20WORKING%20TB%202010.xlsx" TargetMode="External" 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%20005/Desktop/NAGODE%20GROUP%20REPORT%202015/Users/HP4~1/AppData/Local/Temp/Documents%20and%20Settings/Office/My%20Documents/AUDIT/PPIL%20Olu/PPIL%20WORKING%20TB%202010.xlsx" TargetMode="External" 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003.ISHLAT003-PC/Desktop/NAGODE%20GROUP%20REPORT%202015/Users/HP4~1/AppData/Local/Temp/Documents%20and%20Settings/Office/My%20Documents/AUDIT/PPIL%20Olu/PPIL%20WORKING%20TB%202010.xlsx" TargetMode="External" 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Office/My%20Documents/AUDIT/PPIL%20Olu/PPIL%20WORKING%20TB%202010.xlsx" TargetMode="External" 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%20005/Desktop/NAGODE%20GROUP%20REPORT%202015/Users/HP4~1/AppData/Local/Temp/Documents%20and%20Settings/All%20Users/Documents/5101%20Cash%20in%20hand%20Combined%20Leadsheet.xls" TargetMode="External" 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003.ISHLAT003-PC/Desktop/NAGODE%20GROUP%20REPORT%202015/Users/HP4~1/AppData/Local/Temp/Documents%20and%20Settings/All%20Users/Documents/5101%20Cash%20in%20hand%20Combined%20Leadsheet.xls" TargetMode="External" 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Documents%20and%20Settings/All%20Users/Documents/5101%20Cash%20in%20hand%20Combined%20Leadsheet.xls" TargetMode="External" 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ll%20Users/Documents/5101%20Cash%20in%20hand%20Combined%20Leadsheet.xls" TargetMode="External" 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2E2BC22/Expenses%20Breakdown%20-%20June%202010.xlsx" TargetMode="External" 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0B8CBBC2/Copy%20of%20CSL%20TRUSTEES%20MGT%20ACCO" TargetMode="External" 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Fatimah%20Ajila/Desktop/ALL/ALLIED%20SOFT/2013/CURRENT%20FILE/audit/Trustee/csl/CSL%20Trustees%20Ltd%202013/captions/1%20cash%20and%20bank/Copy%20of%20CSL%20TRUSTEES%20MGT%20ACCO" TargetMode="External" 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Fatimah%20Ajila/Desktop/ALL/ALLIED%20SOFT/2013/CURRENT%20FILE/audit/Trustee/csl/CSL%20Trustees%20Ltd%202013/captions/1%20cash%20and%20bank/Copy%20of%20CSL%20TRUSTEES%20MGT%20ACCO" TargetMode="External" 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%20005/Desktop/NAGODE%20GROUP%20REPORT%202015/Users/HP4~1/AppData/Local/Temp/Users/LAWAL/Desktop/DJ/Awo%20hall/trust/CSL%20TRUSTEES%20MGT%20ACCOUNTS-%20DECEMBER%20%202012.xls" TargetMode="External" 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003.ISHLAT003-PC/Desktop/NAGODE%20GROUP%20REPORT%202015/Users/HP4~1/AppData/Local/Temp/Users/LAWAL/Desktop/DJ/Awo%20hall/trust/CSL%20TRUSTEES%20MGT%20ACCOUNTS-%20DECEMBER%20%202012.xls" TargetMode="External" 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LAWAL/Desktop/DJ/Awo%20hall/trust/CSL%20TRUSTEES%20MGT%20ACCOUNTS-%20DECEMBER%20%202012.xls" TargetMode="External" 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WAL/Desktop/DJ/Awo%20hall/trust/CSL%20TRUSTEES%20MGT%20ACCOUNTS-%20DECEMBER%20%202012.xls" TargetMode="External" 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gusto_server/old_486/Br97/Peer%20Comparisons/Peer%20Comparisons/_Bankrank97%20Peer%20Group%202.xls" TargetMode="External" 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fehintola/AppData/Local/Microsoft/Windows/Temporary%20Internet%20Files/Low/Content.IE5/LB3MQYKS/Documents%20and%20Settings/BASIRAT%20GIWA/My%20Documents/New%20Fold" TargetMode="External" 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906521B2/New%20Fold" TargetMode="External" 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ofehintola/AppData/Local/Microsoft/Windows/Temporary%20Internet%20Files/Low/Content.IE5/LB3MQYKS/Documents%20and%20Settings/BASIRAT%20GIWA/My%20Documents/New%20Fold" TargetMode="External" 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56D5FD10/OSFP%20-%2031%20DEC%202011.xlsx" TargetMode="External" 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BDD17318/OSFP%20-%2031%20DEC%202011.xlsx" TargetMode="External" 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sers/madebayo/Documents/Desktop/IFRS%20PROJECTS/Custodian/LATEST%20IFRS%20FINANCIALS%20-%20CAI%20(2011%20&amp;%201ST%20QTR%202012)/2011%20IFRS%20FS/OSFP%20-%2031%20DEC%202011.xlsx" TargetMode="External" 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8751743/INSURANCE%20PHB%20-%20FINACIAL%20STATEMENT%20(NGAAP)%202010.xls" TargetMode="External" 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debayo/Documents/Desktop/IFRS%20PROJECTS/INSURANCE%20PHB/Technical%20and%20Work%20Papers%20on%20Insurance%20PHB%20OSFP/INSURANCE%20PHB%20-%20FINACIAL%20STATEMENT%20(NGAAP)%202010.xls" TargetMode="External" 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/Users/Oluwaseun/Desktop/ADMIN%20WORKSHEET/Users/madebayo/Documents/Desktop/IFRS%20PROJECTS/INSURANCE%20PHB/Technical%20and%20Work%20Papers%20on%20Insurance%20PHB%20OSFP/INSURANCE%20PHB%20-%20FINACIAL%20STATEMENT%20(NGAAP)%202010.xls" TargetMode="External" 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luwaseun/Desktop/ADMIN%20WORKSHEET/Users/madebayo/Documents/Desktop/IFRS%20PROJECTS/INSURANCE%20PHB/Technical%20and%20Work%20Papers%20on%20Insurance%20PHB%20OSFP/INSURANCE%20PHB%20-%20FINACIAL%20STATEMENT%20(NGAAP)%202010.xls" TargetMode="External" 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%20005/Desktop/NAGODE%20GROUP%20REPORT%202015/Users/Ishlat/Desktop/nagode%20group%2015/Users/madebayo/Documents/Desktop/IFRS%20PROJECTS/Custodian/ifrs%202012/CAI%20Financial%20Statement-2011%20Final.xls" TargetMode="External" 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Ishlat003.ISHLAT003-PC/Desktop/NAGODE%20GROUP%20REPORT%202015/Users/Ishlat/Desktop/nagode%20group%2015/Users/madebayo/Documents/Desktop/IFRS%20PROJECTS/Custodian/ifrs%202012/CAI%20Financial%20Statement-2011%20Final.xls" TargetMode="External" 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Users/madebayo/Documents/Desktop/IFRS%20PROJECTS/Custodian/ifrs%202012/CAI%20Financial%20Statement-2011%20Final.xls" TargetMode="External" 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ajhbfsr09/ClientTargeting/Documents%20and%20Settings/andreafield/My%20Documents/Clients/IFRS/Module%201/Module%201%20master%20unlocked.xls" TargetMode="External" 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ISHLAT%20COUNSULTANTS/Desktop/ADMIN%20WORKSHEET.xlsx" TargetMode="External" /><Relationship Id="rId1" Type="http://schemas.openxmlformats.org/officeDocument/2006/relationships/externalLinkPath" Target="/Users/ISHLAT%20COUNSULTANTS/Desktop/ADMIN%20WORKSHEET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LDFILE"/>
      <sheetName val="OLDFILEadj"/>
      <sheetName val="NEWFILE"/>
      <sheetName val="profile"/>
      <sheetName val="PEER TABLES"/>
      <sheetName val="Sheet1"/>
      <sheetName val="BALSHEET TEMPLATE"/>
      <sheetName val="LCY BALSHEET WKS"/>
      <sheetName val="ALA210"/>
      <sheetName val="EBU210"/>
      <sheetName val="OKE210"/>
      <sheetName val="PEER_TABLES"/>
      <sheetName val="BALSHEET_TEMPLATE"/>
      <sheetName val="LCY_BALSHEET_WKS"/>
      <sheetName val="Sheet15"/>
      <sheetName val="Quanon Ltd"/>
      <sheetName val="PLACEMENT SUMMARY"/>
      <sheetName val="PEER_TABLES1"/>
      <sheetName val="BALSHEET_TEMPLATE1"/>
      <sheetName val="LCY_BALSHEET_WKS1"/>
      <sheetName val="FinStat (No Input)"/>
      <sheetName val="AA_Total Share"/>
      <sheetName val="CHARTS"/>
      <sheetName val="PEER_TABLES5"/>
      <sheetName val="BALSHEET_TEMPLATE5"/>
      <sheetName val="LCY_BALSHEET_WKS5"/>
      <sheetName val="PLACEMENT_SUMMARY3"/>
      <sheetName val="PEER_TABLES3"/>
      <sheetName val="BALSHEET_TEMPLATE3"/>
      <sheetName val="LCY_BALSHEET_WKS3"/>
      <sheetName val="PLACEMENT_SUMMARY1"/>
      <sheetName val="PEER_TABLES2"/>
      <sheetName val="BALSHEET_TEMPLATE2"/>
      <sheetName val="LCY_BALSHEET_WKS2"/>
      <sheetName val="PLACEMENT_SUMMARY"/>
      <sheetName val="PEER_TABLES4"/>
      <sheetName val="BALSHEET_TEMPLATE4"/>
      <sheetName val="LCY_BALSHEET_WKS4"/>
      <sheetName val="PLACEMENT_SUMMARY2"/>
      <sheetName val="PEER_TABLES14"/>
      <sheetName val="BALSHEET_TEMPLATE14"/>
      <sheetName val="LCY_BALSHEET_WKS14"/>
      <sheetName val="PLACEMENT_SUMMARY12"/>
      <sheetName val="PEER_TABLES6"/>
      <sheetName val="BALSHEET_TEMPLATE6"/>
      <sheetName val="LCY_BALSHEET_WKS6"/>
      <sheetName val="PLACEMENT_SUMMARY4"/>
      <sheetName val="PEER_TABLES7"/>
      <sheetName val="BALSHEET_TEMPLATE7"/>
      <sheetName val="LCY_BALSHEET_WKS7"/>
      <sheetName val="PLACEMENT_SUMMARY5"/>
      <sheetName val="PEER_TABLES8"/>
      <sheetName val="BALSHEET_TEMPLATE8"/>
      <sheetName val="LCY_BALSHEET_WKS8"/>
      <sheetName val="PLACEMENT_SUMMARY6"/>
      <sheetName val="PEER_TABLES9"/>
      <sheetName val="BALSHEET_TEMPLATE9"/>
      <sheetName val="LCY_BALSHEET_WKS9"/>
      <sheetName val="PLACEMENT_SUMMARY7"/>
      <sheetName val="PEER_TABLES12"/>
      <sheetName val="BALSHEET_TEMPLATE12"/>
      <sheetName val="LCY_BALSHEET_WKS12"/>
      <sheetName val="PLACEMENT_SUMMARY10"/>
      <sheetName val="PEER_TABLES10"/>
      <sheetName val="BALSHEET_TEMPLATE10"/>
      <sheetName val="LCY_BALSHEET_WKS10"/>
      <sheetName val="PLACEMENT_SUMMARY8"/>
      <sheetName val="PEER_TABLES11"/>
      <sheetName val="BALSHEET_TEMPLATE11"/>
      <sheetName val="LCY_BALSHEET_WKS11"/>
      <sheetName val="PLACEMENT_SUMMARY9"/>
      <sheetName val="PEER_TABLES13"/>
      <sheetName val="BALSHEET_TEMPLATE13"/>
      <sheetName val="LCY_BALSHEET_WKS13"/>
      <sheetName val="PLACEMENT_SUMMARY11"/>
      <sheetName val="PEER_TABLES15"/>
      <sheetName val="BALSHEET_TEMPLATE15"/>
      <sheetName val="LCY_BALSHEET_WKS15"/>
      <sheetName val="PLACEMENT_SUMMARY13"/>
      <sheetName val="PEER_TABLES16"/>
      <sheetName val="BALSHEET_TEMPLATE16"/>
      <sheetName val="LCY_BALSHEET_WKS16"/>
      <sheetName val="PLACEMENT_SUMMARY14"/>
      <sheetName val="PEER_TABLES17"/>
      <sheetName val="BALSHEET_TEMPLATE17"/>
      <sheetName val="LCY_BALSHEET_WKS17"/>
      <sheetName val="PLACEMENT_SUMMARY15"/>
      <sheetName val="PEER_TABLES18"/>
      <sheetName val="BALSHEET_TEMPLATE18"/>
      <sheetName val="LCY_BALSHEET_WKS18"/>
      <sheetName val="PLACEMENT_SUMMARY16"/>
      <sheetName val="PEER_TABLES32"/>
      <sheetName val="BALSHEET_TEMPLATE32"/>
      <sheetName val="LCY_BALSHEET_WKS32"/>
      <sheetName val="PLACEMENT_SUMMARY30"/>
      <sheetName val="PEER_TABLES19"/>
      <sheetName val="BALSHEET_TEMPLATE19"/>
      <sheetName val="LCY_BALSHEET_WKS19"/>
      <sheetName val="PLACEMENT_SUMMARY17"/>
      <sheetName val="PEER_TABLES22"/>
      <sheetName val="BALSHEET_TEMPLATE22"/>
      <sheetName val="LCY_BALSHEET_WKS22"/>
      <sheetName val="PLACEMENT_SUMMARY20"/>
      <sheetName val="PEER_TABLES21"/>
      <sheetName val="BALSHEET_TEMPLATE21"/>
      <sheetName val="LCY_BALSHEET_WKS21"/>
      <sheetName val="PLACEMENT_SUMMARY19"/>
      <sheetName val="PEER_TABLES20"/>
      <sheetName val="BALSHEET_TEMPLATE20"/>
      <sheetName val="LCY_BALSHEET_WKS20"/>
      <sheetName val="PLACEMENT_SUMMARY18"/>
      <sheetName val="PEER_TABLES23"/>
      <sheetName val="BALSHEET_TEMPLATE23"/>
      <sheetName val="LCY_BALSHEET_WKS23"/>
      <sheetName val="PLACEMENT_SUMMARY21"/>
      <sheetName val="PEER_TABLES29"/>
      <sheetName val="BALSHEET_TEMPLATE29"/>
      <sheetName val="LCY_BALSHEET_WKS29"/>
      <sheetName val="PLACEMENT_SUMMARY27"/>
      <sheetName val="PEER_TABLES24"/>
      <sheetName val="BALSHEET_TEMPLATE24"/>
      <sheetName val="LCY_BALSHEET_WKS24"/>
      <sheetName val="PLACEMENT_SUMMARY22"/>
      <sheetName val="PEER_TABLES25"/>
      <sheetName val="BALSHEET_TEMPLATE25"/>
      <sheetName val="LCY_BALSHEET_WKS25"/>
      <sheetName val="PLACEMENT_SUMMARY23"/>
      <sheetName val="PEER_TABLES26"/>
      <sheetName val="BALSHEET_TEMPLATE26"/>
      <sheetName val="LCY_BALSHEET_WKS26"/>
      <sheetName val="PLACEMENT_SUMMARY24"/>
      <sheetName val="PEER_TABLES27"/>
      <sheetName val="BALSHEET_TEMPLATE27"/>
      <sheetName val="LCY_BALSHEET_WKS27"/>
      <sheetName val="PLACEMENT_SUMMARY25"/>
      <sheetName val="PEER_TABLES28"/>
      <sheetName val="BALSHEET_TEMPLATE28"/>
      <sheetName val="LCY_BALSHEET_WKS28"/>
      <sheetName val="PLACEMENT_SUMMARY26"/>
      <sheetName val="PEER_TABLES30"/>
      <sheetName val="BALSHEET_TEMPLATE30"/>
      <sheetName val="LCY_BALSHEET_WKS30"/>
      <sheetName val="PLACEMENT_SUMMARY28"/>
      <sheetName val="PEER_TABLES31"/>
      <sheetName val="BALSHEET_TEMPLATE31"/>
      <sheetName val="LCY_BALSHEET_WKS31"/>
      <sheetName val="PLACEMENT_SUMMARY29"/>
      <sheetName val="PEER_TABLES33"/>
      <sheetName val="BALSHEET_TEMPLATE33"/>
      <sheetName val="LCY_BALSHEET_WKS33"/>
      <sheetName val="PLACEMENT_SUMMARY31"/>
      <sheetName val="PEER_TABLES34"/>
      <sheetName val="BALSHEET_TEMPLATE34"/>
      <sheetName val="LCY_BALSHEET_WKS34"/>
      <sheetName val="PLACEMENT_SUMMARY32"/>
      <sheetName val="PEER_TABLES37"/>
      <sheetName val="BALSHEET_TEMPLATE37"/>
      <sheetName val="LCY_BALSHEET_WKS37"/>
      <sheetName val="PLACEMENT_SUMMARY35"/>
      <sheetName val="PEER_TABLES35"/>
      <sheetName val="BALSHEET_TEMPLATE35"/>
      <sheetName val="LCY_BALSHEET_WKS35"/>
      <sheetName val="PLACEMENT_SUMMARY33"/>
      <sheetName val="PEER_TABLES36"/>
      <sheetName val="BALSHEET_TEMPLATE36"/>
      <sheetName val="LCY_BALSHEET_WKS36"/>
      <sheetName val="PLACEMENT_SUMMARY34"/>
      <sheetName val="PEER_TABLES38"/>
      <sheetName val="BALSHEET_TEMPLATE38"/>
      <sheetName val="LCY_BALSHEET_WKS38"/>
      <sheetName val="PLACEMENT_SUMMARY36"/>
      <sheetName val="PEER_TABLES39"/>
      <sheetName val="BALSHEET_TEMPLATE39"/>
      <sheetName val="LCY_BALSHEET_WKS39"/>
      <sheetName val="PLACEMENT_SUMMARY37"/>
      <sheetName val="PEER_TABLES40"/>
      <sheetName val="BALSHEET_TEMPLATE40"/>
      <sheetName val="LCY_BALSHEET_WKS40"/>
      <sheetName val="PLACEMENT_SUMMARY38"/>
      <sheetName val="PEER_TABLES41"/>
      <sheetName val="BALSHEET_TEMPLATE41"/>
      <sheetName val="LCY_BALSHEET_WKS41"/>
      <sheetName val="PLACEMENT_SUMMARY39"/>
      <sheetName val="PEER_TABLES42"/>
      <sheetName val="BALSHEET_TEMPLATE42"/>
      <sheetName val="LCY_BALSHEET_WKS42"/>
      <sheetName val="PLACEMENT_SUMMARY40"/>
      <sheetName val="PEER_TABLES44"/>
      <sheetName val="BALSHEET_TEMPLATE44"/>
      <sheetName val="LCY_BALSHEET_WKS44"/>
      <sheetName val="PLACEMENT_SUMMARY42"/>
      <sheetName val="PEER_TABLES43"/>
      <sheetName val="BALSHEET_TEMPLATE43"/>
      <sheetName val="LCY_BALSHEET_WKS43"/>
      <sheetName val="PLACEMENT_SUMMARY41"/>
      <sheetName val="PEER_TABLES45"/>
      <sheetName val="BALSHEET_TEMPLATE45"/>
      <sheetName val="LCY_BALSHEET_WKS45"/>
      <sheetName val="PLACEMENT_SUMMARY43"/>
      <sheetName val="PEER_TABLES46"/>
      <sheetName val="BALSHEET_TEMPLATE46"/>
      <sheetName val="LCY_BALSHEET_WKS46"/>
      <sheetName val="PLACEMENT_SUMMARY44"/>
      <sheetName val="PEER_TABLES47"/>
      <sheetName val="BALSHEET_TEMPLATE47"/>
      <sheetName val="LCY_BALSHEET_WKS47"/>
      <sheetName val="PLACEMENT_SUMMARY45"/>
      <sheetName val="PEER_TABLES48"/>
      <sheetName val="BALSHEET_TEMPLATE48"/>
      <sheetName val="LCY_BALSHEET_WKS48"/>
      <sheetName val="PLACEMENT_SUMMARY46"/>
      <sheetName val="PEER_TABLES49"/>
      <sheetName val="BALSHEET_TEMPLATE49"/>
      <sheetName val="LCY_BALSHEET_WKS49"/>
      <sheetName val="PLACEMENT_SUMMARY47"/>
      <sheetName val="PEER_TABLES50"/>
      <sheetName val="BALSHEET_TEMPLATE50"/>
      <sheetName val="LCY_BALSHEET_WKS50"/>
      <sheetName val="PLACEMENT_SUMMARY48"/>
      <sheetName val="PEER_TABLES51"/>
      <sheetName val="BALSHEET_TEMPLATE51"/>
      <sheetName val="LCY_BALSHEET_WKS51"/>
      <sheetName val="PLACEMENT_SUMMARY49"/>
      <sheetName val="TREND P+L"/>
      <sheetName val="Quanon_Ltd"/>
      <sheetName val="TREND_P+L"/>
      <sheetName val="Summary"/>
      <sheetName val="IMPORTS"/>
      <sheetName val="PEER_TABLES52"/>
      <sheetName val="BALSHEET_TEMPLATE52"/>
      <sheetName val="LCY_BALSHEET_WKS52"/>
      <sheetName val="PLACEMENT_SUMMARY50"/>
      <sheetName val="AA_Total_Share"/>
      <sheetName val="FinStat_(No_Input)"/>
      <sheetName val="P&amp;L "/>
      <sheetName val="GRAPHS"/>
      <sheetName val="Bal Adj"/>
      <sheetName val="LRP WORKINGS"/>
      <sheetName val="Reconciliation of Income Tax"/>
      <sheetName val="Basis period"/>
      <sheetName val="Adjusted profit(Loss)"/>
      <sheetName val="CIT Computation"/>
      <sheetName val="Deferred Tax"/>
      <sheetName val="Capital Allowance"/>
      <sheetName val="Mgt. Acct. June"/>
      <sheetName val="MA"/>
      <sheetName val="Jul-99(1)"/>
      <sheetName val="PEER_TABLES54"/>
      <sheetName val="BALSHEET_TEMPLATE54"/>
      <sheetName val="LCY_BALSHEET_WKS54"/>
      <sheetName val="PLACEMENT_SUMMARY52"/>
      <sheetName val="Quanon_Ltd2"/>
      <sheetName val="AA_Total_Share2"/>
      <sheetName val="FinStat_(No_Input)2"/>
      <sheetName val="TREND_P+L2"/>
      <sheetName val="P&amp;L_1"/>
      <sheetName val="PEER_TABLES53"/>
      <sheetName val="BALSHEET_TEMPLATE53"/>
      <sheetName val="LCY_BALSHEET_WKS53"/>
      <sheetName val="PLACEMENT_SUMMARY51"/>
      <sheetName val="Quanon_Ltd1"/>
      <sheetName val="AA_Total_Share1"/>
      <sheetName val="FinStat_(No_Input)1"/>
      <sheetName val="TREND_P+L1"/>
      <sheetName val="P&amp;L_"/>
      <sheetName val="은행"/>
      <sheetName val="Koszty"/>
      <sheetName val="Gratuity DBase"/>
      <sheetName val="Bal_Adj1"/>
      <sheetName val="LRP_WORKINGS1"/>
      <sheetName val="Reconciliation_of_Income_Tax1"/>
      <sheetName val="Basis_period1"/>
      <sheetName val="Adjusted_profit(Loss)1"/>
      <sheetName val="CIT_Computation1"/>
      <sheetName val="Deferred_Tax1"/>
      <sheetName val="Capital_Allowance1"/>
      <sheetName val="Bal_Adj"/>
      <sheetName val="LRP_WORKINGS"/>
      <sheetName val="Reconciliation_of_Income_Tax"/>
      <sheetName val="Basis_period"/>
      <sheetName val="Adjusted_profit(Loss)"/>
      <sheetName val="CIT_Computation"/>
      <sheetName val="Deferred_Tax"/>
      <sheetName val="Capital_Allowance"/>
      <sheetName val="Drop Down List"/>
      <sheetName val="PDS1"/>
      <sheetName val="PDS2"/>
      <sheetName val="Sheet2"/>
      <sheetName val="Input"/>
      <sheetName val="N-Client_Information"/>
      <sheetName val="Links"/>
      <sheetName val="Other_Allowances"/>
      <sheetName val="Pension"/>
      <sheetName val="bal_sheet"/>
      <sheetName val="DATABANK"/>
      <sheetName val="Lead"/>
      <sheetName val="PL"/>
      <sheetName val="BS"/>
      <sheetName val="note_7-11"/>
      <sheetName val="N_7-9"/>
      <sheetName val="Input_sheet"/>
      <sheetName val="PEER_TABLES55"/>
      <sheetName val="BALSHEET_TEMPLATE55"/>
      <sheetName val="LCY_BALSHEET_WKS55"/>
      <sheetName val="Quanon_Ltd3"/>
      <sheetName val="PLACEMENT_SUMMARY53"/>
      <sheetName val="FinStat_(No_Input)3"/>
      <sheetName val="TREND_P+L3"/>
      <sheetName val="AA_Total_Share3"/>
      <sheetName val="P&amp;L_2"/>
      <sheetName val="Mgt__Acct__June"/>
      <sheetName val="Gratuity_DBase"/>
      <sheetName val="Bal_Adj2"/>
      <sheetName val="LRP_WORKINGS2"/>
      <sheetName val="Reconciliation_of_Income_Tax2"/>
      <sheetName val="Basis_period2"/>
      <sheetName val="Adjusted_profit(Loss)2"/>
      <sheetName val="CIT_Computation2"/>
      <sheetName val="Deferred_Tax2"/>
      <sheetName val="Capital_Allowance2"/>
      <sheetName val="Mgt__Acct__June1"/>
      <sheetName val="Gratuity_DBase1"/>
      <sheetName val="Lookups"/>
      <sheetName val="Library Procedures"/>
      <sheetName val="New Entrant Model (NEM)"/>
      <sheetName val="Wholesale Generation Prices"/>
      <sheetName val="IPP NEM View"/>
      <sheetName val="Tariff_Rates"/>
      <sheetName val="Disco12"/>
      <sheetName val="Retail Tariffs Assumptions"/>
      <sheetName val="PEER_TABLES56"/>
      <sheetName val="BALSHEET_TEMPLATE56"/>
      <sheetName val="LCY_BALSHEET_WKS56"/>
      <sheetName val="Quanon_Ltd4"/>
      <sheetName val="PLACEMENT_SUMMARY54"/>
      <sheetName val="TREND_P+L4"/>
      <sheetName val="FinStat_(No_Input)4"/>
      <sheetName val="AA_Total_Share4"/>
      <sheetName val="Bal_Adj3"/>
      <sheetName val="LRP_WORKINGS3"/>
      <sheetName val="Reconciliation_of_Income_Tax3"/>
      <sheetName val="Basis_period3"/>
      <sheetName val="Adjusted_profit(Loss)3"/>
      <sheetName val="CIT_Computation3"/>
      <sheetName val="Deferred_Tax3"/>
      <sheetName val="Capital_Allowance3"/>
      <sheetName val="P&amp;L_3"/>
      <sheetName val="PEER_TABLES57"/>
      <sheetName val="BALSHEET_TEMPLATE57"/>
      <sheetName val="LCY_BALSHEET_WKS57"/>
      <sheetName val="Quanon_Ltd5"/>
      <sheetName val="PLACEMENT_SUMMARY55"/>
      <sheetName val="TREND_P+L5"/>
      <sheetName val="FinStat_(No_Input)5"/>
      <sheetName val="AA_Total_Share5"/>
      <sheetName val="P&amp;L_4"/>
      <sheetName val="Mgt__Acct__June2"/>
      <sheetName val="Drop_Down_List"/>
      <sheetName val="PEER_TABLES58"/>
      <sheetName val="BALSHEET_TEMPLATE58"/>
      <sheetName val="LCY_BALSHEET_WKS58"/>
      <sheetName val="Quanon_Ltd6"/>
      <sheetName val="PLACEMENT_SUMMARY56"/>
      <sheetName val="TREND_P+L6"/>
      <sheetName val="FinStat_(No_Input)6"/>
      <sheetName val="AA_Total_Share6"/>
      <sheetName val="Bal_Adj4"/>
      <sheetName val="LRP_WORKINGS4"/>
      <sheetName val="Reconciliation_of_Income_Tax4"/>
      <sheetName val="Basis_period4"/>
      <sheetName val="Adjusted_profit(Loss)4"/>
      <sheetName val="CIT_Computation4"/>
      <sheetName val="Deferred_Tax4"/>
      <sheetName val="Capital_Allowance4"/>
      <sheetName val="P&amp;L_5"/>
      <sheetName val="Mgt__Acct__June3"/>
      <sheetName val="Gratuity_DBase2"/>
      <sheetName val="Drop_Down_List1"/>
      <sheetName val="Proforma"/>
      <sheetName val="Quanon_Ltd7"/>
      <sheetName val="TREND_P+L7"/>
      <sheetName val="Quanon_Ltd8"/>
      <sheetName val="FinStat_(No_Input)7"/>
      <sheetName val="TREND_P+L8"/>
      <sheetName val="Gratuity_DBase3"/>
      <sheetName val="PEER_TABLES59"/>
      <sheetName val="BALSHEET_TEMPLATE59"/>
      <sheetName val="LCY_BALSHEET_WKS59"/>
      <sheetName val="Quanon_Ltd9"/>
      <sheetName val="PLACEMENT_SUMMARY57"/>
      <sheetName val="FinStat_(No_Input)8"/>
      <sheetName val="TREND_P+L9"/>
      <sheetName val="AA_Total_Share7"/>
      <sheetName val="P&amp;L_6"/>
      <sheetName val="Mgt__Acct__June4"/>
      <sheetName val="Gratuity_DBase4"/>
      <sheetName val="PEER_TABLES60"/>
      <sheetName val="BALSHEET_TEMPLATE60"/>
      <sheetName val="LCY_BALSHEET_WKS60"/>
      <sheetName val="Quanon_Ltd10"/>
      <sheetName val="PLACEMENT_SUMMARY58"/>
      <sheetName val="FinStat_(No_Input)9"/>
      <sheetName val="TREND_P+L10"/>
      <sheetName val="AA_Total_Share8"/>
      <sheetName val="Bal_Adj5"/>
      <sheetName val="LRP_WORKINGS5"/>
      <sheetName val="Reconciliation_of_Income_Tax5"/>
      <sheetName val="Basis_period5"/>
      <sheetName val="Adjusted_profit(Loss)5"/>
      <sheetName val="CIT_Computation5"/>
      <sheetName val="Deferred_Tax5"/>
      <sheetName val="Capital_Allowance5"/>
      <sheetName val="P&amp;L_7"/>
      <sheetName val="Mgt__Acct__June5"/>
      <sheetName val="Gratuity_DBase5"/>
      <sheetName val="PEER_TABLES61"/>
      <sheetName val="BALSHEET_TEMPLATE61"/>
      <sheetName val="LCY_BALSHEET_WKS61"/>
      <sheetName val="Quanon_Ltd11"/>
      <sheetName val="PLACEMENT_SUMMARY59"/>
      <sheetName val="FinStat_(No_Input)10"/>
      <sheetName val="TREND_P+L11"/>
      <sheetName val="AA_Total_Share9"/>
      <sheetName val="Bal_Adj6"/>
      <sheetName val="LRP_WORKINGS6"/>
      <sheetName val="Reconciliation_of_Income_Tax6"/>
      <sheetName val="Basis_period6"/>
      <sheetName val="Adjusted_profit(Loss)6"/>
      <sheetName val="CIT_Computation6"/>
      <sheetName val="Deferred_Tax6"/>
      <sheetName val="Capital_Allowance6"/>
      <sheetName val="P&amp;L_8"/>
      <sheetName val="Mgt__Acct__June6"/>
      <sheetName val="Gratuity_DBase6"/>
      <sheetName val="PEER_TABLES62"/>
      <sheetName val="BALSHEET_TEMPLATE62"/>
      <sheetName val="LCY_BALSHEET_WKS62"/>
      <sheetName val="Quanon_Ltd12"/>
      <sheetName val="PLACEMENT_SUMMARY60"/>
      <sheetName val="TREND_P+L12"/>
      <sheetName val="FinStat_(No_Input)11"/>
      <sheetName val="AA_Total_Share10"/>
      <sheetName val="Bal_Adj7"/>
      <sheetName val="LRP_WORKINGS7"/>
      <sheetName val="Reconciliation_of_Income_Tax7"/>
      <sheetName val="Basis_period7"/>
      <sheetName val="Adjusted_profit(Loss)7"/>
      <sheetName val="CIT_Computation7"/>
      <sheetName val="Deferred_Tax7"/>
      <sheetName val="Capital_Allowance7"/>
      <sheetName val="P&amp;L_9"/>
      <sheetName val="Mgt__Acct__June7"/>
      <sheetName val="Gratuity_DBase7"/>
      <sheetName val="PEER_TABLES63"/>
      <sheetName val="BALSHEET_TEMPLATE63"/>
      <sheetName val="LCY_BALSHEET_WKS63"/>
      <sheetName val="Quanon_Ltd13"/>
      <sheetName val="PLACEMENT_SUMMARY61"/>
      <sheetName val="FinStat_(No_Input)12"/>
      <sheetName val="TREND_P+L13"/>
      <sheetName val="AA_Total_Share11"/>
      <sheetName val="Bal_Adj8"/>
      <sheetName val="LRP_WORKINGS8"/>
      <sheetName val="Reconciliation_of_Income_Tax8"/>
      <sheetName val="Basis_period8"/>
      <sheetName val="Adjusted_profit(Loss)8"/>
      <sheetName val="CIT_Computation8"/>
      <sheetName val="Deferred_Tax8"/>
      <sheetName val="Capital_Allowance8"/>
      <sheetName val="P&amp;L_10"/>
      <sheetName val="Mgt__Acct__June8"/>
      <sheetName val="Gratuity_DBase8"/>
      <sheetName val="PEER_TABLES64"/>
      <sheetName val="BALSHEET_TEMPLATE64"/>
      <sheetName val="LCY_BALSHEET_WKS64"/>
      <sheetName val="Quanon_Ltd14"/>
      <sheetName val="PLACEMENT_SUMMARY62"/>
      <sheetName val="FinStat_(No_Input)13"/>
      <sheetName val="TREND_P+L14"/>
      <sheetName val="AA_Total_Share12"/>
      <sheetName val="Bal_Adj9"/>
      <sheetName val="LRP_WORKINGS9"/>
      <sheetName val="Reconciliation_of_Income_Tax9"/>
      <sheetName val="Basis_period9"/>
      <sheetName val="Adjusted_profit(Loss)9"/>
      <sheetName val="CIT_Computation9"/>
      <sheetName val="Deferred_Tax9"/>
      <sheetName val="Capital_Allowance9"/>
      <sheetName val="P&amp;L_11"/>
      <sheetName val="Mgt__Acct__June9"/>
      <sheetName val="Gratuity_DBase9"/>
      <sheetName val="TB2"/>
      <sheetName val="Bal_Adj10"/>
      <sheetName val="LRP_WORKINGS10"/>
      <sheetName val="Reconciliation_of_Income_Tax10"/>
      <sheetName val="Basis_period10"/>
      <sheetName val="Adjusted_profit(Loss)10"/>
      <sheetName val="CIT_Computation10"/>
      <sheetName val="Deferred_Tax10"/>
      <sheetName val="Capital_Allowance10"/>
      <sheetName val="Mgt__Acct__June10"/>
      <sheetName val="Bal_Adj11"/>
      <sheetName val="LRP_WORKINGS11"/>
      <sheetName val="Reconciliation_of_Income_Tax11"/>
      <sheetName val="Basis_period11"/>
      <sheetName val="Adjusted_profit(Loss)11"/>
      <sheetName val="CIT_Computation11"/>
      <sheetName val="Deferred_Tax11"/>
      <sheetName val="Capital_Allowance11"/>
      <sheetName val="Mgt__Acct__June11"/>
      <sheetName val="Per Plant"/>
      <sheetName val="PEER_TABLES65"/>
      <sheetName val="BALSHEET_TEMPLATE65"/>
      <sheetName val="LCY_BALSHEET_WKS65"/>
      <sheetName val="PLACEMENT_SUMMARY63"/>
      <sheetName val="Bal_Adj12"/>
      <sheetName val="LRP_WORKINGS12"/>
      <sheetName val="Reconciliation_of_Income_Tax12"/>
      <sheetName val="Basis_period12"/>
      <sheetName val="Adjusted_profit(Loss)12"/>
      <sheetName val="CIT_Computation12"/>
      <sheetName val="Deferred_Tax12"/>
      <sheetName val="Capital_Allowance12"/>
      <sheetName val="AA_Total_Share13"/>
      <sheetName val="P&amp;L_12"/>
      <sheetName val="Mgt__Acct__June12"/>
      <sheetName val="Sensitivity Input"/>
      <sheetName val="Model Input &amp; Output"/>
      <sheetName val="Notes"/>
      <sheetName val="Fidelity-Statement"/>
      <sheetName val="Drop_Down_List2"/>
      <sheetName val="Drop_Down_List3"/>
      <sheetName val="RALSHEET_TEMPLATE26"/>
      <sheetName val="09 Matrix PE"/>
      <sheetName val="Jan09"/>
      <sheetName val="TB"/>
      <sheetName val="NSV"/>
      <sheetName val="Vol RF4"/>
      <sheetName val="Ajao_Risk_Asset"/>
      <sheetName val="166 32 01(2)"/>
      <sheetName val="1999 F141101"/>
      <sheetName val="PRIORYEARFULL"/>
      <sheetName val="trend pal"/>
      <sheetName val="PEER_TABLES66"/>
      <sheetName val="BALSHEET_TEMPLATE66"/>
      <sheetName val="LCY_BALSHEET_WKS66"/>
      <sheetName val="PLACEMENT_SUMMARY64"/>
      <sheetName val="FinStat_(No_Input)14"/>
      <sheetName val="Bal_Adj13"/>
      <sheetName val="LRP_WORKINGS13"/>
      <sheetName val="Reconciliation_of_Income_Tax13"/>
      <sheetName val="Basis_period13"/>
      <sheetName val="Adjusted_profit(Loss)13"/>
      <sheetName val="CIT_Computation13"/>
      <sheetName val="Deferred_Tax13"/>
      <sheetName val="Capital_Allowance13"/>
      <sheetName val="AA_Total_Share14"/>
      <sheetName val="P&amp;L_13"/>
      <sheetName val="Mgt__Acct__June13"/>
      <sheetName val="PEER_TABLES67"/>
      <sheetName val="BALSHEET_TEMPLATE67"/>
      <sheetName val="LCY_BALSHEET_WKS67"/>
      <sheetName val="Quanon_Ltd15"/>
      <sheetName val="PLACEMENT_SUMMARY65"/>
      <sheetName val="FinStat_(No_Input)15"/>
      <sheetName val="TREND_P+L15"/>
      <sheetName val="Bal_Adj14"/>
      <sheetName val="LRP_WORKINGS14"/>
      <sheetName val="Reconciliation_of_Income_Tax14"/>
      <sheetName val="Basis_period14"/>
      <sheetName val="Adjusted_profit(Loss)14"/>
      <sheetName val="CIT_Computation14"/>
      <sheetName val="Deferred_Tax14"/>
      <sheetName val="Capital_Allowance14"/>
      <sheetName val="AA_Total_Share15"/>
      <sheetName val="P&amp;L_14"/>
      <sheetName val="Mgt__Acct__June14"/>
      <sheetName val="TB 2017"/>
      <sheetName val="Gratuity_DBase10"/>
      <sheetName val="Sensitivity_Input"/>
      <sheetName val="Model_Input_&amp;_Output"/>
      <sheetName val="FEB1"/>
      <sheetName val="FEB2"/>
      <sheetName val="JAN2"/>
      <sheetName val="MAR1"/>
      <sheetName val="MAR2"/>
      <sheetName val="Analysis"/>
      <sheetName val="Drop_Down_List4"/>
      <sheetName val="Per_Plant"/>
      <sheetName val="Housing"/>
      <sheetName val="bal sheet"/>
      <sheetName val="Public Holidays"/>
      <sheetName val="PDS3"/>
      <sheetName val="Drop_Down_List5"/>
      <sheetName val="Per_Plant1"/>
      <sheetName val="Library_Procedures"/>
      <sheetName val="New_Entrant_Model_(NEM)"/>
      <sheetName val="Wholesale_Generation_Prices"/>
      <sheetName val="IPP_NEM_View"/>
      <sheetName val="Retail_Tariffs_Assumptions"/>
      <sheetName val="YTD Financials"/>
      <sheetName val="F12 Spirits"/>
      <sheetName val="PEER_TABLES69"/>
      <sheetName val="BALSHEET_TEMPLATE69"/>
      <sheetName val="LCY_BALSHEET_WKS69"/>
      <sheetName val="Quanon_Ltd18"/>
      <sheetName val="PLACEMENT_SUMMARY67"/>
      <sheetName val="TREND_P+L18"/>
      <sheetName val="FinStat_(No_Input)17"/>
      <sheetName val="AA_Total_Share17"/>
      <sheetName val="Bal_Adj16"/>
      <sheetName val="LRP_WORKINGS16"/>
      <sheetName val="Reconciliation_of_Income_Tax16"/>
      <sheetName val="Basis_period16"/>
      <sheetName val="Adjusted_profit(Loss)16"/>
      <sheetName val="CIT_Computation16"/>
      <sheetName val="Deferred_Tax16"/>
      <sheetName val="Capital_Allowance16"/>
      <sheetName val="P&amp;L_16"/>
      <sheetName val="Mgt__Acct__June16"/>
      <sheetName val="Gratuity_DBase13"/>
      <sheetName val="Drop_Down_List6"/>
      <sheetName val="Library_Procedures3"/>
      <sheetName val="New_Entrant_Model_(NEM)2"/>
      <sheetName val="Wholesale_Generation_Prices2"/>
      <sheetName val="IPP_NEM_View2"/>
      <sheetName val="Retail_Tariffs_Assumptions2"/>
      <sheetName val="Per_Plant2"/>
      <sheetName val="Sensitivity_Input2"/>
      <sheetName val="Model_Input_&amp;_Output2"/>
      <sheetName val="trend_pal2"/>
      <sheetName val="09_Matrix_PE2"/>
      <sheetName val="Vol_RF42"/>
      <sheetName val="166_32_01(2)2"/>
      <sheetName val="1999_F1411012"/>
      <sheetName val="PEER_TABLES68"/>
      <sheetName val="BALSHEET_TEMPLATE68"/>
      <sheetName val="LCY_BALSHEET_WKS68"/>
      <sheetName val="Quanon_Ltd17"/>
      <sheetName val="PLACEMENT_SUMMARY66"/>
      <sheetName val="TREND_P+L17"/>
      <sheetName val="FinStat_(No_Input)16"/>
      <sheetName val="AA_Total_Share16"/>
      <sheetName val="Bal_Adj15"/>
      <sheetName val="LRP_WORKINGS15"/>
      <sheetName val="Reconciliation_of_Income_Tax15"/>
      <sheetName val="Basis_period15"/>
      <sheetName val="Adjusted_profit(Loss)15"/>
      <sheetName val="CIT_Computation15"/>
      <sheetName val="Deferred_Tax15"/>
      <sheetName val="Capital_Allowance15"/>
      <sheetName val="P&amp;L_15"/>
      <sheetName val="Mgt__Acct__June15"/>
      <sheetName val="Gratuity_DBase12"/>
      <sheetName val="Library_Procedures2"/>
      <sheetName val="New_Entrant_Model_(NEM)1"/>
      <sheetName val="Wholesale_Generation_Prices1"/>
      <sheetName val="IPP_NEM_View1"/>
      <sheetName val="Retail_Tariffs_Assumptions1"/>
      <sheetName val="Sensitivity_Input1"/>
      <sheetName val="Model_Input_&amp;_Output1"/>
      <sheetName val="trend_pal1"/>
      <sheetName val="09_Matrix_PE1"/>
      <sheetName val="Vol_RF41"/>
      <sheetName val="166_32_01(2)1"/>
      <sheetName val="1999_F1411011"/>
      <sheetName val="Quanon_Ltd16"/>
      <sheetName val="TREND_P+L16"/>
      <sheetName val="Gratuity_DBase11"/>
      <sheetName val="Library_Procedures1"/>
      <sheetName val="trend_pal"/>
      <sheetName val="09_Matrix_PE"/>
      <sheetName val="Vol_RF4"/>
      <sheetName val="166_32_01(2)"/>
      <sheetName val="1999_F141101"/>
      <sheetName val="PEER_TABLES77"/>
      <sheetName val="BALSHEET_TEMPLATE77"/>
      <sheetName val="LCY_BALSHEET_WKS77"/>
      <sheetName val="Quanon_Ltd25"/>
      <sheetName val="PLACEMENT_SUMMARY75"/>
      <sheetName val="FinStat_(No_Input)25"/>
      <sheetName val="TREND_P+L25"/>
      <sheetName val="Bal_Adj24"/>
      <sheetName val="LRP_WORKINGS24"/>
      <sheetName val="Reconciliation_of_Income_Tax24"/>
      <sheetName val="Basis_period24"/>
      <sheetName val="Adjusted_profit(Loss)24"/>
      <sheetName val="CIT_Computation24"/>
      <sheetName val="Deferred_Tax24"/>
      <sheetName val="Capital_Allowance24"/>
      <sheetName val="AA_Total_Share25"/>
      <sheetName val="P&amp;L_24"/>
      <sheetName val="Mgt__Acct__June24"/>
      <sheetName val="PEER_TABLES70"/>
      <sheetName val="BALSHEET_TEMPLATE70"/>
      <sheetName val="LCY_BALSHEET_WKS70"/>
      <sheetName val="PLACEMENT_SUMMARY68"/>
      <sheetName val="FinStat_(No_Input)18"/>
      <sheetName val="Bal_Adj17"/>
      <sheetName val="LRP_WORKINGS17"/>
      <sheetName val="Reconciliation_of_Income_Tax17"/>
      <sheetName val="Basis_period17"/>
      <sheetName val="Adjusted_profit(Loss)17"/>
      <sheetName val="CIT_Computation17"/>
      <sheetName val="Deferred_Tax17"/>
      <sheetName val="Capital_Allowance17"/>
      <sheetName val="AA_Total_Share18"/>
      <sheetName val="P&amp;L_17"/>
      <sheetName val="Mgt__Acct__June17"/>
      <sheetName val="PEER_TABLES71"/>
      <sheetName val="BALSHEET_TEMPLATE71"/>
      <sheetName val="LCY_BALSHEET_WKS71"/>
      <sheetName val="Quanon_Ltd19"/>
      <sheetName val="PLACEMENT_SUMMARY69"/>
      <sheetName val="FinStat_(No_Input)19"/>
      <sheetName val="TREND_P+L19"/>
      <sheetName val="Bal_Adj18"/>
      <sheetName val="LRP_WORKINGS18"/>
      <sheetName val="Reconciliation_of_Income_Tax18"/>
      <sheetName val="Basis_period18"/>
      <sheetName val="Adjusted_profit(Loss)18"/>
      <sheetName val="CIT_Computation18"/>
      <sheetName val="Deferred_Tax18"/>
      <sheetName val="Capital_Allowance18"/>
      <sheetName val="AA_Total_Share19"/>
      <sheetName val="P&amp;L_18"/>
      <sheetName val="Mgt__Acct__June18"/>
      <sheetName val="PEER_TABLES72"/>
      <sheetName val="BALSHEET_TEMPLATE72"/>
      <sheetName val="LCY_BALSHEET_WKS72"/>
      <sheetName val="Quanon_Ltd20"/>
      <sheetName val="PLACEMENT_SUMMARY70"/>
      <sheetName val="FinStat_(No_Input)20"/>
      <sheetName val="TREND_P+L20"/>
      <sheetName val="Bal_Adj19"/>
      <sheetName val="LRP_WORKINGS19"/>
      <sheetName val="Reconciliation_of_Income_Tax19"/>
      <sheetName val="Basis_period19"/>
      <sheetName val="Adjusted_profit(Loss)19"/>
      <sheetName val="CIT_Computation19"/>
      <sheetName val="Deferred_Tax19"/>
      <sheetName val="Capital_Allowance19"/>
      <sheetName val="AA_Total_Share20"/>
      <sheetName val="P&amp;L_19"/>
      <sheetName val="Mgt__Acct__June19"/>
      <sheetName val="PEER_TABLES73"/>
      <sheetName val="BALSHEET_TEMPLATE73"/>
      <sheetName val="LCY_BALSHEET_WKS73"/>
      <sheetName val="Quanon_Ltd21"/>
      <sheetName val="PLACEMENT_SUMMARY71"/>
      <sheetName val="FinStat_(No_Input)21"/>
      <sheetName val="TREND_P+L21"/>
      <sheetName val="Bal_Adj20"/>
      <sheetName val="LRP_WORKINGS20"/>
      <sheetName val="Reconciliation_of_Income_Tax20"/>
      <sheetName val="Basis_period20"/>
      <sheetName val="Adjusted_profit(Loss)20"/>
      <sheetName val="CIT_Computation20"/>
      <sheetName val="Deferred_Tax20"/>
      <sheetName val="Capital_Allowance20"/>
      <sheetName val="AA_Total_Share21"/>
      <sheetName val="P&amp;L_20"/>
      <sheetName val="Mgt__Acct__June20"/>
      <sheetName val="PEER_TABLES74"/>
      <sheetName val="BALSHEET_TEMPLATE74"/>
      <sheetName val="LCY_BALSHEET_WKS74"/>
      <sheetName val="Quanon_Ltd22"/>
      <sheetName val="PLACEMENT_SUMMARY72"/>
      <sheetName val="FinStat_(No_Input)22"/>
      <sheetName val="TREND_P+L22"/>
      <sheetName val="Bal_Adj21"/>
      <sheetName val="LRP_WORKINGS21"/>
      <sheetName val="Reconciliation_of_Income_Tax21"/>
      <sheetName val="Basis_period21"/>
      <sheetName val="Adjusted_profit(Loss)21"/>
      <sheetName val="CIT_Computation21"/>
      <sheetName val="Deferred_Tax21"/>
      <sheetName val="Capital_Allowance21"/>
      <sheetName val="AA_Total_Share22"/>
      <sheetName val="P&amp;L_21"/>
      <sheetName val="Mgt__Acct__June21"/>
      <sheetName val="Sensitivity_Input3"/>
      <sheetName val="Model_Input_&amp;_Output3"/>
      <sheetName val="PEER_TABLES75"/>
      <sheetName val="BALSHEET_TEMPLATE75"/>
      <sheetName val="LCY_BALSHEET_WKS75"/>
      <sheetName val="Quanon_Ltd23"/>
      <sheetName val="PLACEMENT_SUMMARY73"/>
      <sheetName val="FinStat_(No_Input)23"/>
      <sheetName val="TREND_P+L23"/>
      <sheetName val="Bal_Adj22"/>
      <sheetName val="LRP_WORKINGS22"/>
      <sheetName val="Reconciliation_of_Income_Tax22"/>
      <sheetName val="Basis_period22"/>
      <sheetName val="Adjusted_profit(Loss)22"/>
      <sheetName val="CIT_Computation22"/>
      <sheetName val="Deferred_Tax22"/>
      <sheetName val="Capital_Allowance22"/>
      <sheetName val="AA_Total_Share23"/>
      <sheetName val="P&amp;L_22"/>
      <sheetName val="Mgt__Acct__June22"/>
      <sheetName val="PEER_TABLES76"/>
      <sheetName val="BALSHEET_TEMPLATE76"/>
      <sheetName val="LCY_BALSHEET_WKS76"/>
      <sheetName val="Quanon_Ltd24"/>
      <sheetName val="PLACEMENT_SUMMARY74"/>
      <sheetName val="FinStat_(No_Input)24"/>
      <sheetName val="TREND_P+L24"/>
      <sheetName val="Bal_Adj23"/>
      <sheetName val="LRP_WORKINGS23"/>
      <sheetName val="Reconciliation_of_Income_Tax23"/>
      <sheetName val="Basis_period23"/>
      <sheetName val="Adjusted_profit(Loss)23"/>
      <sheetName val="CIT_Computation23"/>
      <sheetName val="Deferred_Tax23"/>
      <sheetName val="Capital_Allowance23"/>
      <sheetName val="AA_Total_Share24"/>
      <sheetName val="P&amp;L_23"/>
      <sheetName val="Mgt__Acct__June23"/>
      <sheetName val="PEER_TABLES78"/>
      <sheetName val="BALSHEET_TEMPLATE78"/>
      <sheetName val="LCY_BALSHEET_WKS78"/>
      <sheetName val="PLACEMENT_SUMMARY76"/>
      <sheetName val="Quanon_Ltd26"/>
      <sheetName val="TREND_P+L26"/>
      <sheetName val="FinStat_(No_Input)26"/>
      <sheetName val="AA_Total_Share26"/>
      <sheetName val="Bal_Adj25"/>
      <sheetName val="LRP_WORKINGS25"/>
      <sheetName val="Reconciliation_of_Income_Tax25"/>
      <sheetName val="Basis_period25"/>
      <sheetName val="Adjusted_profit(Loss)25"/>
      <sheetName val="CIT_Computation25"/>
      <sheetName val="Deferred_Tax25"/>
      <sheetName val="Capital_Allowance25"/>
      <sheetName val="P&amp;L_25"/>
      <sheetName val="Mgt__Acct__June25"/>
      <sheetName val="POM-AFE"/>
      <sheetName val="pcQueryData"/>
      <sheetName val="Assets List 31 Mar'12 (Comp)"/>
      <sheetName val="Budget Data"/>
      <sheetName val="Exp List"/>
      <sheetName val="Asset Movement Schedule(2)"/>
      <sheetName val="Recomp Of Dep(3)"/>
      <sheetName val="2010 Depletion Rates"/>
      <sheetName val="compliance"/>
      <sheetName val="DATA"/>
      <sheetName val="BALANCE SHEET NAIRA"/>
      <sheetName val="COMMS &amp; FEES"/>
      <sheetName val="PEER_TABLES79"/>
      <sheetName val="BALSHEET_TEMPLATE79"/>
      <sheetName val="LCY_BALSHEET_WKS79"/>
      <sheetName val="Quanon_Ltd27"/>
      <sheetName val="PLACEMENT_SUMMARY77"/>
      <sheetName val="TREND_P+L27"/>
      <sheetName val="FinStat_(No_Input)27"/>
      <sheetName val="AA_Total_Share27"/>
      <sheetName val="Bal_Adj26"/>
      <sheetName val="LRP_WORKINGS26"/>
      <sheetName val="Reconciliation_of_Income_Tax26"/>
      <sheetName val="Basis_period26"/>
      <sheetName val="Adjusted_profit(Loss)26"/>
      <sheetName val="CIT_Computation26"/>
      <sheetName val="Deferred_Tax26"/>
      <sheetName val="Capital_Allowance26"/>
      <sheetName val="P&amp;L_26"/>
      <sheetName val="Mgt__Acct__June26"/>
      <sheetName val="Gratuity_DBase14"/>
      <sheetName val="Drop_Down_List7"/>
      <sheetName val="Sensitivity_Input4"/>
      <sheetName val="Model_Input_&amp;_Output4"/>
      <sheetName val="TB_2017"/>
      <sheetName val="F12_Spirits"/>
      <sheetName val="bal_sheet1"/>
      <sheetName val="Public_Holidays"/>
      <sheetName val="YTD_Financials"/>
      <sheetName val="Assets_List_31_Mar'12_(Comp)"/>
      <sheetName val="Budget_Data"/>
      <sheetName val="Exp_List"/>
      <sheetName val="BALANCE_SHEET_NAIRA"/>
      <sheetName val="COMMS_&amp;_FEES"/>
      <sheetName val="Library_Procedures4"/>
      <sheetName val="New_Entrant_Model_(NEM)3"/>
      <sheetName val="Wholesale_Generation_Prices3"/>
      <sheetName val="IPP_NEM_View3"/>
      <sheetName val="Retail_Tariffs_Assumptions3"/>
      <sheetName val="Per_Plant3"/>
      <sheetName val="09_Matrix_PE3"/>
      <sheetName val="Vol_RF43"/>
      <sheetName val="166_32_01(2)3"/>
      <sheetName val="1999_F1411013"/>
      <sheetName val="trend_pal3"/>
      <sheetName val="Asset_Movement_Schedule(2)"/>
      <sheetName val="Recomp_Of_Dep(3)"/>
      <sheetName val="2010_Depletion_Rates"/>
      <sheetName val="Gratuity_DBase15"/>
      <sheetName val="Gratuity_DBase16"/>
      <sheetName val="Drop_Down_List8"/>
      <sheetName val="F08_t10"/>
      <sheetName val="Tables"/>
      <sheetName val="Amortization Table Current"/>
      <sheetName val="All Securities"/>
      <sheetName val="Leadway jv"/>
      <sheetName val="Assumptions"/>
      <sheetName val="GLOBAL OUTSTANDING T.BILLS "/>
      <sheetName val="Market Data Input"/>
      <sheetName val="Moratorium- (EIR)"/>
      <sheetName val="Annual p &amp; monthly int-EIR"/>
      <sheetName val="Multiple disbursement -EIR"/>
      <sheetName val="Equal monthly prin and int (EIR"/>
      <sheetName val="Gratuity_DBase17"/>
      <sheetName val="Drop_Down_List9"/>
      <sheetName val="GUINNESS GM"/>
      <sheetName val="GUINNESS PM"/>
      <sheetName val="MALTA"/>
      <sheetName val="GOLD HARP "/>
      <sheetName val="SATZENBRAU"/>
      <sheetName val="GORDON SPARK"/>
      <sheetName val="GUINNESS SMOOTH"/>
      <sheetName val="GROWTH RATE"/>
      <sheetName val="Week1"/>
      <sheetName val="Week2"/>
      <sheetName val="Week3"/>
      <sheetName val="Week4"/>
      <sheetName val="Week5"/>
      <sheetName val="Plant assumptions"/>
      <sheetName val="GUINNESS_GM"/>
      <sheetName val="GUINNESS_PM"/>
      <sheetName val="GOLD_HARP_"/>
      <sheetName val="GORDON_SPARK"/>
      <sheetName val="GUINNESS_SMOOTH"/>
      <sheetName val="GROWTH_RATE"/>
      <sheetName val="Plant_assumptions"/>
      <sheetName val="GUINNESS_GM2"/>
      <sheetName val="GUINNESS_PM2"/>
      <sheetName val="GOLD_HARP_2"/>
      <sheetName val="GORDON_SPARK2"/>
      <sheetName val="GUINNESS_SMOOTH2"/>
      <sheetName val="GROWTH_RATE2"/>
      <sheetName val="Plant_assumptions2"/>
      <sheetName val="GUINNESS_GM1"/>
      <sheetName val="GUINNESS_PM1"/>
      <sheetName val="GOLD_HARP_1"/>
      <sheetName val="GORDON_SPARK1"/>
      <sheetName val="GUINNESS_SMOOTH1"/>
      <sheetName val="GROWTH_RATE1"/>
      <sheetName val="Plant_assumptions1"/>
      <sheetName val="Constants"/>
      <sheetName val="COGP tracker-YTD"/>
      <sheetName val="GUINNESS_GM3"/>
      <sheetName val="GUINNESS_PM3"/>
      <sheetName val="GOLD_HARP_3"/>
      <sheetName val="GORDON_SPARK3"/>
      <sheetName val="GUINNESS_SMOOTH3"/>
      <sheetName val="GROWTH_RATE3"/>
      <sheetName val="Plant_assumptions3"/>
      <sheetName val="COGP_tracker-YTD"/>
      <sheetName val="DOM Outlook"/>
      <sheetName val="SALES PLANING 2"/>
      <sheetName val="Library_Procedures5"/>
      <sheetName val="New_Entrant_Model_(NEM)4"/>
      <sheetName val="Wholesale_Generation_Prices4"/>
      <sheetName val="IPP_NEM_View4"/>
      <sheetName val="Retail_Tariffs_Assumptions4"/>
      <sheetName val="Per_Plant4"/>
      <sheetName val="trend_pal4"/>
      <sheetName val="09_Matrix_PE4"/>
      <sheetName val="Vol_RF44"/>
      <sheetName val="166_32_01(2)4"/>
      <sheetName val="1999_F1411014"/>
      <sheetName val="Library_Procedures6"/>
      <sheetName val="New_Entrant_Model_(NEM)5"/>
      <sheetName val="Wholesale_Generation_Prices5"/>
      <sheetName val="IPP_NEM_View5"/>
      <sheetName val="Retail_Tariffs_Assumptions5"/>
      <sheetName val="Per_Plant5"/>
      <sheetName val="Sensitivity_Input5"/>
      <sheetName val="Model_Input_&amp;_Output5"/>
      <sheetName val="trend_pal5"/>
      <sheetName val="09_Matrix_PE5"/>
      <sheetName val="Vol_RF45"/>
      <sheetName val="166_32_01(2)5"/>
      <sheetName val="1999_F1411015"/>
      <sheetName val="Drop_Down_List10"/>
      <sheetName val="Library_Procedures7"/>
      <sheetName val="New_Entrant_Model_(NEM)6"/>
      <sheetName val="Wholesale_Generation_Prices6"/>
      <sheetName val="IPP_NEM_View6"/>
      <sheetName val="Retail_Tariffs_Assumptions6"/>
      <sheetName val="Per_Plant6"/>
      <sheetName val="Sensitivity_Input6"/>
      <sheetName val="Model_Input_&amp;_Output6"/>
      <sheetName val="trend_pal6"/>
      <sheetName val="09_Matrix_PE6"/>
      <sheetName val="Vol_RF46"/>
      <sheetName val="166_32_01(2)6"/>
      <sheetName val="1999_F1411016"/>
      <sheetName val="PEER_TABLES80"/>
      <sheetName val="BALSHEET_TEMPLATE80"/>
      <sheetName val="LCY_BALSHEET_WKS80"/>
      <sheetName val="Quanon_Ltd28"/>
      <sheetName val="PLACEMENT_SUMMARY78"/>
      <sheetName val="TREND_P+L28"/>
      <sheetName val="FinStat_(No_Input)28"/>
      <sheetName val="AA_Total_Share28"/>
      <sheetName val="P&amp;L_27"/>
      <sheetName val="Bal_Adj27"/>
      <sheetName val="LRP_WORKINGS27"/>
      <sheetName val="Reconciliation_of_Income_Tax27"/>
      <sheetName val="Basis_period27"/>
      <sheetName val="Adjusted_profit(Loss)27"/>
      <sheetName val="CIT_Computation27"/>
      <sheetName val="Deferred_Tax27"/>
      <sheetName val="Capital_Allowance27"/>
      <sheetName val="Mgt__Acct__June27"/>
      <sheetName val="line items"/>
      <sheetName val="pac"/>
      <sheetName val="Vendors"/>
      <sheetName val="Criteria"/>
      <sheetName val="DETAILED BALSHT VOL PROJ"/>
      <sheetName val="PEER_TABLES81"/>
      <sheetName val="BALSHEET_TEMPLATE81"/>
      <sheetName val="LCY_BALSHEET_WKS81"/>
      <sheetName val="Quanon_Ltd29"/>
      <sheetName val="PLACEMENT_SUMMARY79"/>
      <sheetName val="TREND_P+L29"/>
      <sheetName val="FinStat_(No_Input)29"/>
      <sheetName val="AA_Total_Share29"/>
      <sheetName val="Bal_Adj28"/>
      <sheetName val="LRP_WORKINGS28"/>
      <sheetName val="Reconciliation_of_Income_Tax28"/>
      <sheetName val="Basis_period28"/>
      <sheetName val="Adjusted_profit(Loss)28"/>
      <sheetName val="CIT_Computation28"/>
      <sheetName val="Deferred_Tax28"/>
      <sheetName val="Capital_Allowance28"/>
      <sheetName val="P&amp;L_28"/>
      <sheetName val="Mgt__Acct__June28"/>
      <sheetName val="Gratuity_DBase18"/>
      <sheetName val="Drop_Down_List11"/>
      <sheetName val="Per_Plant7"/>
      <sheetName val="Library_Procedures8"/>
      <sheetName val="New_Entrant_Model_(NEM)7"/>
      <sheetName val="Wholesale_Generation_Prices7"/>
      <sheetName val="IPP_NEM_View7"/>
      <sheetName val="Retail_Tariffs_Assumptions7"/>
      <sheetName val="Sensitivity_Input7"/>
      <sheetName val="Model_Input_&amp;_Output7"/>
      <sheetName val="09_Matrix_PE7"/>
      <sheetName val="trend_pal7"/>
      <sheetName val="Vol_RF47"/>
      <sheetName val="166_32_01(2)7"/>
      <sheetName val="1999_F1411017"/>
      <sheetName val="Amortization_Table_Current"/>
      <sheetName val="All_Securities"/>
      <sheetName val="Leadway_jv"/>
      <sheetName val="GLOBAL_OUTSTANDING_T_BILLS_"/>
      <sheetName val="Market_Data_Input"/>
      <sheetName val="Moratorium-_(EIR)"/>
      <sheetName val="Annual_p_&amp;_monthly_int-EIR"/>
      <sheetName val="Multiple_disbursement_-EIR"/>
      <sheetName val="Equal_monthly_prin_and_int_(EIR"/>
      <sheetName val="GUINNESS_GM4"/>
      <sheetName val="GUINNESS_PM4"/>
      <sheetName val="GOLD_HARP_4"/>
      <sheetName val="GORDON_SPARK4"/>
      <sheetName val="GUINNESS_SMOOTH4"/>
      <sheetName val="GROWTH_RATE4"/>
      <sheetName val="Plant_assumptions4"/>
      <sheetName val="COGP_tracker-YTD1"/>
      <sheetName val="DOM_Outlook"/>
      <sheetName val="SALES_PLANING_2"/>
      <sheetName val="DETAILED_BALSHT_VOL_PROJ"/>
      <sheetName val="PEER_TABLES82"/>
      <sheetName val="BALSHEET_TEMPLATE82"/>
      <sheetName val="LCY_BALSHEET_WKS82"/>
      <sheetName val="Quanon_Ltd30"/>
      <sheetName val="PLACEMENT_SUMMARY80"/>
      <sheetName val="TREND_P+L30"/>
      <sheetName val="FinStat_(No_Input)30"/>
      <sheetName val="AA_Total_Share30"/>
      <sheetName val="Bal_Adj29"/>
      <sheetName val="LRP_WORKINGS29"/>
      <sheetName val="Reconciliation_of_Income_Tax29"/>
      <sheetName val="Basis_period29"/>
      <sheetName val="Adjusted_profit(Loss)29"/>
      <sheetName val="CIT_Computation29"/>
      <sheetName val="Deferred_Tax29"/>
      <sheetName val="Capital_Allowance29"/>
      <sheetName val="P&amp;L_29"/>
      <sheetName val="Mgt__Acct__June29"/>
      <sheetName val="Gratuity_DBase19"/>
      <sheetName val="Drop_Down_List12"/>
      <sheetName val="Per_Plant8"/>
      <sheetName val="Library_Procedures9"/>
      <sheetName val="New_Entrant_Model_(NEM)8"/>
      <sheetName val="Wholesale_Generation_Prices8"/>
      <sheetName val="IPP_NEM_View8"/>
      <sheetName val="Retail_Tariffs_Assumptions8"/>
      <sheetName val="Sensitivity_Input8"/>
      <sheetName val="Model_Input_&amp;_Output8"/>
      <sheetName val="09_Matrix_PE8"/>
      <sheetName val="TB_20171"/>
      <sheetName val="trend_pal8"/>
      <sheetName val="Vol_RF48"/>
      <sheetName val="166_32_01(2)8"/>
      <sheetName val="1999_F1411018"/>
      <sheetName val="bal_sheet2"/>
      <sheetName val="Public_Holidays1"/>
      <sheetName val="Asset_Movement_Schedule(2)1"/>
      <sheetName val="Recomp_Of_Dep(3)1"/>
      <sheetName val="2010_Depletion_Rates1"/>
      <sheetName val="Budget_Data1"/>
      <sheetName val="Exp_List1"/>
      <sheetName val="Assets_List_31_Mar'12_(Comp)1"/>
      <sheetName val="F12_Spirits1"/>
      <sheetName val="YTD_Financials1"/>
      <sheetName val="BALANCE_SHEET_NAIRA1"/>
      <sheetName val="COMMS_&amp;_FEES1"/>
      <sheetName val="Amortization_Table_Current1"/>
      <sheetName val="All_Securities1"/>
      <sheetName val="Leadway_jv1"/>
      <sheetName val="GLOBAL_OUTSTANDING_T_BILLS_1"/>
      <sheetName val="Market_Data_Input1"/>
      <sheetName val="Moratorium-_(EIR)1"/>
      <sheetName val="Annual_p_&amp;_monthly_int-EIR1"/>
      <sheetName val="Multiple_disbursement_-EIR1"/>
      <sheetName val="Equal_monthly_prin_and_int_(EI1"/>
      <sheetName val="GUINNESS_GM5"/>
      <sheetName val="GUINNESS_PM5"/>
      <sheetName val="GOLD_HARP_5"/>
      <sheetName val="GORDON_SPARK5"/>
      <sheetName val="GUINNESS_SMOOTH5"/>
      <sheetName val="GROWTH_RATE5"/>
      <sheetName val="Plant_assumptions5"/>
      <sheetName val="COGP_tracker-YTD2"/>
      <sheetName val="DOM_Outlook1"/>
      <sheetName val="SALES_PLANING_21"/>
      <sheetName val="DETAILED_BALSHT_VOL_PROJ1"/>
      <sheetName val="SPARK"/>
      <sheetName val="SUPERMONT"/>
      <sheetName val="SUPERMONT P"/>
      <sheetName val="DIAGEO VENTURE"/>
      <sheetName val="lists"/>
      <sheetName val="Dbase - Spv"/>
      <sheetName val="P&amp;T Dbase-Jnr Ewe"/>
      <sheetName val="P&amp;T Dbase-Jnr Shg"/>
      <sheetName val="P&amp;T Dbase-Jnr HQ"/>
      <sheetName val="Gratuity_DBase23"/>
      <sheetName val="Drop_Down_List16"/>
      <sheetName val="Library_Procedures13"/>
      <sheetName val="New_Entrant_Model_(NEM)12"/>
      <sheetName val="Wholesale_Generation_Prices12"/>
      <sheetName val="IPP_NEM_View12"/>
      <sheetName val="Retail_Tariffs_Assumptions12"/>
      <sheetName val="Per_Plant12"/>
      <sheetName val="Sensitivity_Input12"/>
      <sheetName val="Model_Input_&amp;_Output12"/>
      <sheetName val="trend_pal12"/>
      <sheetName val="09_Matrix_PE12"/>
      <sheetName val="Vol_RF412"/>
      <sheetName val="166_32_01(2)12"/>
      <sheetName val="1999_F14110112"/>
      <sheetName val="YTD_Financials9"/>
      <sheetName val="TB_20179"/>
      <sheetName val="YTD_Financials3"/>
      <sheetName val="TB_20173"/>
      <sheetName val="YTD_Financials2"/>
      <sheetName val="TB_20172"/>
      <sheetName val="YTD_Financials4"/>
      <sheetName val="TB_20174"/>
      <sheetName val="YTD_Financials5"/>
      <sheetName val="TB_20175"/>
      <sheetName val="Gratuity_DBase20"/>
      <sheetName val="Drop_Down_List13"/>
      <sheetName val="Library_Procedures10"/>
      <sheetName val="New_Entrant_Model_(NEM)9"/>
      <sheetName val="Wholesale_Generation_Prices9"/>
      <sheetName val="IPP_NEM_View9"/>
      <sheetName val="Retail_Tariffs_Assumptions9"/>
      <sheetName val="Per_Plant9"/>
      <sheetName val="Sensitivity_Input9"/>
      <sheetName val="Model_Input_&amp;_Output9"/>
      <sheetName val="trend_pal9"/>
      <sheetName val="09_Matrix_PE9"/>
      <sheetName val="Vol_RF49"/>
      <sheetName val="166_32_01(2)9"/>
      <sheetName val="1999_F1411019"/>
      <sheetName val="YTD_Financials6"/>
      <sheetName val="TB_20176"/>
      <sheetName val="Gratuity_DBase21"/>
      <sheetName val="Drop_Down_List14"/>
      <sheetName val="Library_Procedures11"/>
      <sheetName val="New_Entrant_Model_(NEM)10"/>
      <sheetName val="Wholesale_Generation_Prices10"/>
      <sheetName val="IPP_NEM_View10"/>
      <sheetName val="Retail_Tariffs_Assumptions10"/>
      <sheetName val="Per_Plant10"/>
      <sheetName val="Sensitivity_Input10"/>
      <sheetName val="Model_Input_&amp;_Output10"/>
      <sheetName val="trend_pal10"/>
      <sheetName val="09_Matrix_PE10"/>
      <sheetName val="Vol_RF410"/>
      <sheetName val="166_32_01(2)10"/>
      <sheetName val="1999_F14110110"/>
      <sheetName val="YTD_Financials7"/>
      <sheetName val="TB_20177"/>
      <sheetName val="Gratuity_DBase22"/>
      <sheetName val="Drop_Down_List15"/>
      <sheetName val="Library_Procedures12"/>
      <sheetName val="New_Entrant_Model_(NEM)11"/>
      <sheetName val="Wholesale_Generation_Prices11"/>
      <sheetName val="IPP_NEM_View11"/>
      <sheetName val="Retail_Tariffs_Assumptions11"/>
      <sheetName val="Per_Plant11"/>
      <sheetName val="Sensitivity_Input11"/>
      <sheetName val="Model_Input_&amp;_Output11"/>
      <sheetName val="trend_pal11"/>
      <sheetName val="09_Matrix_PE11"/>
      <sheetName val="Vol_RF411"/>
      <sheetName val="166_32_01(2)11"/>
      <sheetName val="1999_F14110111"/>
      <sheetName val="YTD_Financials8"/>
      <sheetName val="TB_20178"/>
      <sheetName val="Gratuity_DBase24"/>
      <sheetName val="Drop_Down_List17"/>
      <sheetName val="Library_Procedures14"/>
      <sheetName val="New_Entrant_Model_(NEM)13"/>
      <sheetName val="Wholesale_Generation_Prices13"/>
      <sheetName val="IPP_NEM_View13"/>
      <sheetName val="Retail_Tariffs_Assumptions13"/>
      <sheetName val="Per_Plant13"/>
      <sheetName val="Sensitivity_Input13"/>
      <sheetName val="Model_Input_&amp;_Output13"/>
      <sheetName val="trend_pal13"/>
      <sheetName val="09_Matrix_PE13"/>
      <sheetName val="Vol_RF413"/>
      <sheetName val="166_32_01(2)13"/>
      <sheetName val="1999_F14110113"/>
      <sheetName val="YTD_Financials10"/>
      <sheetName val="TB_201710"/>
      <sheetName val="Gratuity_DBase25"/>
      <sheetName val="Drop_Down_List18"/>
      <sheetName val="Library_Procedures15"/>
      <sheetName val="New_Entrant_Model_(NEM)14"/>
      <sheetName val="Wholesale_Generation_Prices14"/>
      <sheetName val="IPP_NEM_View14"/>
      <sheetName val="Retail_Tariffs_Assumptions14"/>
      <sheetName val="Per_Plant14"/>
      <sheetName val="Sensitivity_Input14"/>
      <sheetName val="Model_Input_&amp;_Output14"/>
      <sheetName val="trend_pal14"/>
      <sheetName val="09_Matrix_PE14"/>
      <sheetName val="Vol_RF414"/>
      <sheetName val="166_32_01(2)14"/>
      <sheetName val="1999_F14110114"/>
      <sheetName val="YTD_Financials11"/>
      <sheetName val="TB_201711"/>
      <sheetName val="NAMES"/>
      <sheetName val="Auditors Assoc"/>
      <sheetName val="95059D"/>
      <sheetName val="RECEIPT"/>
      <sheetName val="PEER_TABLES83"/>
      <sheetName val="BALSHEET_TEMPLATE83"/>
      <sheetName val="LCY_BALSHEET_WKS83"/>
      <sheetName val="Quanon_Ltd31"/>
      <sheetName val="PLACEMENT_SUMMARY81"/>
      <sheetName val="TREND_P+L31"/>
      <sheetName val="FinStat_(No_Input)31"/>
      <sheetName val="AA_Total_Share31"/>
      <sheetName val="Bal_Adj30"/>
      <sheetName val="LRP_WORKINGS30"/>
      <sheetName val="Reconciliation_of_Income_Tax30"/>
      <sheetName val="Basis_period30"/>
      <sheetName val="Adjusted_profit(Loss)30"/>
      <sheetName val="CIT_Computation30"/>
      <sheetName val="Deferred_Tax30"/>
      <sheetName val="Capital_Allowance30"/>
      <sheetName val="P&amp;L_30"/>
      <sheetName val="Mgt__Acct__June30"/>
      <sheetName val="Amortization_Table_Current2"/>
      <sheetName val="All_Securities2"/>
      <sheetName val="Leadway_jv2"/>
      <sheetName val="GLOBAL_OUTSTANDING_T_BILLS_2"/>
      <sheetName val="Market_Data_Input2"/>
      <sheetName val="Moratorium-_(EIR)2"/>
      <sheetName val="Annual_p_&amp;_monthly_int-EIR2"/>
      <sheetName val="Multiple_disbursement_-EIR2"/>
      <sheetName val="Equal_monthly_prin_and_int_(EI2"/>
      <sheetName val="bal_sheet3"/>
      <sheetName val="Public_Holidays2"/>
      <sheetName val="Asset_Movement_Schedule(2)2"/>
      <sheetName val="Recomp_Of_Dep(3)2"/>
      <sheetName val="2010_Depletion_Rates2"/>
      <sheetName val="Budget_Data2"/>
      <sheetName val="Exp_List2"/>
      <sheetName val="Assets_List_31_Mar'12_(Comp)2"/>
      <sheetName val="F12_Spirits2"/>
      <sheetName val="BALANCE_SHEET_NAIRA2"/>
      <sheetName val="COMMS_&amp;_FEES2"/>
      <sheetName val="GUINNESS_GM6"/>
      <sheetName val="GUINNESS_PM6"/>
      <sheetName val="GOLD_HARP_6"/>
      <sheetName val="GORDON_SPARK6"/>
      <sheetName val="GUINNESS_SMOOTH6"/>
      <sheetName val="GROWTH_RATE6"/>
      <sheetName val="Plant_assumptions6"/>
      <sheetName val="COGP_tracker-YTD3"/>
      <sheetName val="DOM_Outlook2"/>
      <sheetName val="SALES_PLANING_22"/>
      <sheetName val="DETAILED_BALSHT_VOL_PROJ2"/>
      <sheetName val="PEER_TABLES84"/>
      <sheetName val="BALSHEET_TEMPLATE84"/>
      <sheetName val="LCY_BALSHEET_WKS84"/>
      <sheetName val="Quanon_Ltd32"/>
      <sheetName val="PLACEMENT_SUMMARY82"/>
      <sheetName val="TREND_P+L32"/>
      <sheetName val="FinStat_(No_Input)32"/>
      <sheetName val="AA_Total_Share32"/>
      <sheetName val="Bal_Adj31"/>
      <sheetName val="LRP_WORKINGS31"/>
      <sheetName val="Reconciliation_of_Income_Tax31"/>
      <sheetName val="Basis_period31"/>
      <sheetName val="Adjusted_profit(Loss)31"/>
      <sheetName val="CIT_Computation31"/>
      <sheetName val="Deferred_Tax31"/>
      <sheetName val="Capital_Allowance31"/>
      <sheetName val="P&amp;L_31"/>
      <sheetName val="Mgt__Acct__June31"/>
      <sheetName val="Amortization_Table_Current3"/>
      <sheetName val="All_Securities3"/>
      <sheetName val="Leadway_jv3"/>
      <sheetName val="GLOBAL_OUTSTANDING_T_BILLS_3"/>
      <sheetName val="Market_Data_Input3"/>
      <sheetName val="Moratorium-_(EIR)3"/>
      <sheetName val="Annual_p_&amp;_monthly_int-EIR3"/>
      <sheetName val="Multiple_disbursement_-EIR3"/>
      <sheetName val="Equal_monthly_prin_and_int_(EI3"/>
      <sheetName val="bal_sheet4"/>
      <sheetName val="Public_Holidays3"/>
      <sheetName val="Asset_Movement_Schedule(2)3"/>
      <sheetName val="Recomp_Of_Dep(3)3"/>
      <sheetName val="2010_Depletion_Rates3"/>
      <sheetName val="Budget_Data3"/>
      <sheetName val="Exp_List3"/>
      <sheetName val="Assets_List_31_Mar'12_(Comp)3"/>
      <sheetName val="F12_Spirits3"/>
      <sheetName val="BALANCE_SHEET_NAIRA3"/>
      <sheetName val="COMMS_&amp;_FEES3"/>
      <sheetName val="GUINNESS_GM7"/>
      <sheetName val="GUINNESS_PM7"/>
      <sheetName val="GOLD_HARP_7"/>
      <sheetName val="GORDON_SPARK7"/>
      <sheetName val="GUINNESS_SMOOTH7"/>
      <sheetName val="GROWTH_RATE7"/>
      <sheetName val="Plant_assumptions7"/>
      <sheetName val="COGP_tracker-YTD4"/>
      <sheetName val="DOM_Outlook3"/>
      <sheetName val="SALES_PLANING_23"/>
      <sheetName val="DETAILED_BALSHT_VOL_PROJ3"/>
      <sheetName val="PEER_TABLES87"/>
      <sheetName val="BALSHEET_TEMPLATE87"/>
      <sheetName val="LCY_BALSHEET_WKS87"/>
      <sheetName val="PLACEMENT_SUMMARY85"/>
      <sheetName val="Quanon_Ltd35"/>
      <sheetName val="TREND_P+L35"/>
      <sheetName val="FinStat_(No_Input)35"/>
      <sheetName val="AA_Total_Share35"/>
      <sheetName val="Bal_Adj34"/>
      <sheetName val="LRP_WORKINGS34"/>
      <sheetName val="Reconciliation_of_Income_Tax34"/>
      <sheetName val="Basis_period34"/>
      <sheetName val="Adjusted_profit(Loss)34"/>
      <sheetName val="CIT_Computation34"/>
      <sheetName val="Deferred_Tax34"/>
      <sheetName val="Capital_Allowance34"/>
      <sheetName val="P&amp;L_34"/>
      <sheetName val="Mgt__Acct__June34"/>
      <sheetName val="PEER_TABLES85"/>
      <sheetName val="BALSHEET_TEMPLATE85"/>
      <sheetName val="LCY_BALSHEET_WKS85"/>
      <sheetName val="PLACEMENT_SUMMARY83"/>
      <sheetName val="Quanon_Ltd33"/>
      <sheetName val="TREND_P+L33"/>
      <sheetName val="FinStat_(No_Input)33"/>
      <sheetName val="AA_Total_Share33"/>
      <sheetName val="Bal_Adj32"/>
      <sheetName val="LRP_WORKINGS32"/>
      <sheetName val="Reconciliation_of_Income_Tax32"/>
      <sheetName val="Basis_period32"/>
      <sheetName val="Adjusted_profit(Loss)32"/>
      <sheetName val="CIT_Computation32"/>
      <sheetName val="Deferred_Tax32"/>
      <sheetName val="Capital_Allowance32"/>
      <sheetName val="P&amp;L_32"/>
      <sheetName val="Mgt__Acct__June32"/>
      <sheetName val="PEER_TABLES86"/>
      <sheetName val="BALSHEET_TEMPLATE86"/>
      <sheetName val="LCY_BALSHEET_WKS86"/>
      <sheetName val="PLACEMENT_SUMMARY84"/>
      <sheetName val="Quanon_Ltd34"/>
      <sheetName val="TREND_P+L34"/>
      <sheetName val="FinStat_(No_Input)34"/>
      <sheetName val="AA_Total_Share34"/>
      <sheetName val="Bal_Adj33"/>
      <sheetName val="LRP_WORKINGS33"/>
      <sheetName val="Reconciliation_of_Income_Tax33"/>
      <sheetName val="Basis_period33"/>
      <sheetName val="Adjusted_profit(Loss)33"/>
      <sheetName val="CIT_Computation33"/>
      <sheetName val="Deferred_Tax33"/>
      <sheetName val="Capital_Allowance33"/>
      <sheetName val="P&amp;L_33"/>
      <sheetName val="Mgt__Acct__June33"/>
      <sheetName val="PEER_TABLES88"/>
      <sheetName val="BALSHEET_TEMPLATE88"/>
      <sheetName val="LCY_BALSHEET_WKS88"/>
      <sheetName val="PLACEMENT_SUMMARY86"/>
      <sheetName val="Quanon_Ltd36"/>
      <sheetName val="TREND_P+L36"/>
      <sheetName val="FinStat_(No_Input)36"/>
      <sheetName val="AA_Total_Share36"/>
      <sheetName val="Bal_Adj35"/>
      <sheetName val="LRP_WORKINGS35"/>
      <sheetName val="Reconciliation_of_Income_Tax35"/>
      <sheetName val="Basis_period35"/>
      <sheetName val="Adjusted_profit(Loss)35"/>
      <sheetName val="CIT_Computation35"/>
      <sheetName val="Deferred_Tax35"/>
      <sheetName val="Capital_Allowance35"/>
      <sheetName val="P&amp;L_35"/>
      <sheetName val="Mgt__Acct__June35"/>
      <sheetName val="PEER_TABLES90"/>
      <sheetName val="BALSHEET_TEMPLATE90"/>
      <sheetName val="LCY_BALSHEET_WKS90"/>
      <sheetName val="PLACEMENT_SUMMARY88"/>
      <sheetName val="Quanon_Ltd38"/>
      <sheetName val="TREND_P+L38"/>
      <sheetName val="FinStat_(No_Input)38"/>
      <sheetName val="AA_Total_Share38"/>
      <sheetName val="Bal_Adj37"/>
      <sheetName val="LRP_WORKINGS37"/>
      <sheetName val="Reconciliation_of_Income_Tax37"/>
      <sheetName val="Basis_period37"/>
      <sheetName val="Adjusted_profit(Loss)37"/>
      <sheetName val="CIT_Computation37"/>
      <sheetName val="Deferred_Tax37"/>
      <sheetName val="Capital_Allowance37"/>
      <sheetName val="P&amp;L_37"/>
      <sheetName val="Mgt__Acct__June37"/>
      <sheetName val="Sensitivity_Input16"/>
      <sheetName val="Model_Input_&amp;_Output16"/>
      <sheetName val="PEER_TABLES89"/>
      <sheetName val="BALSHEET_TEMPLATE89"/>
      <sheetName val="LCY_BALSHEET_WKS89"/>
      <sheetName val="PLACEMENT_SUMMARY87"/>
      <sheetName val="Quanon_Ltd37"/>
      <sheetName val="TREND_P+L37"/>
      <sheetName val="FinStat_(No_Input)37"/>
      <sheetName val="AA_Total_Share37"/>
      <sheetName val="Bal_Adj36"/>
      <sheetName val="LRP_WORKINGS36"/>
      <sheetName val="Reconciliation_of_Income_Tax36"/>
      <sheetName val="Basis_period36"/>
      <sheetName val="Adjusted_profit(Loss)36"/>
      <sheetName val="CIT_Computation36"/>
      <sheetName val="Deferred_Tax36"/>
      <sheetName val="Capital_Allowance36"/>
      <sheetName val="P&amp;L_36"/>
      <sheetName val="Mgt__Acct__June36"/>
      <sheetName val="Sensitivity_Input15"/>
      <sheetName val="Model_Input_&amp;_Output15"/>
      <sheetName val="PEER_TABLES91"/>
      <sheetName val="BALSHEET_TEMPLATE91"/>
      <sheetName val="LCY_BALSHEET_WKS91"/>
      <sheetName val="PLACEMENT_SUMMARY89"/>
      <sheetName val="Quanon_Ltd39"/>
      <sheetName val="TREND_P+L39"/>
      <sheetName val="FinStat_(No_Input)39"/>
      <sheetName val="AA_Total_Share39"/>
      <sheetName val="Bal_Adj38"/>
      <sheetName val="LRP_WORKINGS38"/>
      <sheetName val="Reconciliation_of_Income_Tax38"/>
      <sheetName val="Basis_period38"/>
      <sheetName val="Adjusted_profit(Loss)38"/>
      <sheetName val="CIT_Computation38"/>
      <sheetName val="Deferred_Tax38"/>
      <sheetName val="Capital_Allowance38"/>
      <sheetName val="P&amp;L_38"/>
      <sheetName val="Mgt__Acct__June38"/>
      <sheetName val="Gratuity_DBase26"/>
      <sheetName val="Drop_Down_List19"/>
      <sheetName val="Sensitivity_Input17"/>
      <sheetName val="Model_Input_&amp;_Output17"/>
      <sheetName val="PEER_TABLES92"/>
      <sheetName val="BALSHEET_TEMPLATE92"/>
      <sheetName val="LCY_BALSHEET_WKS92"/>
      <sheetName val="PLACEMENT_SUMMARY90"/>
      <sheetName val="Quanon_Ltd40"/>
      <sheetName val="TREND_P+L40"/>
      <sheetName val="FinStat_(No_Input)40"/>
      <sheetName val="AA_Total_Share40"/>
      <sheetName val="Bal_Adj39"/>
      <sheetName val="LRP_WORKINGS39"/>
      <sheetName val="Reconciliation_of_Income_Tax39"/>
      <sheetName val="Basis_period39"/>
      <sheetName val="Adjusted_profit(Loss)39"/>
      <sheetName val="CIT_Computation39"/>
      <sheetName val="Deferred_Tax39"/>
      <sheetName val="Capital_Allowance39"/>
      <sheetName val="P&amp;L_39"/>
      <sheetName val="Mgt__Acct__June39"/>
      <sheetName val="Gratuity_DBase27"/>
      <sheetName val="Drop_Down_List20"/>
      <sheetName val="Sensitivity_Input18"/>
      <sheetName val="Model_Input_&amp;_Output18"/>
      <sheetName val="Per_Plant15"/>
      <sheetName val="New_Entrant_Model_(NEM)15"/>
      <sheetName val="Wholesale_Generation_Prices15"/>
      <sheetName val="IPP_NEM_View15"/>
      <sheetName val="Retail_Tariffs_Assumptions15"/>
      <sheetName val="09_Matrix_PE15"/>
      <sheetName val="PEER_TABLES93"/>
      <sheetName val="BALSHEET_TEMPLATE93"/>
      <sheetName val="LCY_BALSHEET_WKS93"/>
      <sheetName val="PLACEMENT_SUMMARY91"/>
      <sheetName val="Quanon_Ltd41"/>
      <sheetName val="TREND_P+L41"/>
      <sheetName val="FinStat_(No_Input)41"/>
      <sheetName val="AA_Total_Share41"/>
      <sheetName val="Bal_Adj40"/>
      <sheetName val="LRP_WORKINGS40"/>
      <sheetName val="Reconciliation_of_Income_Tax40"/>
      <sheetName val="Basis_period40"/>
      <sheetName val="Adjusted_profit(Loss)40"/>
      <sheetName val="CIT_Computation40"/>
      <sheetName val="Deferred_Tax40"/>
      <sheetName val="Capital_Allowance40"/>
      <sheetName val="P&amp;L_40"/>
      <sheetName val="Mgt__Acct__June40"/>
      <sheetName val="Gratuity_DBase28"/>
      <sheetName val="Drop_Down_List21"/>
      <sheetName val="Sensitivity_Input19"/>
      <sheetName val="Model_Input_&amp;_Output19"/>
      <sheetName val="Library_Procedures16"/>
      <sheetName val="Per_Plant16"/>
      <sheetName val="New_Entrant_Model_(NEM)16"/>
      <sheetName val="Wholesale_Generation_Prices16"/>
      <sheetName val="IPP_NEM_View16"/>
      <sheetName val="Retail_Tariffs_Assumptions16"/>
      <sheetName val="09_Matrix_PE16"/>
      <sheetName val="TB_201712"/>
      <sheetName val="PEER_TABLES94"/>
      <sheetName val="BALSHEET_TEMPLATE94"/>
      <sheetName val="LCY_BALSHEET_WKS94"/>
      <sheetName val="PLACEMENT_SUMMARY92"/>
      <sheetName val="Quanon_Ltd42"/>
      <sheetName val="TREND_P+L42"/>
      <sheetName val="FinStat_(No_Input)42"/>
      <sheetName val="AA_Total_Share42"/>
      <sheetName val="Bal_Adj41"/>
      <sheetName val="LRP_WORKINGS41"/>
      <sheetName val="Reconciliation_of_Income_Tax41"/>
      <sheetName val="Basis_period41"/>
      <sheetName val="Adjusted_profit(Loss)41"/>
      <sheetName val="CIT_Computation41"/>
      <sheetName val="Deferred_Tax41"/>
      <sheetName val="Capital_Allowance41"/>
      <sheetName val="P&amp;L_41"/>
      <sheetName val="Mgt__Acct__June41"/>
      <sheetName val="Gratuity_DBase29"/>
      <sheetName val="Drop_Down_List22"/>
      <sheetName val="Sensitivity_Input20"/>
      <sheetName val="Model_Input_&amp;_Output20"/>
      <sheetName val="Library_Procedures17"/>
      <sheetName val="Per_Plant17"/>
      <sheetName val="New_Entrant_Model_(NEM)17"/>
      <sheetName val="Wholesale_Generation_Prices17"/>
      <sheetName val="IPP_NEM_View17"/>
      <sheetName val="Retail_Tariffs_Assumptions17"/>
      <sheetName val="09_Matrix_PE17"/>
      <sheetName val="TB_201713"/>
      <sheetName val="PLBS"/>
      <sheetName val="line_items1"/>
      <sheetName val="200506"/>
      <sheetName val="Income_Earned"/>
      <sheetName val="X"/>
      <sheetName val="Company"/>
      <sheetName val="Actual"/>
      <sheetName val="Budget"/>
      <sheetName val="MStart"/>
      <sheetName val="Last_Year"/>
      <sheetName val="BGR_-_Input_Data_Sheet"/>
      <sheetName val="Parameters"/>
      <sheetName val="line_items"/>
      <sheetName val="DIAGEO_VENTURE"/>
      <sheetName val="SUPERMONT_P"/>
      <sheetName val="Income Earned"/>
      <sheetName val="Last Year"/>
      <sheetName val="BGR - Input Data Sheet"/>
      <sheetName val="trend_pal15"/>
      <sheetName val="Vol_RF415"/>
      <sheetName val="166_32_01(2)15"/>
      <sheetName val="1999_F14110115"/>
      <sheetName val="YTD_Financials12"/>
      <sheetName val="trend_pal16"/>
      <sheetName val="Vol_RF416"/>
      <sheetName val="166_32_01(2)16"/>
      <sheetName val="1999_F14110116"/>
      <sheetName val="YTD_Financials13"/>
      <sheetName val="Library_Procedures18"/>
      <sheetName val="trend_pal17"/>
      <sheetName val="Vol_RF417"/>
      <sheetName val="166_32_01(2)17"/>
      <sheetName val="1999_F14110117"/>
      <sheetName val="YTD_Financials14"/>
      <sheetName val="TB_201714"/>
      <sheetName val="_pcSlicerSheet45"/>
      <sheetName val="D"/>
      <sheetName val="MATURITY PROFILE"/>
      <sheetName val="TIME_TERM LOANS"/>
      <sheetName val="SUB-SECTOR"/>
      <sheetName val="ORR"/>
      <sheetName val="Auditors_Assoc"/>
      <sheetName val="RISK ASSET SUMMARY"/>
      <sheetName val="AV.PORT RATING"/>
      <sheetName val="Gratuity_DBase30"/>
      <sheetName val="Drop_Down_List23"/>
      <sheetName val="Library_Procedures20"/>
      <sheetName val="New_Entrant_Model_(NEM)19"/>
      <sheetName val="Wholesale_Generation_Prices19"/>
      <sheetName val="IPP_NEM_View19"/>
      <sheetName val="Retail_Tariffs_Assumptions19"/>
      <sheetName val="Per_Plant19"/>
      <sheetName val="trend_pal19"/>
      <sheetName val="09_Matrix_PE19"/>
      <sheetName val="Vol_RF419"/>
      <sheetName val="166_32_01(2)19"/>
      <sheetName val="1999_F14110119"/>
      <sheetName val="YTD_Financials16"/>
      <sheetName val="TB_201716"/>
      <sheetName val="Library_Procedures19"/>
      <sheetName val="New_Entrant_Model_(NEM)18"/>
      <sheetName val="Wholesale_Generation_Prices18"/>
      <sheetName val="IPP_NEM_View18"/>
      <sheetName val="Retail_Tariffs_Assumptions18"/>
      <sheetName val="Per_Plant18"/>
      <sheetName val="trend_pal18"/>
      <sheetName val="09_Matrix_PE18"/>
      <sheetName val="Vol_RF418"/>
      <sheetName val="166_32_01(2)18"/>
      <sheetName val="1999_F14110118"/>
      <sheetName val="YTD_Financials15"/>
      <sheetName val="TB_201715"/>
      <sheetName val="loans review template"/>
      <sheetName val="TMR"/>
      <sheetName val="A1"/>
      <sheetName val="TOTAL_1"/>
      <sheetName val="TOTAL_2"/>
      <sheetName val="Note 8-10"/>
      <sheetName val="C-Client Information"/>
      <sheetName val="Dbase_-_Spv"/>
      <sheetName val="P&amp;T_Dbase-Jnr_Ewe"/>
      <sheetName val="P&amp;T_Dbase-Jnr_Shg"/>
      <sheetName val="P&amp;T_Dbase-Jnr_HQ"/>
      <sheetName val="F12_Spirits4"/>
      <sheetName val="bal_sheet5"/>
      <sheetName val="Public_Holidays4"/>
      <sheetName val="Assets_List_31_Mar'12_(Comp)4"/>
      <sheetName val="Budget_Data4"/>
      <sheetName val="Exp_List4"/>
      <sheetName val="BALANCE_SHEET_NAIRA4"/>
      <sheetName val="COMMS_&amp;_FEES4"/>
    </sheetNames>
    <sheetDataSet>
      <sheetData sheetId="0">
        <row r="1">
          <cell r="B1" t="str">
            <v>GUARANTY TRUST BANK PLC</v>
          </cell>
        </row>
        <row r="2">
          <cell r="B2" t="str">
            <v>GUARANTY TRUST BANK PLC</v>
          </cell>
        </row>
        <row r="3">
          <cell r="B3" t="str">
            <v>BALANCE SHEET AS AT</v>
          </cell>
          <cell r="C3" t="str">
            <v>28-Feb-2002</v>
          </cell>
          <cell r="D3">
            <v>0</v>
          </cell>
          <cell r="E3" t="str">
            <v>28-Feb-2001</v>
          </cell>
        </row>
        <row r="4">
          <cell r="C4" t="str">
            <v>=N='000</v>
          </cell>
          <cell r="D4">
            <v>0</v>
          </cell>
          <cell r="E4" t="str">
            <v>=N='000</v>
          </cell>
        </row>
        <row r="5">
          <cell r="B5" t="str">
            <v>ASSETS</v>
          </cell>
        </row>
        <row r="6">
          <cell r="B6" t="str">
            <v>ASSETS</v>
          </cell>
        </row>
        <row r="7">
          <cell r="A7">
            <v>1</v>
          </cell>
          <cell r="B7" t="str">
            <v>Cash &amp; equivalents</v>
          </cell>
          <cell r="C7">
            <v>5818565</v>
          </cell>
          <cell r="D7">
            <v>8.5522795072137087E-2</v>
          </cell>
          <cell r="E7">
            <v>3210470</v>
          </cell>
          <cell r="F7">
            <v>7.1786122267945701E-2</v>
          </cell>
        </row>
        <row r="8">
          <cell r="A8">
            <v>2</v>
          </cell>
          <cell r="B8" t="str">
            <v>Government securities</v>
          </cell>
          <cell r="C8">
            <v>10076591</v>
          </cell>
          <cell r="D8">
            <v>0.14810837846079591</v>
          </cell>
          <cell r="E8">
            <v>5225440</v>
          </cell>
          <cell r="F8">
            <v>0.1168408596697101</v>
          </cell>
        </row>
        <row r="9">
          <cell r="A9">
            <v>3</v>
          </cell>
          <cell r="B9" t="str">
            <v>Stabilisation securities</v>
          </cell>
        </row>
        <row r="10">
          <cell r="A10">
            <v>4</v>
          </cell>
          <cell r="B10" t="str">
            <v>Quoted investments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A11">
            <v>5</v>
          </cell>
          <cell r="B11" t="str">
            <v>Placement with discount houses</v>
          </cell>
          <cell r="C11">
            <v>500000</v>
          </cell>
          <cell r="D11">
            <v>7.3491311923246615E-3</v>
          </cell>
          <cell r="E11">
            <v>1850000</v>
          </cell>
          <cell r="F11">
            <v>4.1366007530268013E-2</v>
          </cell>
        </row>
        <row r="12">
          <cell r="A12">
            <v>5</v>
          </cell>
          <cell r="B12" t="str">
            <v>Placement with discount houses</v>
          </cell>
          <cell r="C12">
            <v>500000</v>
          </cell>
          <cell r="D12">
            <v>7.3491311923246615E-3</v>
          </cell>
          <cell r="E12">
            <v>1850000</v>
          </cell>
          <cell r="F12">
            <v>4.1366007530268013E-2</v>
          </cell>
        </row>
        <row r="13">
          <cell r="A13">
            <v>6</v>
          </cell>
          <cell r="B13" t="str">
            <v>LIQUID ASSETS</v>
          </cell>
          <cell r="C13">
            <v>16395156</v>
          </cell>
          <cell r="D13">
            <v>0.24098030472525767</v>
          </cell>
          <cell r="E13">
            <v>10285910</v>
          </cell>
          <cell r="F13">
            <v>0.22999298946792382</v>
          </cell>
        </row>
        <row r="14">
          <cell r="A14">
            <v>6</v>
          </cell>
          <cell r="B14" t="str">
            <v>LIQUID ASSETS</v>
          </cell>
          <cell r="C14">
            <v>16395156</v>
          </cell>
          <cell r="D14">
            <v>0.24098030472525767</v>
          </cell>
          <cell r="E14">
            <v>10285910</v>
          </cell>
          <cell r="F14">
            <v>0.22999298946792382</v>
          </cell>
        </row>
        <row r="15">
          <cell r="A15">
            <v>7</v>
          </cell>
          <cell r="B15" t="str">
            <v>Balances with Nigerian banks</v>
          </cell>
          <cell r="C15">
            <v>673573</v>
          </cell>
          <cell r="D15">
            <v>9.9003526892153977E-3</v>
          </cell>
          <cell r="E15">
            <v>841089</v>
          </cell>
          <cell r="F15">
            <v>1.8806753463581401E-2</v>
          </cell>
        </row>
        <row r="16">
          <cell r="A16">
            <v>8</v>
          </cell>
          <cell r="B16" t="str">
            <v>Balances with banks outside Nigeria</v>
          </cell>
          <cell r="C16">
            <v>6958210</v>
          </cell>
          <cell r="D16">
            <v>0.10227359630749076</v>
          </cell>
          <cell r="E16">
            <v>9399726</v>
          </cell>
          <cell r="F16">
            <v>0.21017791162078703</v>
          </cell>
        </row>
        <row r="17">
          <cell r="A17">
            <v>8</v>
          </cell>
          <cell r="B17" t="str">
            <v>Balances with banks outside Nigeria</v>
          </cell>
          <cell r="C17">
            <v>6958210</v>
          </cell>
          <cell r="D17">
            <v>0.10227359630749076</v>
          </cell>
          <cell r="E17">
            <v>9399726</v>
          </cell>
          <cell r="F17">
            <v>0.21017791162078703</v>
          </cell>
        </row>
        <row r="18">
          <cell r="A18">
            <v>9</v>
          </cell>
          <cell r="B18" t="str">
            <v>TOTAL PLACEMENTS</v>
          </cell>
          <cell r="C18">
            <v>7631783</v>
          </cell>
          <cell r="D18">
            <v>0.11217394899670616</v>
          </cell>
          <cell r="E18">
            <v>10240815</v>
          </cell>
          <cell r="F18">
            <v>0.22898466508436843</v>
          </cell>
        </row>
        <row r="19">
          <cell r="A19">
            <v>9</v>
          </cell>
          <cell r="B19" t="str">
            <v>TOTAL PLACEMENTS</v>
          </cell>
          <cell r="C19">
            <v>7631783</v>
          </cell>
          <cell r="D19">
            <v>0.11217394899670616</v>
          </cell>
          <cell r="E19">
            <v>10240815</v>
          </cell>
          <cell r="F19">
            <v>0.22898466508436843</v>
          </cell>
        </row>
        <row r="20">
          <cell r="A20">
            <v>10</v>
          </cell>
          <cell r="B20" t="str">
            <v>Direct loans and advances - Gross</v>
          </cell>
          <cell r="C20">
            <v>18216974</v>
          </cell>
          <cell r="D20">
            <v>0.2677578637063347</v>
          </cell>
          <cell r="E20">
            <v>12667133</v>
          </cell>
          <cell r="F20">
            <v>0.28323714544048995</v>
          </cell>
        </row>
        <row r="21">
          <cell r="A21">
            <v>11</v>
          </cell>
          <cell r="B21" t="str">
            <v>Less: Cumulative loan loss provision</v>
          </cell>
          <cell r="C21">
            <v>-688230</v>
          </cell>
          <cell r="D21">
            <v>-1.0115785120987203E-2</v>
          </cell>
          <cell r="E21">
            <v>-622742</v>
          </cell>
          <cell r="F21">
            <v>-1.3924513654818466E-2</v>
          </cell>
        </row>
        <row r="22">
          <cell r="A22">
            <v>11</v>
          </cell>
          <cell r="B22" t="str">
            <v>Less: Cumulative loan loss provision</v>
          </cell>
          <cell r="C22">
            <v>-688230</v>
          </cell>
          <cell r="D22">
            <v>-1.0115785120987203E-2</v>
          </cell>
          <cell r="E22">
            <v>-622742</v>
          </cell>
          <cell r="F22">
            <v>-1.3924513654818466E-2</v>
          </cell>
        </row>
        <row r="23">
          <cell r="A23">
            <v>12</v>
          </cell>
          <cell r="B23" t="str">
            <v>Direct loans &amp; advances - net</v>
          </cell>
          <cell r="C23">
            <v>17528744</v>
          </cell>
          <cell r="D23">
            <v>0.25764207858534749</v>
          </cell>
          <cell r="E23">
            <v>12044391</v>
          </cell>
          <cell r="F23">
            <v>0.2693126317856715</v>
          </cell>
        </row>
        <row r="24">
          <cell r="A24">
            <v>13</v>
          </cell>
          <cell r="B24" t="str">
            <v>Advances under finance leases - net</v>
          </cell>
          <cell r="C24">
            <v>1577438</v>
          </cell>
          <cell r="D24">
            <v>2.3185597619516458E-2</v>
          </cell>
          <cell r="E24">
            <v>110729</v>
          </cell>
          <cell r="F24">
            <v>2.4759008907129982E-3</v>
          </cell>
        </row>
        <row r="25">
          <cell r="A25">
            <v>13</v>
          </cell>
          <cell r="B25" t="str">
            <v>Advances under finance leases - net</v>
          </cell>
          <cell r="C25">
            <v>1577438</v>
          </cell>
          <cell r="D25">
            <v>2.3185597619516458E-2</v>
          </cell>
          <cell r="E25">
            <v>110729</v>
          </cell>
          <cell r="F25">
            <v>2.4759008907129982E-3</v>
          </cell>
        </row>
        <row r="26">
          <cell r="A26">
            <v>14</v>
          </cell>
          <cell r="B26" t="str">
            <v>TOTAL LOANS - NET</v>
          </cell>
          <cell r="C26">
            <v>19106182</v>
          </cell>
          <cell r="D26">
            <v>0.28082767620486393</v>
          </cell>
          <cell r="E26">
            <v>12155120</v>
          </cell>
          <cell r="F26">
            <v>0.27178853267638448</v>
          </cell>
        </row>
        <row r="27">
          <cell r="A27">
            <v>14</v>
          </cell>
          <cell r="B27" t="str">
            <v>TOTAL LOANS - NET</v>
          </cell>
          <cell r="C27">
            <v>19106182</v>
          </cell>
          <cell r="D27">
            <v>0.28082767620486393</v>
          </cell>
          <cell r="E27">
            <v>12155120</v>
          </cell>
          <cell r="F27">
            <v>0.27178853267638448</v>
          </cell>
        </row>
        <row r="28">
          <cell r="A28">
            <v>15</v>
          </cell>
          <cell r="B28" t="str">
            <v>Interest receivable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A29">
            <v>16</v>
          </cell>
          <cell r="B29" t="str">
            <v>Interest paid in advance</v>
          </cell>
          <cell r="C29">
            <v>264213</v>
          </cell>
          <cell r="D29">
            <v>3.8834719994353516E-3</v>
          </cell>
          <cell r="E29">
            <v>100001</v>
          </cell>
          <cell r="F29">
            <v>2.2360227670455844E-3</v>
          </cell>
        </row>
        <row r="30">
          <cell r="A30">
            <v>17</v>
          </cell>
          <cell r="B30" t="str">
            <v>Other prepayments</v>
          </cell>
          <cell r="C30">
            <v>1032010</v>
          </cell>
          <cell r="D30">
            <v>1.5168753763581948E-2</v>
          </cell>
          <cell r="E30">
            <v>588749</v>
          </cell>
          <cell r="F30">
            <v>1.3164430036452844E-2</v>
          </cell>
        </row>
        <row r="31">
          <cell r="A31">
            <v>18</v>
          </cell>
          <cell r="B31" t="str">
            <v>Tax recoverable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A32">
            <v>19</v>
          </cell>
          <cell r="B32" t="str">
            <v>Other accounts receivable</v>
          </cell>
          <cell r="C32">
            <v>379140</v>
          </cell>
          <cell r="D32">
            <v>5.5726992005159445E-3</v>
          </cell>
          <cell r="E32">
            <v>29019</v>
          </cell>
          <cell r="F32">
            <v>6.48864958119377E-4</v>
          </cell>
        </row>
        <row r="33">
          <cell r="A33">
            <v>20</v>
          </cell>
          <cell r="B33" t="str">
            <v>Deferred losses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</row>
        <row r="34">
          <cell r="F34">
            <v>0</v>
          </cell>
        </row>
        <row r="35">
          <cell r="A35">
            <v>21</v>
          </cell>
          <cell r="B35" t="str">
            <v>TOTAL OTHER ASSETS</v>
          </cell>
          <cell r="C35">
            <v>1675363</v>
          </cell>
          <cell r="D35">
            <v>2.4624924963533246E-2</v>
          </cell>
          <cell r="E35">
            <v>717769</v>
          </cell>
          <cell r="F35">
            <v>1.6049317761617804E-2</v>
          </cell>
        </row>
        <row r="36">
          <cell r="A36">
            <v>21</v>
          </cell>
          <cell r="B36" t="str">
            <v>TOTAL OTHER ASSETS</v>
          </cell>
          <cell r="C36">
            <v>1675363</v>
          </cell>
          <cell r="D36">
            <v>2.4624924963533246E-2</v>
          </cell>
          <cell r="E36">
            <v>717769</v>
          </cell>
          <cell r="F36">
            <v>1.6049317761617804E-2</v>
          </cell>
        </row>
        <row r="37">
          <cell r="A37">
            <v>22</v>
          </cell>
          <cell r="B37" t="str">
            <v>Restricted funds</v>
          </cell>
          <cell r="C37">
            <v>2506596</v>
          </cell>
          <cell r="D37">
            <v>3.6842605700312454E-2</v>
          </cell>
          <cell r="E37">
            <v>1381992</v>
          </cell>
          <cell r="F37">
            <v>3.0901346745281163E-2</v>
          </cell>
        </row>
        <row r="38">
          <cell r="A38">
            <v>23</v>
          </cell>
          <cell r="B38" t="str">
            <v>Unconsolidated subsidiaries &amp; associates</v>
          </cell>
          <cell r="C38">
            <v>512034</v>
          </cell>
          <cell r="D38">
            <v>7.5260100818615311E-3</v>
          </cell>
          <cell r="E38">
            <v>480619</v>
          </cell>
          <cell r="F38">
            <v>1.0746642796318855E-2</v>
          </cell>
        </row>
        <row r="39">
          <cell r="A39">
            <v>24</v>
          </cell>
          <cell r="B39" t="str">
            <v>Other long-term investments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</row>
        <row r="40">
          <cell r="F40">
            <v>0</v>
          </cell>
        </row>
        <row r="41">
          <cell r="A41">
            <v>25</v>
          </cell>
          <cell r="B41" t="str">
            <v>TOTAL OTHER LONG-TERM ASSETS</v>
          </cell>
          <cell r="C41">
            <v>3018630</v>
          </cell>
          <cell r="D41">
            <v>4.4368615782173985E-2</v>
          </cell>
          <cell r="E41">
            <v>1862611</v>
          </cell>
          <cell r="F41">
            <v>4.1647989541600018E-2</v>
          </cell>
        </row>
        <row r="42">
          <cell r="A42">
            <v>25</v>
          </cell>
          <cell r="B42" t="str">
            <v>TOTAL OTHER LONG-TERM ASSETS</v>
          </cell>
          <cell r="C42">
            <v>3018630</v>
          </cell>
          <cell r="D42">
            <v>4.4368615782173985E-2</v>
          </cell>
          <cell r="E42">
            <v>1862611</v>
          </cell>
          <cell r="F42">
            <v>4.1647989541600018E-2</v>
          </cell>
        </row>
        <row r="43">
          <cell r="A43">
            <v>26</v>
          </cell>
          <cell r="B43" t="str">
            <v>Fixed assets under operating leases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</row>
        <row r="44">
          <cell r="A44">
            <v>27</v>
          </cell>
          <cell r="B44" t="str">
            <v>Property, plant &amp; equipment - for own use</v>
          </cell>
          <cell r="C44">
            <v>2047825</v>
          </cell>
          <cell r="D44">
            <v>3.0099469167844499E-2</v>
          </cell>
          <cell r="E44">
            <v>1340601</v>
          </cell>
          <cell r="F44">
            <v>2.9975843816802607E-2</v>
          </cell>
        </row>
        <row r="45">
          <cell r="A45">
            <v>28</v>
          </cell>
          <cell r="B45" t="str">
            <v>Goodwill &amp; other intangible assets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</row>
        <row r="46">
          <cell r="F46">
            <v>0</v>
          </cell>
        </row>
        <row r="47">
          <cell r="A47">
            <v>29</v>
          </cell>
          <cell r="B47" t="str">
            <v>TOTAL FIXED ASSETS &amp; INTANGIBLES</v>
          </cell>
          <cell r="C47">
            <v>2047825</v>
          </cell>
          <cell r="D47">
            <v>3.0099469167844499E-2</v>
          </cell>
          <cell r="E47">
            <v>1340601</v>
          </cell>
          <cell r="F47">
            <v>2.9975843816802607E-2</v>
          </cell>
        </row>
        <row r="49">
          <cell r="A49">
            <v>29</v>
          </cell>
          <cell r="B49" t="str">
            <v>TOTAL FIXED ASSETS &amp; INTANGIBLES</v>
          </cell>
          <cell r="C49">
            <v>2047825</v>
          </cell>
          <cell r="D49">
            <v>3.0099469167844499E-2</v>
          </cell>
          <cell r="E49">
            <v>1340601</v>
          </cell>
          <cell r="F49">
            <v>2.9975843816802607E-2</v>
          </cell>
        </row>
        <row r="50">
          <cell r="A50">
            <v>30</v>
          </cell>
          <cell r="B50" t="str">
            <v>TOTAL ASSETS</v>
          </cell>
          <cell r="C50">
            <v>49874939</v>
          </cell>
          <cell r="D50">
            <v>0.73307493984037952</v>
          </cell>
          <cell r="E50">
            <v>36602826</v>
          </cell>
          <cell r="F50">
            <v>0.8184393383486972</v>
          </cell>
        </row>
        <row r="51">
          <cell r="A51">
            <v>30</v>
          </cell>
          <cell r="B51" t="str">
            <v>TOTAL ASSETS</v>
          </cell>
          <cell r="C51">
            <v>49874939</v>
          </cell>
          <cell r="D51">
            <v>0.73307493984037952</v>
          </cell>
          <cell r="E51">
            <v>36602826</v>
          </cell>
          <cell r="F51">
            <v>0.8184393383486972</v>
          </cell>
        </row>
        <row r="52">
          <cell r="A52">
            <v>31</v>
          </cell>
          <cell r="B52" t="str">
            <v>Acceptances &amp; direct credit substitutes</v>
          </cell>
          <cell r="C52">
            <v>8729602</v>
          </cell>
          <cell r="D52">
            <v>0.12830998070955948</v>
          </cell>
          <cell r="E52">
            <v>5073831</v>
          </cell>
          <cell r="F52">
            <v>0.11345088181259852</v>
          </cell>
        </row>
        <row r="53">
          <cell r="A53">
            <v>32</v>
          </cell>
          <cell r="B53" t="str">
            <v>Guarantees, bonds e.t.c.</v>
          </cell>
          <cell r="C53">
            <v>4492712</v>
          </cell>
          <cell r="D53">
            <v>6.6035059794662634E-2</v>
          </cell>
          <cell r="E53">
            <v>1702054</v>
          </cell>
          <cell r="F53">
            <v>3.8057934368066371E-2</v>
          </cell>
        </row>
        <row r="54">
          <cell r="A54">
            <v>33</v>
          </cell>
          <cell r="B54" t="str">
            <v>Short-term self liquidating contingencies</v>
          </cell>
          <cell r="C54">
            <v>4938000</v>
          </cell>
          <cell r="D54">
            <v>7.2580019655398356E-2</v>
          </cell>
          <cell r="E54">
            <v>1344000</v>
          </cell>
          <cell r="F54">
            <v>3.0051845470637949E-2</v>
          </cell>
        </row>
        <row r="55">
          <cell r="A55">
            <v>33</v>
          </cell>
          <cell r="B55" t="str">
            <v>Short-term self liquidating contingencies</v>
          </cell>
          <cell r="C55">
            <v>4938000</v>
          </cell>
          <cell r="D55">
            <v>7.2580019655398356E-2</v>
          </cell>
          <cell r="E55">
            <v>1344000</v>
          </cell>
          <cell r="F55">
            <v>3.0051845470637949E-2</v>
          </cell>
        </row>
        <row r="56">
          <cell r="A56">
            <v>34</v>
          </cell>
          <cell r="B56" t="str">
            <v>TOTAL CONTINGENT ASSETS</v>
          </cell>
          <cell r="C56">
            <v>18160314</v>
          </cell>
          <cell r="D56">
            <v>0.26692506015962048</v>
          </cell>
          <cell r="E56">
            <v>8119885</v>
          </cell>
          <cell r="F56">
            <v>0.18156066165130283</v>
          </cell>
        </row>
        <row r="58">
          <cell r="A58">
            <v>34</v>
          </cell>
          <cell r="B58" t="str">
            <v>TOTAL CONTINGENT ASSETS</v>
          </cell>
          <cell r="C58">
            <v>18160314</v>
          </cell>
          <cell r="D58">
            <v>0.26692506015962048</v>
          </cell>
          <cell r="E58">
            <v>8119885</v>
          </cell>
          <cell r="F58">
            <v>0.18156066165130283</v>
          </cell>
        </row>
        <row r="59">
          <cell r="A59">
            <v>35</v>
          </cell>
          <cell r="B59" t="str">
            <v>TOTAL ASSETS &amp; CONTINGENTS</v>
          </cell>
          <cell r="C59">
            <v>68035253</v>
          </cell>
          <cell r="D59">
            <v>1</v>
          </cell>
          <cell r="E59">
            <v>44722711</v>
          </cell>
          <cell r="F59">
            <v>1</v>
          </cell>
        </row>
        <row r="61">
          <cell r="A61">
            <v>35</v>
          </cell>
          <cell r="B61" t="str">
            <v>TOTAL ASSETS &amp; CONTINGENTS</v>
          </cell>
          <cell r="C61">
            <v>68035253</v>
          </cell>
          <cell r="D61">
            <v>1</v>
          </cell>
          <cell r="E61">
            <v>44722711</v>
          </cell>
          <cell r="F61">
            <v>1</v>
          </cell>
        </row>
        <row r="62">
          <cell r="B62" t="str">
            <v>GUARANTY TRUST BANK PLC</v>
          </cell>
        </row>
        <row r="63">
          <cell r="B63" t="str">
            <v>GUARANTY TRUST BANK PLC</v>
          </cell>
        </row>
        <row r="64">
          <cell r="B64" t="str">
            <v>BALANCE SHEET AS AT</v>
          </cell>
          <cell r="C64" t="str">
            <v>28-Feb-2002</v>
          </cell>
          <cell r="D64">
            <v>0</v>
          </cell>
          <cell r="E64" t="str">
            <v>28-Feb-2001</v>
          </cell>
        </row>
        <row r="65">
          <cell r="C65" t="str">
            <v>=N='000</v>
          </cell>
          <cell r="D65">
            <v>0</v>
          </cell>
          <cell r="E65" t="str">
            <v>=N='000</v>
          </cell>
        </row>
        <row r="66">
          <cell r="B66" t="str">
            <v>CAPITAL &amp; LIABILITIES</v>
          </cell>
        </row>
        <row r="67">
          <cell r="B67" t="str">
            <v>CAPITAL &amp; LIABILITIES</v>
          </cell>
        </row>
        <row r="68">
          <cell r="A68">
            <v>36</v>
          </cell>
          <cell r="B68" t="str">
            <v>Share capital</v>
          </cell>
          <cell r="C68">
            <v>1000000</v>
          </cell>
          <cell r="D68">
            <v>1.4698262384649323E-2</v>
          </cell>
          <cell r="E68">
            <v>750000</v>
          </cell>
          <cell r="F68">
            <v>1.6770003052811355E-2</v>
          </cell>
        </row>
        <row r="69">
          <cell r="A69">
            <v>37</v>
          </cell>
          <cell r="B69" t="str">
            <v>Share premium</v>
          </cell>
          <cell r="C69">
            <v>2172666</v>
          </cell>
          <cell r="D69">
            <v>3.1934414942206509E-2</v>
          </cell>
          <cell r="E69">
            <v>0</v>
          </cell>
          <cell r="F69">
            <v>0</v>
          </cell>
        </row>
        <row r="70">
          <cell r="A70">
            <v>38</v>
          </cell>
          <cell r="B70" t="str">
            <v>Statutory reserve</v>
          </cell>
          <cell r="C70">
            <v>2765654</v>
          </cell>
          <cell r="D70">
            <v>4.0650308157154938E-2</v>
          </cell>
          <cell r="E70">
            <v>2303464</v>
          </cell>
          <cell r="F70">
            <v>5.150546441605474E-2</v>
          </cell>
        </row>
        <row r="71">
          <cell r="A71">
            <v>39</v>
          </cell>
          <cell r="B71" t="str">
            <v>Exchange difference reserve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</row>
        <row r="72">
          <cell r="A72">
            <v>40</v>
          </cell>
          <cell r="B72" t="str">
            <v>Irredeemable preference shares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</row>
        <row r="73">
          <cell r="A73">
            <v>41</v>
          </cell>
          <cell r="B73" t="str">
            <v>Other non-distributable reserves</v>
          </cell>
          <cell r="C73">
            <v>720697</v>
          </cell>
          <cell r="D73">
            <v>1.0592993605829612E-2</v>
          </cell>
          <cell r="E73">
            <v>205032</v>
          </cell>
          <cell r="F73">
            <v>4.5845163545653574E-3</v>
          </cell>
        </row>
        <row r="74">
          <cell r="A74">
            <v>42</v>
          </cell>
          <cell r="B74" t="str">
            <v>Revenue reserve</v>
          </cell>
          <cell r="C74">
            <v>1290965</v>
          </cell>
          <cell r="D74">
            <v>1.8974942299398813E-2</v>
          </cell>
          <cell r="E74">
            <v>682552</v>
          </cell>
          <cell r="F74">
            <v>1.5261865498269996E-2</v>
          </cell>
        </row>
        <row r="75">
          <cell r="A75">
            <v>42</v>
          </cell>
          <cell r="B75" t="str">
            <v>Revenue reserve</v>
          </cell>
          <cell r="C75">
            <v>1290965</v>
          </cell>
          <cell r="D75">
            <v>1.8974942299398813E-2</v>
          </cell>
          <cell r="E75">
            <v>682552</v>
          </cell>
          <cell r="F75">
            <v>1.5261865498269996E-2</v>
          </cell>
        </row>
        <row r="76">
          <cell r="A76">
            <v>43</v>
          </cell>
          <cell r="B76" t="str">
            <v>TIER 1 CAPITAL (CORE CAPITAL)</v>
          </cell>
          <cell r="C76">
            <v>7949982</v>
          </cell>
          <cell r="D76">
            <v>0.11685092138923919</v>
          </cell>
          <cell r="E76">
            <v>3941048</v>
          </cell>
          <cell r="F76">
            <v>8.8121849321701445E-2</v>
          </cell>
        </row>
        <row r="77">
          <cell r="A77">
            <v>43</v>
          </cell>
          <cell r="B77" t="str">
            <v>TIER 1 CAPITAL (CORE CAPITAL)</v>
          </cell>
          <cell r="C77">
            <v>7949982</v>
          </cell>
          <cell r="D77">
            <v>0.11685092138923919</v>
          </cell>
          <cell r="E77">
            <v>3941048</v>
          </cell>
          <cell r="F77">
            <v>8.8121849321701445E-2</v>
          </cell>
        </row>
        <row r="78">
          <cell r="A78">
            <v>44</v>
          </cell>
          <cell r="B78" t="str">
            <v>Revaluation surplus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>
            <v>45</v>
          </cell>
          <cell r="B79" t="str">
            <v>Redeemable preference shares</v>
          </cell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A80">
            <v>46</v>
          </cell>
          <cell r="B80" t="str">
            <v>Other long-term borrowings</v>
          </cell>
          <cell r="C80">
            <v>1765071</v>
          </cell>
          <cell r="D80">
            <v>2.5943476685535365E-2</v>
          </cell>
          <cell r="E80">
            <v>0</v>
          </cell>
          <cell r="F80">
            <v>0</v>
          </cell>
        </row>
        <row r="81">
          <cell r="F81">
            <v>0</v>
          </cell>
        </row>
        <row r="82">
          <cell r="A82">
            <v>47</v>
          </cell>
          <cell r="B82" t="str">
            <v>TIER 2 CAPITAL</v>
          </cell>
          <cell r="C82">
            <v>1765071</v>
          </cell>
          <cell r="D82">
            <v>2.5943476685535365E-2</v>
          </cell>
          <cell r="E82">
            <v>0</v>
          </cell>
          <cell r="F82">
            <v>0</v>
          </cell>
        </row>
        <row r="83">
          <cell r="A83">
            <v>47</v>
          </cell>
          <cell r="B83" t="str">
            <v>TIER 2 CAPITAL</v>
          </cell>
          <cell r="C83">
            <v>1765071</v>
          </cell>
          <cell r="D83">
            <v>2.5943476685535365E-2</v>
          </cell>
          <cell r="E83">
            <v>0</v>
          </cell>
          <cell r="F83">
            <v>0</v>
          </cell>
        </row>
        <row r="84">
          <cell r="A84">
            <v>48</v>
          </cell>
          <cell r="B84" t="str">
            <v>CBN operating Account/NDIC support</v>
          </cell>
        </row>
        <row r="85">
          <cell r="A85">
            <v>49</v>
          </cell>
          <cell r="B85" t="str">
            <v>Demand deposits</v>
          </cell>
          <cell r="C85">
            <v>18707914</v>
          </cell>
          <cell r="D85">
            <v>0.27497382864145448</v>
          </cell>
          <cell r="E85">
            <v>14838314</v>
          </cell>
          <cell r="F85">
            <v>0.33178476143809799</v>
          </cell>
        </row>
        <row r="86">
          <cell r="A86">
            <v>50</v>
          </cell>
          <cell r="B86" t="str">
            <v>Savings deposits</v>
          </cell>
          <cell r="C86">
            <v>822988</v>
          </cell>
          <cell r="D86">
            <v>1.2096493563417778E-2</v>
          </cell>
          <cell r="E86">
            <v>518446</v>
          </cell>
          <cell r="F86">
            <v>1.1592454670290448E-2</v>
          </cell>
        </row>
        <row r="87">
          <cell r="A87">
            <v>51</v>
          </cell>
          <cell r="B87" t="str">
            <v>Time deposits</v>
          </cell>
          <cell r="C87">
            <v>10341692</v>
          </cell>
          <cell r="D87">
            <v>0.15200490251722881</v>
          </cell>
          <cell r="E87">
            <v>6157950</v>
          </cell>
          <cell r="F87">
            <v>0.13769178706541291</v>
          </cell>
        </row>
        <row r="88">
          <cell r="A88">
            <v>52</v>
          </cell>
          <cell r="B88" t="str">
            <v>Inter-bank takings</v>
          </cell>
          <cell r="C88">
            <v>1500000</v>
          </cell>
          <cell r="D88">
            <v>2.2047393576973984E-2</v>
          </cell>
          <cell r="E88">
            <v>2625000</v>
          </cell>
          <cell r="F88">
            <v>5.8695010684839746E-2</v>
          </cell>
        </row>
        <row r="89">
          <cell r="A89">
            <v>52</v>
          </cell>
          <cell r="B89" t="str">
            <v>Inter-bank takings</v>
          </cell>
          <cell r="C89">
            <v>1500000</v>
          </cell>
          <cell r="D89">
            <v>2.2047393576973984E-2</v>
          </cell>
          <cell r="E89">
            <v>2625000</v>
          </cell>
          <cell r="F89">
            <v>5.8695010684839746E-2</v>
          </cell>
        </row>
        <row r="90">
          <cell r="A90">
            <v>53</v>
          </cell>
          <cell r="B90" t="str">
            <v>TOTAL DEPOSIT LIABILITIES - LCY</v>
          </cell>
          <cell r="C90">
            <v>31372594</v>
          </cell>
          <cell r="D90">
            <v>0.46112261829907508</v>
          </cell>
          <cell r="E90">
            <v>24139710</v>
          </cell>
          <cell r="F90">
            <v>0.53976401385864115</v>
          </cell>
        </row>
        <row r="91">
          <cell r="A91">
            <v>54</v>
          </cell>
          <cell r="B91" t="str">
            <v>Customers' foreign currency balances</v>
          </cell>
          <cell r="C91">
            <v>3229081</v>
          </cell>
          <cell r="D91">
            <v>4.7461879799285824E-2</v>
          </cell>
          <cell r="E91">
            <v>4615407</v>
          </cell>
          <cell r="F91">
            <v>0.10320051930662254</v>
          </cell>
        </row>
        <row r="92">
          <cell r="A92">
            <v>54</v>
          </cell>
          <cell r="B92" t="str">
            <v>Customers' foreign currency balances</v>
          </cell>
          <cell r="C92">
            <v>3229081</v>
          </cell>
          <cell r="D92">
            <v>4.7461879799285824E-2</v>
          </cell>
          <cell r="E92">
            <v>4615407</v>
          </cell>
          <cell r="F92">
            <v>0.10320051930662254</v>
          </cell>
        </row>
        <row r="93">
          <cell r="A93">
            <v>55</v>
          </cell>
          <cell r="B93" t="str">
            <v>TOTAL DEPOSIT LIABILITIES</v>
          </cell>
          <cell r="C93">
            <v>34601675</v>
          </cell>
          <cell r="D93">
            <v>0.50858449809836093</v>
          </cell>
          <cell r="E93">
            <v>28755117</v>
          </cell>
          <cell r="F93">
            <v>0.6429645331652637</v>
          </cell>
        </row>
        <row r="94">
          <cell r="A94">
            <v>55</v>
          </cell>
          <cell r="B94" t="str">
            <v>TOTAL DEPOSIT LIABILITIES</v>
          </cell>
          <cell r="C94">
            <v>34601675</v>
          </cell>
          <cell r="D94">
            <v>0.50858449809836093</v>
          </cell>
          <cell r="E94">
            <v>28755117</v>
          </cell>
          <cell r="F94">
            <v>0.6429645331652637</v>
          </cell>
        </row>
        <row r="95">
          <cell r="A95">
            <v>56</v>
          </cell>
          <cell r="B95" t="str">
            <v>Interest payable</v>
          </cell>
          <cell r="C95">
            <v>281896</v>
          </cell>
          <cell r="D95">
            <v>4.1433813731831057E-3</v>
          </cell>
          <cell r="E95">
            <v>65353</v>
          </cell>
          <cell r="F95">
            <v>1.4612933460138406E-3</v>
          </cell>
        </row>
        <row r="96">
          <cell r="A96">
            <v>57</v>
          </cell>
          <cell r="B96" t="str">
            <v>Unearned interest &amp; discounts</v>
          </cell>
          <cell r="C96">
            <v>272670</v>
          </cell>
          <cell r="D96">
            <v>4.0077752044223305E-3</v>
          </cell>
          <cell r="E96">
            <v>149810</v>
          </cell>
          <cell r="F96">
            <v>3.3497522097888921E-3</v>
          </cell>
        </row>
        <row r="97">
          <cell r="A97">
            <v>58</v>
          </cell>
          <cell r="B97" t="str">
            <v>Taxation payable - deferred</v>
          </cell>
          <cell r="C97">
            <v>375972</v>
          </cell>
          <cell r="D97">
            <v>5.5261351052813754E-3</v>
          </cell>
          <cell r="E97">
            <v>0</v>
          </cell>
          <cell r="F97">
            <v>0</v>
          </cell>
        </row>
        <row r="98">
          <cell r="A98">
            <v>59</v>
          </cell>
          <cell r="B98" t="str">
            <v>Taxation payable - current</v>
          </cell>
          <cell r="C98">
            <v>538542</v>
          </cell>
          <cell r="D98">
            <v>7.9156316211538152E-3</v>
          </cell>
          <cell r="E98">
            <v>762916</v>
          </cell>
          <cell r="F98">
            <v>1.7058804865384837E-2</v>
          </cell>
        </row>
        <row r="99">
          <cell r="A99">
            <v>60</v>
          </cell>
          <cell r="B99" t="str">
            <v>Dividend payable</v>
          </cell>
          <cell r="C99">
            <v>1000000</v>
          </cell>
          <cell r="D99">
            <v>1.4698262384649323E-2</v>
          </cell>
          <cell r="E99">
            <v>420000</v>
          </cell>
          <cell r="F99">
            <v>9.3912017095743594E-3</v>
          </cell>
        </row>
        <row r="100">
          <cell r="A100">
            <v>61</v>
          </cell>
          <cell r="B100" t="str">
            <v>Other accounts payable</v>
          </cell>
          <cell r="C100">
            <v>3089131</v>
          </cell>
          <cell r="D100">
            <v>4.5404857978554147E-2</v>
          </cell>
          <cell r="E100">
            <v>2508582</v>
          </cell>
          <cell r="F100">
            <v>5.6091903730970158E-2</v>
          </cell>
        </row>
        <row r="101">
          <cell r="A101">
            <v>61</v>
          </cell>
          <cell r="B101" t="str">
            <v>Other accounts payable</v>
          </cell>
          <cell r="C101">
            <v>3089131</v>
          </cell>
          <cell r="D101">
            <v>4.5404857978554147E-2</v>
          </cell>
          <cell r="E101">
            <v>2508582</v>
          </cell>
          <cell r="F101">
            <v>5.6091903730970158E-2</v>
          </cell>
        </row>
        <row r="102">
          <cell r="A102">
            <v>62</v>
          </cell>
          <cell r="B102" t="str">
            <v>TOTAL OTHER LIABILITIES</v>
          </cell>
          <cell r="C102">
            <v>5558211</v>
          </cell>
          <cell r="D102">
            <v>8.1696043667244089E-2</v>
          </cell>
          <cell r="E102">
            <v>3906661</v>
          </cell>
          <cell r="F102">
            <v>8.7352955861732084E-2</v>
          </cell>
        </row>
        <row r="104">
          <cell r="A104">
            <v>62</v>
          </cell>
          <cell r="B104" t="str">
            <v>TOTAL OTHER LIABILITIES</v>
          </cell>
          <cell r="C104">
            <v>5558211</v>
          </cell>
          <cell r="D104">
            <v>8.1696043667244089E-2</v>
          </cell>
          <cell r="E104">
            <v>3906661</v>
          </cell>
          <cell r="F104">
            <v>8.7352955861732084E-2</v>
          </cell>
        </row>
        <row r="105">
          <cell r="A105">
            <v>63</v>
          </cell>
          <cell r="B105" t="str">
            <v>TOTAL CAPITAL &amp; LIABILITIES</v>
          </cell>
          <cell r="C105">
            <v>49874939</v>
          </cell>
          <cell r="D105">
            <v>0.73307493984037952</v>
          </cell>
          <cell r="E105">
            <v>36602826</v>
          </cell>
          <cell r="F105">
            <v>0.8184393383486972</v>
          </cell>
        </row>
        <row r="106">
          <cell r="A106">
            <v>63</v>
          </cell>
          <cell r="B106" t="str">
            <v>TOTAL CAPITAL &amp; LIABILITIES</v>
          </cell>
          <cell r="C106">
            <v>49874939</v>
          </cell>
          <cell r="D106">
            <v>0.73307493984037952</v>
          </cell>
          <cell r="E106">
            <v>36602826</v>
          </cell>
          <cell r="F106">
            <v>0.8184393383486972</v>
          </cell>
        </row>
        <row r="107">
          <cell r="A107">
            <v>64</v>
          </cell>
          <cell r="B107" t="str">
            <v>Acceptances &amp; direct credit substitutes</v>
          </cell>
          <cell r="C107">
            <v>8729602</v>
          </cell>
          <cell r="D107">
            <v>0.12830998070955948</v>
          </cell>
          <cell r="E107">
            <v>5073831</v>
          </cell>
          <cell r="F107">
            <v>0.11345088181259852</v>
          </cell>
        </row>
        <row r="108">
          <cell r="A108">
            <v>65</v>
          </cell>
          <cell r="B108" t="str">
            <v>Guarantees, bonds e.t.c.</v>
          </cell>
          <cell r="C108">
            <v>4492712</v>
          </cell>
          <cell r="D108">
            <v>6.6035059794662634E-2</v>
          </cell>
          <cell r="E108">
            <v>1702054</v>
          </cell>
          <cell r="F108">
            <v>3.8057934368066371E-2</v>
          </cell>
        </row>
        <row r="109">
          <cell r="A109">
            <v>66</v>
          </cell>
          <cell r="B109" t="str">
            <v>Short-term self liquidating contingencies</v>
          </cell>
          <cell r="C109">
            <v>4938000</v>
          </cell>
          <cell r="D109">
            <v>7.2580019655398356E-2</v>
          </cell>
          <cell r="E109">
            <v>1344000</v>
          </cell>
          <cell r="F109">
            <v>3.0051845470637949E-2</v>
          </cell>
        </row>
        <row r="110">
          <cell r="A110">
            <v>66</v>
          </cell>
          <cell r="B110" t="str">
            <v>Short-term self liquidating contingencies</v>
          </cell>
          <cell r="C110">
            <v>4938000</v>
          </cell>
          <cell r="D110">
            <v>7.2580019655398356E-2</v>
          </cell>
          <cell r="E110">
            <v>1344000</v>
          </cell>
          <cell r="F110">
            <v>3.0051845470637949E-2</v>
          </cell>
        </row>
        <row r="111">
          <cell r="A111">
            <v>67</v>
          </cell>
          <cell r="B111" t="str">
            <v>TOTAL CONTINGENT LIABILITIES</v>
          </cell>
          <cell r="C111">
            <v>18160314</v>
          </cell>
          <cell r="D111">
            <v>0.26692506015962048</v>
          </cell>
          <cell r="E111">
            <v>8119885</v>
          </cell>
          <cell r="F111">
            <v>0.18156066165130283</v>
          </cell>
        </row>
        <row r="113">
          <cell r="A113">
            <v>67</v>
          </cell>
          <cell r="B113" t="str">
            <v>TOTAL CONTINGENT LIABILITIES</v>
          </cell>
          <cell r="C113">
            <v>18160314</v>
          </cell>
          <cell r="D113">
            <v>0.26692506015962048</v>
          </cell>
          <cell r="E113">
            <v>8119885</v>
          </cell>
          <cell r="F113">
            <v>0.18156066165130283</v>
          </cell>
        </row>
        <row r="114">
          <cell r="A114">
            <v>68</v>
          </cell>
          <cell r="B114" t="str">
            <v>TOTAL CAPITAL, LIABILITIES &amp; CONTINGENTS</v>
          </cell>
          <cell r="C114">
            <v>68035253</v>
          </cell>
          <cell r="D114">
            <v>1</v>
          </cell>
          <cell r="E114">
            <v>44722711</v>
          </cell>
          <cell r="F114">
            <v>1</v>
          </cell>
        </row>
        <row r="115">
          <cell r="A115">
            <v>68</v>
          </cell>
          <cell r="B115" t="str">
            <v>TOTAL CAPITAL, LIABILITIES &amp; CONTINGENTS</v>
          </cell>
          <cell r="C115">
            <v>68035253</v>
          </cell>
          <cell r="D115">
            <v>1</v>
          </cell>
          <cell r="E115">
            <v>44722711</v>
          </cell>
          <cell r="F115">
            <v>1</v>
          </cell>
        </row>
        <row r="116">
          <cell r="B116" t="str">
            <v>Proof</v>
          </cell>
          <cell r="C116">
            <v>0</v>
          </cell>
          <cell r="D116">
            <v>0</v>
          </cell>
          <cell r="E116">
            <v>0</v>
          </cell>
        </row>
        <row r="117">
          <cell r="E117">
            <v>0</v>
          </cell>
        </row>
        <row r="118">
          <cell r="B118" t="str">
            <v>GUARANTY TRUST BANK PLC</v>
          </cell>
        </row>
        <row r="119">
          <cell r="B119" t="str">
            <v>GUARANTY TRUST BANK PLC</v>
          </cell>
        </row>
        <row r="120">
          <cell r="B120" t="str">
            <v>INCOME STATEMENT FOR THE YEAR ENDED</v>
          </cell>
          <cell r="C120" t="str">
            <v>28-Feb-2002</v>
          </cell>
          <cell r="D120">
            <v>0</v>
          </cell>
          <cell r="E120" t="str">
            <v>28-Feb-2001</v>
          </cell>
        </row>
        <row r="121">
          <cell r="C121" t="str">
            <v>=N='000</v>
          </cell>
          <cell r="D121">
            <v>0</v>
          </cell>
          <cell r="E121" t="str">
            <v>=N='000</v>
          </cell>
        </row>
        <row r="122">
          <cell r="E122" t="str">
            <v>=N='000</v>
          </cell>
        </row>
        <row r="123">
          <cell r="A123">
            <v>69</v>
          </cell>
          <cell r="B123" t="str">
            <v>Interest income</v>
          </cell>
          <cell r="C123">
            <v>8968787</v>
          </cell>
          <cell r="D123">
            <v>0.82296862817533822</v>
          </cell>
          <cell r="E123">
            <v>5490394</v>
          </cell>
          <cell r="F123">
            <v>0.80262734143144232</v>
          </cell>
        </row>
        <row r="124">
          <cell r="A124">
            <v>70</v>
          </cell>
          <cell r="B124" t="str">
            <v>Interest expense</v>
          </cell>
          <cell r="C124">
            <v>-4470962</v>
          </cell>
          <cell r="D124">
            <v>-0.41025185053051955</v>
          </cell>
          <cell r="E124">
            <v>-2586963</v>
          </cell>
          <cell r="F124">
            <v>-0.37818182721886778</v>
          </cell>
        </row>
        <row r="125">
          <cell r="A125">
            <v>71</v>
          </cell>
          <cell r="B125" t="str">
            <v>Loan loss expense</v>
          </cell>
          <cell r="C125">
            <v>-296154</v>
          </cell>
          <cell r="D125">
            <v>-2.7174851081716973E-2</v>
          </cell>
          <cell r="E125">
            <v>-295719</v>
          </cell>
          <cell r="F125">
            <v>-4.3230441163378201E-2</v>
          </cell>
        </row>
        <row r="126">
          <cell r="B126">
            <v>5.0358558035802324E-2</v>
          </cell>
        </row>
        <row r="127">
          <cell r="A127">
            <v>72</v>
          </cell>
          <cell r="B127" t="str">
            <v>NET REVENUE FROM FUNDS</v>
          </cell>
          <cell r="C127">
            <v>4201671</v>
          </cell>
          <cell r="D127">
            <v>0.38554192656310171</v>
          </cell>
          <cell r="E127">
            <v>2607712</v>
          </cell>
          <cell r="F127">
            <v>0.38121507304919633</v>
          </cell>
        </row>
        <row r="128">
          <cell r="A128">
            <v>73</v>
          </cell>
          <cell r="B128" t="str">
            <v>FOREIGN EXCHANGE</v>
          </cell>
          <cell r="C128">
            <v>0</v>
          </cell>
          <cell r="D128">
            <v>0</v>
          </cell>
          <cell r="E128">
            <v>0</v>
          </cell>
          <cell r="F128">
            <v>0</v>
          </cell>
        </row>
        <row r="129">
          <cell r="A129">
            <v>74</v>
          </cell>
          <cell r="B129" t="str">
            <v>COMMISSIONS</v>
          </cell>
          <cell r="C129">
            <v>1564503</v>
          </cell>
          <cell r="D129">
            <v>0.14355752764406171</v>
          </cell>
          <cell r="E129">
            <v>1208456</v>
          </cell>
          <cell r="F129">
            <v>0.17666124262063435</v>
          </cell>
        </row>
        <row r="130">
          <cell r="A130">
            <v>75</v>
          </cell>
          <cell r="B130" t="str">
            <v>FEES &amp; OTHER INCOME</v>
          </cell>
          <cell r="C130">
            <v>364801</v>
          </cell>
          <cell r="D130">
            <v>3.3473844180600072E-2</v>
          </cell>
          <cell r="E130">
            <v>141677</v>
          </cell>
          <cell r="F130">
            <v>2.071141594792331E-2</v>
          </cell>
        </row>
        <row r="131">
          <cell r="A131">
            <v>75</v>
          </cell>
          <cell r="B131" t="str">
            <v>FEES &amp; OTHER INCOME</v>
          </cell>
          <cell r="C131">
            <v>364801</v>
          </cell>
          <cell r="D131">
            <v>3.3473844180600072E-2</v>
          </cell>
          <cell r="E131">
            <v>141677</v>
          </cell>
          <cell r="F131">
            <v>2.071141594792331E-2</v>
          </cell>
        </row>
        <row r="132">
          <cell r="A132">
            <v>76</v>
          </cell>
          <cell r="B132" t="str">
            <v>NET EARNINGS</v>
          </cell>
          <cell r="C132">
            <v>6130975</v>
          </cell>
          <cell r="D132">
            <v>0.56257329838776349</v>
          </cell>
          <cell r="E132">
            <v>3957845</v>
          </cell>
          <cell r="F132">
            <v>0.57858773161775401</v>
          </cell>
        </row>
        <row r="133">
          <cell r="A133">
            <v>76</v>
          </cell>
          <cell r="B133" t="str">
            <v>NET EARNINGS</v>
          </cell>
          <cell r="C133">
            <v>6130975</v>
          </cell>
          <cell r="D133">
            <v>0.56257329838776349</v>
          </cell>
          <cell r="E133">
            <v>3957845</v>
          </cell>
          <cell r="F133">
            <v>0.57858773161775401</v>
          </cell>
        </row>
        <row r="134">
          <cell r="A134">
            <v>77</v>
          </cell>
          <cell r="B134" t="str">
            <v>STAFF COSTS</v>
          </cell>
          <cell r="C134">
            <v>-815591</v>
          </cell>
          <cell r="D134">
            <v>-7.4837969328756748E-2</v>
          </cell>
          <cell r="E134">
            <v>-587608</v>
          </cell>
          <cell r="F134">
            <v>-8.590098394465806E-2</v>
          </cell>
        </row>
        <row r="135">
          <cell r="A135">
            <v>78</v>
          </cell>
          <cell r="B135" t="str">
            <v>DEPRECIATION EXPENSE</v>
          </cell>
          <cell r="C135">
            <v>-384260</v>
          </cell>
          <cell r="D135">
            <v>-3.5259386253977877E-2</v>
          </cell>
          <cell r="E135">
            <v>-264323</v>
          </cell>
          <cell r="F135">
            <v>-3.8640736305843103E-2</v>
          </cell>
        </row>
        <row r="136">
          <cell r="A136">
            <v>79</v>
          </cell>
          <cell r="B136" t="str">
            <v>OTHER OPERATING EXPENSES</v>
          </cell>
          <cell r="C136">
            <v>-1831954</v>
          </cell>
          <cell r="D136">
            <v>-0.16809861470233639</v>
          </cell>
          <cell r="E136">
            <v>-1055591</v>
          </cell>
          <cell r="F136">
            <v>-0.15431428017168852</v>
          </cell>
        </row>
        <row r="137">
          <cell r="A137">
            <v>79</v>
          </cell>
          <cell r="B137" t="str">
            <v>OTHER OPERATING EXPENSES</v>
          </cell>
          <cell r="C137">
            <v>-1831954</v>
          </cell>
          <cell r="D137">
            <v>-0.16809861470233639</v>
          </cell>
          <cell r="E137">
            <v>-1055591</v>
          </cell>
          <cell r="F137">
            <v>-0.15431428017168852</v>
          </cell>
        </row>
        <row r="138">
          <cell r="A138">
            <v>80</v>
          </cell>
          <cell r="B138" t="str">
            <v>OPERATING EXPENSES</v>
          </cell>
          <cell r="C138">
            <v>-3031805</v>
          </cell>
          <cell r="D138">
            <v>-0.27819597028507104</v>
          </cell>
          <cell r="E138">
            <v>-1907522</v>
          </cell>
          <cell r="F138">
            <v>-0.27885600042218972</v>
          </cell>
        </row>
        <row r="139">
          <cell r="A139">
            <v>80</v>
          </cell>
          <cell r="B139" t="str">
            <v>OPERATING EXPENSES</v>
          </cell>
          <cell r="C139">
            <v>-3031805</v>
          </cell>
          <cell r="D139">
            <v>-0.27819597028507104</v>
          </cell>
          <cell r="E139">
            <v>-1907522</v>
          </cell>
          <cell r="F139">
            <v>-0.27885600042218972</v>
          </cell>
        </row>
        <row r="140">
          <cell r="A140">
            <v>81</v>
          </cell>
          <cell r="B140" t="str">
            <v>PROFIT (LOSS) BEFORE TAXATION</v>
          </cell>
          <cell r="C140">
            <v>3099170</v>
          </cell>
          <cell r="D140">
            <v>0.28437732810269251</v>
          </cell>
          <cell r="E140">
            <v>2050323</v>
          </cell>
          <cell r="F140">
            <v>0.29973173119556434</v>
          </cell>
        </row>
        <row r="141">
          <cell r="A141">
            <v>82</v>
          </cell>
          <cell r="B141" t="str">
            <v>TAX (EXPENSE) BENEFIT</v>
          </cell>
          <cell r="C141">
            <v>-516294</v>
          </cell>
          <cell r="D141">
            <v>-4.7374719113650272E-2</v>
          </cell>
          <cell r="E141">
            <v>-546629</v>
          </cell>
          <cell r="F141">
            <v>-7.9910363631340103E-2</v>
          </cell>
        </row>
        <row r="142">
          <cell r="A142">
            <v>82</v>
          </cell>
          <cell r="B142" t="str">
            <v>TAX (EXPENSE) BENEFIT</v>
          </cell>
          <cell r="C142">
            <v>-516294</v>
          </cell>
          <cell r="D142">
            <v>-4.7374719113650272E-2</v>
          </cell>
          <cell r="E142">
            <v>-546629</v>
          </cell>
          <cell r="F142">
            <v>-7.9910363631340103E-2</v>
          </cell>
        </row>
        <row r="143">
          <cell r="A143">
            <v>83</v>
          </cell>
          <cell r="B143" t="str">
            <v>PROFIT (LOSS) AFTER TAXATION</v>
          </cell>
          <cell r="C143">
            <v>2582876</v>
          </cell>
          <cell r="D143">
            <v>0.23700260898904224</v>
          </cell>
          <cell r="E143">
            <v>1503694</v>
          </cell>
          <cell r="F143">
            <v>0.21982136756422424</v>
          </cell>
        </row>
        <row r="144">
          <cell r="A144">
            <v>84</v>
          </cell>
          <cell r="B144" t="str">
            <v>NON-OPERATING INCOME (EXPENSE) - NET</v>
          </cell>
          <cell r="C144">
            <v>940913</v>
          </cell>
          <cell r="D144">
            <v>8.6337414506815924E-2</v>
          </cell>
          <cell r="E144">
            <v>0</v>
          </cell>
          <cell r="F144">
            <v>0</v>
          </cell>
        </row>
        <row r="145">
          <cell r="A145">
            <v>85</v>
          </cell>
          <cell r="B145" t="str">
            <v>STATUTORY RESERVE</v>
          </cell>
          <cell r="C145">
            <v>-462190</v>
          </cell>
          <cell r="D145">
            <v>-4.2410179911325757E-2</v>
          </cell>
          <cell r="E145">
            <v>-451108</v>
          </cell>
          <cell r="F145">
            <v>-6.5946381031753834E-2</v>
          </cell>
        </row>
        <row r="146">
          <cell r="A146">
            <v>86</v>
          </cell>
          <cell r="B146" t="str">
            <v>GRATUITY SCHEME</v>
          </cell>
          <cell r="C146">
            <v>-442521</v>
          </cell>
          <cell r="D146">
            <v>-4.0605368408100098E-2</v>
          </cell>
          <cell r="E146">
            <v>0</v>
          </cell>
          <cell r="F146">
            <v>0</v>
          </cell>
        </row>
        <row r="147">
          <cell r="A147">
            <v>87</v>
          </cell>
          <cell r="B147" t="str">
            <v>PROPOSED DIVIDEND</v>
          </cell>
          <cell r="C147">
            <v>-1495000</v>
          </cell>
          <cell r="D147">
            <v>-0.13717998867875117</v>
          </cell>
          <cell r="E147">
            <v>-600000</v>
          </cell>
          <cell r="F147">
            <v>-8.7712540276502091E-2</v>
          </cell>
        </row>
        <row r="148">
          <cell r="A148">
            <v>88</v>
          </cell>
          <cell r="B148" t="str">
            <v>SCRIP ISSUES</v>
          </cell>
          <cell r="C148">
            <v>-250000</v>
          </cell>
          <cell r="D148">
            <v>-2.2939797437918255E-2</v>
          </cell>
          <cell r="E148">
            <v>0</v>
          </cell>
          <cell r="F148">
            <v>0</v>
          </cell>
        </row>
        <row r="149">
          <cell r="A149">
            <v>89</v>
          </cell>
          <cell r="B149" t="str">
            <v>OTHER APPROPRIATIONS</v>
          </cell>
          <cell r="C149">
            <v>-265665</v>
          </cell>
          <cell r="D149">
            <v>-2.4377205145378212E-2</v>
          </cell>
          <cell r="E149">
            <v>-205032</v>
          </cell>
          <cell r="F149">
            <v>-2.9973129263286293E-2</v>
          </cell>
        </row>
        <row r="150">
          <cell r="A150">
            <v>89</v>
          </cell>
          <cell r="B150" t="str">
            <v>OTHER APPROPRIATIONS</v>
          </cell>
          <cell r="C150">
            <v>-265665</v>
          </cell>
          <cell r="D150">
            <v>-2.4377205145378212E-2</v>
          </cell>
          <cell r="E150">
            <v>-205032</v>
          </cell>
          <cell r="F150">
            <v>-2.9973129263286293E-2</v>
          </cell>
        </row>
        <row r="151">
          <cell r="A151">
            <v>90</v>
          </cell>
          <cell r="B151" t="str">
            <v>RETAINED PROFIT</v>
          </cell>
          <cell r="C151">
            <v>608413</v>
          </cell>
          <cell r="D151">
            <v>5.5827483914384718E-2</v>
          </cell>
          <cell r="E151">
            <v>247554</v>
          </cell>
          <cell r="F151">
            <v>3.6189316992682005E-2</v>
          </cell>
        </row>
        <row r="152">
          <cell r="A152">
            <v>91</v>
          </cell>
          <cell r="B152" t="str">
            <v>RETAINED PROFIT B/FWD</v>
          </cell>
          <cell r="C152">
            <v>682552</v>
          </cell>
          <cell r="D152">
            <v>0</v>
          </cell>
          <cell r="E152">
            <v>434998</v>
          </cell>
        </row>
        <row r="153">
          <cell r="E153">
            <v>434998</v>
          </cell>
        </row>
        <row r="154">
          <cell r="A154">
            <v>92</v>
          </cell>
          <cell r="B154" t="str">
            <v>RETAINED PROFIT C/FWD</v>
          </cell>
          <cell r="C154">
            <v>1290965</v>
          </cell>
          <cell r="D154">
            <v>0</v>
          </cell>
          <cell r="E154">
            <v>682552</v>
          </cell>
        </row>
        <row r="155">
          <cell r="E155">
            <v>682552</v>
          </cell>
        </row>
        <row r="156">
          <cell r="B156" t="str">
            <v>Proof</v>
          </cell>
          <cell r="C156">
            <v>0</v>
          </cell>
          <cell r="D156">
            <v>0</v>
          </cell>
          <cell r="E156">
            <v>0</v>
          </cell>
        </row>
        <row r="157">
          <cell r="E157">
            <v>0</v>
          </cell>
        </row>
        <row r="158">
          <cell r="A158">
            <v>93</v>
          </cell>
          <cell r="B158" t="str">
            <v>GROSS EARNINGS</v>
          </cell>
          <cell r="C158">
            <v>10898091</v>
          </cell>
          <cell r="D158">
            <v>1</v>
          </cell>
          <cell r="E158">
            <v>6840527</v>
          </cell>
          <cell r="F158">
            <v>1</v>
          </cell>
        </row>
        <row r="159">
          <cell r="A159">
            <v>93</v>
          </cell>
          <cell r="B159" t="str">
            <v>GROSS EARNINGS</v>
          </cell>
          <cell r="C159">
            <v>10898091</v>
          </cell>
          <cell r="D159">
            <v>1</v>
          </cell>
          <cell r="E159">
            <v>6840527</v>
          </cell>
          <cell r="F159">
            <v>1</v>
          </cell>
        </row>
        <row r="160">
          <cell r="A160">
            <v>94</v>
          </cell>
          <cell r="B160" t="str">
            <v>INTEREST EXPENSE ON INTERBANK TAKINGS</v>
          </cell>
          <cell r="C160">
            <v>438738</v>
          </cell>
          <cell r="D160">
            <v>0</v>
          </cell>
          <cell r="E160">
            <v>147374</v>
          </cell>
        </row>
        <row r="161">
          <cell r="E161">
            <v>147374</v>
          </cell>
        </row>
        <row r="162">
          <cell r="A162">
            <v>95</v>
          </cell>
          <cell r="B162" t="str">
            <v>NO OF =N=0.50 SHARES QUALIFYING FOR DIVIDEND</v>
          </cell>
          <cell r="C162">
            <v>1000000</v>
          </cell>
          <cell r="D162">
            <v>0</v>
          </cell>
          <cell r="E162">
            <v>750000</v>
          </cell>
        </row>
        <row r="163">
          <cell r="E163">
            <v>750000</v>
          </cell>
        </row>
        <row r="164">
          <cell r="A164">
            <v>96</v>
          </cell>
          <cell r="B164" t="str">
            <v>AUDITORS</v>
          </cell>
          <cell r="C164" t="str">
            <v>AA</v>
          </cell>
          <cell r="D164">
            <v>0</v>
          </cell>
          <cell r="E164" t="str">
            <v>AA</v>
          </cell>
        </row>
        <row r="165">
          <cell r="E165" t="str">
            <v>AA</v>
          </cell>
        </row>
        <row r="166">
          <cell r="A166">
            <v>97</v>
          </cell>
          <cell r="B166" t="str">
            <v>OPINION</v>
          </cell>
          <cell r="C166" t="str">
            <v>CLEAN</v>
          </cell>
          <cell r="D166">
            <v>0</v>
          </cell>
          <cell r="E166" t="str">
            <v>CLEAN</v>
          </cell>
        </row>
        <row r="169">
          <cell r="E169" t="str">
            <v>CLEAN</v>
          </cell>
        </row>
        <row r="170">
          <cell r="B170" t="str">
            <v>KEY RATIOS</v>
          </cell>
          <cell r="C170" t="str">
            <v>28-Feb-2002</v>
          </cell>
          <cell r="D170">
            <v>0</v>
          </cell>
          <cell r="E170" t="str">
            <v>28-Feb-2001</v>
          </cell>
        </row>
        <row r="172">
          <cell r="E172" t="str">
            <v>28-Feb-2001</v>
          </cell>
        </row>
        <row r="173">
          <cell r="B173" t="str">
            <v>PROFITABILITY RATIOS</v>
          </cell>
        </row>
        <row r="174">
          <cell r="A174">
            <v>98</v>
          </cell>
          <cell r="B174" t="str">
            <v>Net interest margin</v>
          </cell>
          <cell r="C174">
            <v>0.5014975826719934</v>
          </cell>
          <cell r="D174">
            <v>0</v>
          </cell>
          <cell r="E174">
            <v>0.52882015389059511</v>
          </cell>
        </row>
        <row r="175">
          <cell r="A175">
            <v>99</v>
          </cell>
          <cell r="B175" t="str">
            <v>Loan loss expense/Interest income</v>
          </cell>
          <cell r="C175">
            <v>3.3020518828242883E-2</v>
          </cell>
          <cell r="D175">
            <v>0</v>
          </cell>
          <cell r="E175">
            <v>5.3861161876542919E-2</v>
          </cell>
        </row>
        <row r="176">
          <cell r="A176">
            <v>100</v>
          </cell>
          <cell r="B176" t="str">
            <v>Operating expenses/Net earnings</v>
          </cell>
          <cell r="C176">
            <v>0.49450617560828414</v>
          </cell>
          <cell r="D176">
            <v>0</v>
          </cell>
          <cell r="E176">
            <v>0.48195975335062391</v>
          </cell>
        </row>
        <row r="177">
          <cell r="A177">
            <v>101</v>
          </cell>
          <cell r="B177" t="str">
            <v>Return on average assets (pre-tax)</v>
          </cell>
          <cell r="C177">
            <v>5.4970307906588307E-2</v>
          </cell>
          <cell r="D177">
            <v>0</v>
          </cell>
          <cell r="E177">
            <v>5.2433024358821481E-2</v>
          </cell>
        </row>
        <row r="178">
          <cell r="A178">
            <v>102</v>
          </cell>
          <cell r="B178" t="str">
            <v>Return on risk weighted assets (average)</v>
          </cell>
          <cell r="C178">
            <v>0.10663279579188067</v>
          </cell>
          <cell r="D178">
            <v>0</v>
          </cell>
          <cell r="E178">
            <v>0.10858014650894862</v>
          </cell>
        </row>
        <row r="179">
          <cell r="A179">
            <v>103</v>
          </cell>
          <cell r="B179" t="str">
            <v>Return on average equity (pre-tax)</v>
          </cell>
          <cell r="C179">
            <v>0.52126182509000485</v>
          </cell>
          <cell r="D179">
            <v>0</v>
          </cell>
          <cell r="E179">
            <v>0.58761962982356131</v>
          </cell>
        </row>
        <row r="180">
          <cell r="A180">
            <v>104</v>
          </cell>
          <cell r="B180" t="str">
            <v>Gross earnings/Total assets &amp; contingents (average)</v>
          </cell>
          <cell r="C180">
            <v>0.19330059914881045</v>
          </cell>
          <cell r="D180">
            <v>0</v>
          </cell>
          <cell r="E180">
            <v>0.17493317824468438</v>
          </cell>
        </row>
        <row r="181">
          <cell r="A181">
            <v>105</v>
          </cell>
          <cell r="B181" t="str">
            <v>Effective tax rate</v>
          </cell>
          <cell r="C181">
            <v>0.16659105502440977</v>
          </cell>
          <cell r="D181">
            <v>0</v>
          </cell>
          <cell r="E181">
            <v>0.266606285936411</v>
          </cell>
        </row>
        <row r="182">
          <cell r="A182">
            <v>106</v>
          </cell>
          <cell r="B182" t="str">
            <v>Statutory tax rate</v>
          </cell>
          <cell r="C182">
            <v>0.32</v>
          </cell>
          <cell r="D182">
            <v>0</v>
          </cell>
          <cell r="E182">
            <v>0.32</v>
          </cell>
        </row>
        <row r="183">
          <cell r="A183">
            <v>107</v>
          </cell>
          <cell r="B183" t="str">
            <v>Earnings per share of N 1.00</v>
          </cell>
          <cell r="C183">
            <v>2.5828760000000002</v>
          </cell>
          <cell r="D183">
            <v>0</v>
          </cell>
          <cell r="E183">
            <v>2.0049253333333334</v>
          </cell>
        </row>
        <row r="184">
          <cell r="A184">
            <v>108</v>
          </cell>
          <cell r="B184" t="str">
            <v>Dividend per share of N 1.00</v>
          </cell>
          <cell r="C184">
            <v>1.4950000000000001</v>
          </cell>
          <cell r="D184">
            <v>0</v>
          </cell>
          <cell r="E184">
            <v>0.8</v>
          </cell>
        </row>
        <row r="185">
          <cell r="A185">
            <v>109</v>
          </cell>
          <cell r="B185" t="str">
            <v>Market value per share of N 1.00</v>
          </cell>
          <cell r="C185">
            <v>4.93</v>
          </cell>
          <cell r="D185">
            <v>0</v>
          </cell>
          <cell r="E185">
            <v>4.93</v>
          </cell>
        </row>
        <row r="186">
          <cell r="A186">
            <v>110</v>
          </cell>
          <cell r="B186" t="str">
            <v>Earnings yield</v>
          </cell>
          <cell r="C186">
            <v>0.52390993914807304</v>
          </cell>
          <cell r="D186">
            <v>0</v>
          </cell>
          <cell r="E186">
            <v>0.39006329442282756</v>
          </cell>
        </row>
        <row r="187">
          <cell r="A187">
            <v>111</v>
          </cell>
          <cell r="B187" t="str">
            <v>Dividend yield</v>
          </cell>
          <cell r="C187">
            <v>0.60649087221095344</v>
          </cell>
          <cell r="D187">
            <v>0</v>
          </cell>
          <cell r="E187">
            <v>0.31128404669260706</v>
          </cell>
        </row>
        <row r="188">
          <cell r="A188">
            <v>112</v>
          </cell>
          <cell r="B188" t="str">
            <v>Increase in shareholder value</v>
          </cell>
          <cell r="C188">
            <v>0.49560513860716698</v>
          </cell>
          <cell r="D188">
            <v>0</v>
          </cell>
          <cell r="E188">
            <v>8.7548638132295853E-2</v>
          </cell>
        </row>
        <row r="189">
          <cell r="A189">
            <v>113</v>
          </cell>
          <cell r="B189" t="str">
            <v>Market capitalisation (N'000)</v>
          </cell>
          <cell r="C189">
            <v>4930000</v>
          </cell>
          <cell r="D189">
            <v>0</v>
          </cell>
          <cell r="E189">
            <v>3697500</v>
          </cell>
        </row>
        <row r="190">
          <cell r="E190">
            <v>3697500</v>
          </cell>
        </row>
        <row r="191">
          <cell r="B191" t="str">
            <v>GUARANTY TRUST BANK PLC</v>
          </cell>
        </row>
        <row r="192">
          <cell r="B192" t="str">
            <v>GUARANTY TRUST BANK PLC</v>
          </cell>
        </row>
        <row r="193">
          <cell r="B193" t="str">
            <v>KEY RATIOS</v>
          </cell>
          <cell r="C193" t="str">
            <v>28-Feb-2002</v>
          </cell>
          <cell r="D193">
            <v>0</v>
          </cell>
          <cell r="E193" t="str">
            <v>28-Feb-2001</v>
          </cell>
        </row>
        <row r="194">
          <cell r="E194" t="str">
            <v>28-Feb-2001</v>
          </cell>
        </row>
        <row r="195">
          <cell r="B195" t="str">
            <v>LIQUIDITY RATIOS</v>
          </cell>
        </row>
        <row r="196">
          <cell r="A196">
            <v>114</v>
          </cell>
          <cell r="B196" t="str">
            <v>Direct &amp; indirect loans/Total assets &amp; contingents</v>
          </cell>
          <cell r="C196">
            <v>0.40913765691442344</v>
          </cell>
          <cell r="D196">
            <v>0</v>
          </cell>
          <cell r="E196">
            <v>0.38523941448898302</v>
          </cell>
        </row>
        <row r="197">
          <cell r="A197">
            <v>115</v>
          </cell>
          <cell r="B197" t="str">
            <v>Total loans - net/Total lcy deposits</v>
          </cell>
          <cell r="C197">
            <v>0.38093719633129475</v>
          </cell>
          <cell r="D197">
            <v>0</v>
          </cell>
          <cell r="E197">
            <v>0.41571717307291595</v>
          </cell>
        </row>
        <row r="198">
          <cell r="A198">
            <v>116</v>
          </cell>
          <cell r="B198" t="str">
            <v>Inter-bank takings/Total loans - net</v>
          </cell>
          <cell r="C198">
            <v>7.8508620926985836E-2</v>
          </cell>
          <cell r="D198">
            <v>0</v>
          </cell>
          <cell r="E198">
            <v>0.21595837803328968</v>
          </cell>
        </row>
        <row r="199">
          <cell r="A199">
            <v>117</v>
          </cell>
          <cell r="B199" t="str">
            <v>Net inter-bank placements (takings)</v>
          </cell>
          <cell r="C199">
            <v>-826427</v>
          </cell>
          <cell r="D199">
            <v>0</v>
          </cell>
          <cell r="E199">
            <v>-1783911</v>
          </cell>
        </row>
        <row r="200">
          <cell r="A200">
            <v>118</v>
          </cell>
          <cell r="B200" t="str">
            <v>Liquid assets/Net inter-bank takings</v>
          </cell>
          <cell r="C200">
            <v>19.838601594575202</v>
          </cell>
          <cell r="D200">
            <v>0</v>
          </cell>
          <cell r="E200">
            <v>5.7659322690425698</v>
          </cell>
        </row>
        <row r="201">
          <cell r="A201">
            <v>119</v>
          </cell>
          <cell r="B201" t="str">
            <v>Liquid assets/Total lcy deposits</v>
          </cell>
          <cell r="C201">
            <v>0.52117097698311698</v>
          </cell>
          <cell r="D201">
            <v>0</v>
          </cell>
          <cell r="E201">
            <v>0.39517144316609426</v>
          </cell>
        </row>
        <row r="202">
          <cell r="A202">
            <v>120</v>
          </cell>
          <cell r="B202" t="str">
            <v>Demand deposits/Total lcy deposits</v>
          </cell>
          <cell r="C202">
            <v>0.59631390378494042</v>
          </cell>
          <cell r="D202">
            <v>0</v>
          </cell>
          <cell r="E202">
            <v>0.61468484915518873</v>
          </cell>
        </row>
        <row r="203">
          <cell r="A203">
            <v>121</v>
          </cell>
          <cell r="B203" t="str">
            <v>Savings deposits/Total lcy deposits</v>
          </cell>
          <cell r="C203">
            <v>2.6232704888859367E-2</v>
          </cell>
          <cell r="D203">
            <v>0</v>
          </cell>
          <cell r="E203">
            <v>2.1476894295747548E-2</v>
          </cell>
        </row>
        <row r="204">
          <cell r="A204">
            <v>122</v>
          </cell>
          <cell r="B204" t="str">
            <v>Time deposits/Total lcy deposits</v>
          </cell>
          <cell r="C204">
            <v>0.32964095987727376</v>
          </cell>
          <cell r="D204">
            <v>0</v>
          </cell>
          <cell r="E204">
            <v>0.25509627083341102</v>
          </cell>
        </row>
        <row r="205">
          <cell r="A205">
            <v>123</v>
          </cell>
          <cell r="B205" t="str">
            <v>Inter-bank borrowings/Total lcy deposits</v>
          </cell>
          <cell r="C205">
            <v>4.7812431448926412E-2</v>
          </cell>
          <cell r="D205">
            <v>0</v>
          </cell>
          <cell r="E205">
            <v>0.10874198571565276</v>
          </cell>
        </row>
        <row r="206">
          <cell r="A206">
            <v>124</v>
          </cell>
          <cell r="B206" t="str">
            <v>Interest expense - banks/Interest expense</v>
          </cell>
          <cell r="C206">
            <v>9.8130558926691841E-2</v>
          </cell>
          <cell r="D206">
            <v>0</v>
          </cell>
          <cell r="E206">
            <v>5.6967958181079512E-2</v>
          </cell>
        </row>
        <row r="207">
          <cell r="E207">
            <v>5.6967958181079512E-2</v>
          </cell>
        </row>
        <row r="208">
          <cell r="B208" t="str">
            <v>MATURITY PROFILE OF  LOANS</v>
          </cell>
        </row>
        <row r="209">
          <cell r="A209">
            <v>125</v>
          </cell>
          <cell r="B209" t="str">
            <v>Within 30 days</v>
          </cell>
          <cell r="C209">
            <v>12552209</v>
          </cell>
          <cell r="D209">
            <v>0.68903918949436938</v>
          </cell>
          <cell r="E209">
            <v>9210003</v>
          </cell>
          <cell r="F209">
            <v>0.72707873202247109</v>
          </cell>
        </row>
        <row r="210">
          <cell r="A210">
            <v>126</v>
          </cell>
          <cell r="B210" t="str">
            <v>Over 30 days but not exceeding 90 days</v>
          </cell>
          <cell r="C210">
            <v>1139058</v>
          </cell>
          <cell r="D210">
            <v>6.252728910959636E-2</v>
          </cell>
          <cell r="E210">
            <v>889119</v>
          </cell>
          <cell r="F210">
            <v>7.0191021125301206E-2</v>
          </cell>
        </row>
        <row r="211">
          <cell r="A211">
            <v>127</v>
          </cell>
          <cell r="B211" t="str">
            <v>Over 90 days but not exceeding 180 days</v>
          </cell>
          <cell r="C211">
            <v>33988</v>
          </cell>
          <cell r="D211">
            <v>1.8657324756570439E-3</v>
          </cell>
          <cell r="E211">
            <v>51237</v>
          </cell>
          <cell r="F211">
            <v>4.0448774004346521E-3</v>
          </cell>
        </row>
        <row r="212">
          <cell r="A212">
            <v>128</v>
          </cell>
          <cell r="B212" t="str">
            <v>Over 180 days but not exceeding 360 days</v>
          </cell>
          <cell r="C212">
            <v>379765</v>
          </cell>
          <cell r="D212">
            <v>2.0846766318050408E-2</v>
          </cell>
          <cell r="E212">
            <v>702003</v>
          </cell>
          <cell r="F212">
            <v>5.5419249170273965E-2</v>
          </cell>
        </row>
        <row r="213">
          <cell r="A213">
            <v>129</v>
          </cell>
          <cell r="B213" t="str">
            <v>Over 360 days</v>
          </cell>
          <cell r="C213">
            <v>4111954</v>
          </cell>
          <cell r="D213">
            <v>0.22572102260232682</v>
          </cell>
          <cell r="E213">
            <v>1814771</v>
          </cell>
          <cell r="F213">
            <v>0.14326612028151911</v>
          </cell>
        </row>
        <row r="214">
          <cell r="D214">
            <v>0</v>
          </cell>
          <cell r="E214">
            <v>0</v>
          </cell>
          <cell r="F214">
            <v>0</v>
          </cell>
        </row>
        <row r="215">
          <cell r="A215">
            <v>130</v>
          </cell>
          <cell r="B215" t="str">
            <v>TOTAL LOANS</v>
          </cell>
          <cell r="C215">
            <v>18216974</v>
          </cell>
          <cell r="D215">
            <v>1</v>
          </cell>
          <cell r="E215">
            <v>12667133</v>
          </cell>
          <cell r="F215">
            <v>1</v>
          </cell>
        </row>
        <row r="216">
          <cell r="C216">
            <v>0</v>
          </cell>
          <cell r="D216">
            <v>0</v>
          </cell>
          <cell r="E216">
            <v>0</v>
          </cell>
        </row>
        <row r="217">
          <cell r="E217">
            <v>0</v>
          </cell>
        </row>
        <row r="218">
          <cell r="B218" t="str">
            <v>MATURITY PROFILE OF DEPOSIT LIABILITIES</v>
          </cell>
        </row>
        <row r="219">
          <cell r="A219">
            <v>131</v>
          </cell>
          <cell r="B219" t="str">
            <v>Within 30 days</v>
          </cell>
          <cell r="C219">
            <v>23967565</v>
          </cell>
          <cell r="D219">
            <v>0.76396503904012525</v>
          </cell>
          <cell r="E219">
            <v>22417674</v>
          </cell>
          <cell r="F219">
            <v>0.92866376605187051</v>
          </cell>
        </row>
        <row r="220">
          <cell r="A220">
            <v>132</v>
          </cell>
          <cell r="B220" t="str">
            <v>Over 30 days but not exceeding 90 days</v>
          </cell>
          <cell r="C220">
            <v>7158256</v>
          </cell>
          <cell r="D220">
            <v>0.22816908286257745</v>
          </cell>
          <cell r="E220">
            <v>1677442</v>
          </cell>
          <cell r="F220">
            <v>6.9488904382032757E-2</v>
          </cell>
        </row>
        <row r="221">
          <cell r="A221">
            <v>133</v>
          </cell>
          <cell r="B221" t="str">
            <v>Over 90 days but not exceeding 180 days</v>
          </cell>
          <cell r="C221">
            <v>233888</v>
          </cell>
          <cell r="D221">
            <v>7.4551693111510001E-3</v>
          </cell>
          <cell r="E221">
            <v>40899</v>
          </cell>
          <cell r="F221">
            <v>1.6942622757274218E-3</v>
          </cell>
        </row>
        <row r="222">
          <cell r="A222">
            <v>134</v>
          </cell>
          <cell r="B222" t="str">
            <v>Over 180 days but not exceeding 360 days</v>
          </cell>
          <cell r="C222">
            <v>12885</v>
          </cell>
          <cell r="D222">
            <v>4.1070878614627788E-4</v>
          </cell>
          <cell r="E222">
            <v>3695</v>
          </cell>
          <cell r="F222">
            <v>1.5306729036927122E-4</v>
          </cell>
        </row>
        <row r="223">
          <cell r="A223">
            <v>135</v>
          </cell>
          <cell r="B223" t="str">
            <v>Over 360 days</v>
          </cell>
          <cell r="C223">
            <v>0</v>
          </cell>
          <cell r="D223">
            <v>0</v>
          </cell>
          <cell r="E223">
            <v>0</v>
          </cell>
          <cell r="F223">
            <v>0</v>
          </cell>
        </row>
        <row r="224">
          <cell r="D224">
            <v>0</v>
          </cell>
          <cell r="E224">
            <v>0</v>
          </cell>
          <cell r="F224">
            <v>0</v>
          </cell>
        </row>
        <row r="225">
          <cell r="A225">
            <v>136</v>
          </cell>
          <cell r="B225" t="str">
            <v>TOTAL DEPOSIT LIABILITIES - LCY</v>
          </cell>
          <cell r="C225">
            <v>31372594</v>
          </cell>
          <cell r="D225">
            <v>1</v>
          </cell>
          <cell r="E225">
            <v>24139710</v>
          </cell>
          <cell r="F225">
            <v>1</v>
          </cell>
        </row>
        <row r="226">
          <cell r="C226">
            <v>0</v>
          </cell>
          <cell r="D226">
            <v>0</v>
          </cell>
          <cell r="E226">
            <v>0</v>
          </cell>
        </row>
        <row r="227">
          <cell r="E227">
            <v>0</v>
          </cell>
        </row>
        <row r="228">
          <cell r="A228">
            <v>137</v>
          </cell>
          <cell r="B228" t="str">
            <v>NET FOREIGN CURRENCY ASSETS (LIABILITIES)</v>
          </cell>
          <cell r="C228">
            <v>3729129</v>
          </cell>
          <cell r="D228">
            <v>0</v>
          </cell>
          <cell r="E228">
            <v>4784319</v>
          </cell>
        </row>
        <row r="230">
          <cell r="E230">
            <v>4784319</v>
          </cell>
        </row>
        <row r="231">
          <cell r="B231" t="str">
            <v>ASSET QUALITY RATIOS</v>
          </cell>
        </row>
        <row r="232">
          <cell r="A232">
            <v>138</v>
          </cell>
          <cell r="B232" t="str">
            <v>PERFORMING LOANS</v>
          </cell>
          <cell r="C232">
            <v>17830518</v>
          </cell>
          <cell r="D232">
            <v>0.97878593887217491</v>
          </cell>
          <cell r="E232">
            <v>12220197</v>
          </cell>
          <cell r="F232">
            <v>0.9647168779233628</v>
          </cell>
        </row>
        <row r="233">
          <cell r="B233" t="str">
            <v>NON-PERFORMING LOANS</v>
          </cell>
        </row>
        <row r="234">
          <cell r="A234">
            <v>139</v>
          </cell>
          <cell r="B234" t="str">
            <v>Sub-standard loans</v>
          </cell>
          <cell r="C234">
            <v>125148</v>
          </cell>
          <cell r="D234">
            <v>6.8698566512747942E-3</v>
          </cell>
          <cell r="E234">
            <v>40571</v>
          </cell>
          <cell r="F234">
            <v>3.202855768546837E-3</v>
          </cell>
        </row>
        <row r="235">
          <cell r="A235">
            <v>140</v>
          </cell>
          <cell r="B235" t="str">
            <v>Doubtful loans</v>
          </cell>
          <cell r="C235">
            <v>94040</v>
          </cell>
          <cell r="D235">
            <v>5.1622184891958458E-3</v>
          </cell>
          <cell r="E235">
            <v>114524</v>
          </cell>
          <cell r="F235">
            <v>9.0410355681905287E-3</v>
          </cell>
        </row>
        <row r="236">
          <cell r="A236">
            <v>141</v>
          </cell>
          <cell r="B236" t="str">
            <v>Lost loans</v>
          </cell>
          <cell r="C236">
            <v>167268</v>
          </cell>
          <cell r="D236">
            <v>9.181985987354431E-3</v>
          </cell>
          <cell r="E236">
            <v>291841</v>
          </cell>
          <cell r="F236">
            <v>2.3039230739899864E-2</v>
          </cell>
        </row>
        <row r="237">
          <cell r="A237">
            <v>141</v>
          </cell>
          <cell r="B237" t="str">
            <v>Lost loans</v>
          </cell>
          <cell r="C237">
            <v>167268</v>
          </cell>
          <cell r="D237">
            <v>9.181985987354431E-3</v>
          </cell>
          <cell r="E237">
            <v>291841</v>
          </cell>
          <cell r="F237">
            <v>2.3039230739899864E-2</v>
          </cell>
        </row>
        <row r="238">
          <cell r="A238">
            <v>142</v>
          </cell>
          <cell r="B238" t="str">
            <v>TOTAL NON-PERFORMING LOANS</v>
          </cell>
          <cell r="C238">
            <v>386456</v>
          </cell>
          <cell r="D238">
            <v>2.1214061127825073E-2</v>
          </cell>
          <cell r="E238">
            <v>446936</v>
          </cell>
          <cell r="F238">
            <v>3.5283122076637231E-2</v>
          </cell>
        </row>
        <row r="239">
          <cell r="C239">
            <v>0</v>
          </cell>
          <cell r="D239">
            <v>0</v>
          </cell>
          <cell r="E239">
            <v>0</v>
          </cell>
        </row>
        <row r="240">
          <cell r="A240">
            <v>143</v>
          </cell>
          <cell r="B240" t="str">
            <v>TOTAL LOANS</v>
          </cell>
          <cell r="C240">
            <v>18216974</v>
          </cell>
          <cell r="D240">
            <v>1</v>
          </cell>
          <cell r="E240">
            <v>12667133</v>
          </cell>
          <cell r="F240">
            <v>1</v>
          </cell>
        </row>
        <row r="241">
          <cell r="A241">
            <v>144</v>
          </cell>
          <cell r="B241" t="str">
            <v>Non-performing loans/Total loans - Gross</v>
          </cell>
          <cell r="C241">
            <v>2.1214061127825073E-2</v>
          </cell>
          <cell r="D241">
            <v>0</v>
          </cell>
          <cell r="E241">
            <v>3.5283122076637231E-2</v>
          </cell>
        </row>
        <row r="242">
          <cell r="A242">
            <v>145</v>
          </cell>
          <cell r="B242" t="str">
            <v>Loan loss provision/Total loans - Gross</v>
          </cell>
          <cell r="C242">
            <v>3.7779600497865343E-2</v>
          </cell>
          <cell r="D242">
            <v>0</v>
          </cell>
          <cell r="E242">
            <v>4.9162032166236824E-2</v>
          </cell>
        </row>
        <row r="243">
          <cell r="A243">
            <v>146</v>
          </cell>
          <cell r="B243" t="str">
            <v>Loan loss provision/Non-performing loans</v>
          </cell>
          <cell r="C243">
            <v>1.780875442482456</v>
          </cell>
          <cell r="D243">
            <v>0</v>
          </cell>
          <cell r="E243">
            <v>1.3933583331841695</v>
          </cell>
        </row>
        <row r="245">
          <cell r="E245">
            <v>1.3933583331841695</v>
          </cell>
        </row>
        <row r="246">
          <cell r="B246" t="str">
            <v>CAPITAL ADEQUACY RATIOS</v>
          </cell>
        </row>
        <row r="247">
          <cell r="A247">
            <v>147</v>
          </cell>
          <cell r="B247" t="str">
            <v>Tier 1 capital</v>
          </cell>
          <cell r="C247">
            <v>7949982</v>
          </cell>
          <cell r="D247">
            <v>0</v>
          </cell>
          <cell r="E247">
            <v>3941048</v>
          </cell>
        </row>
        <row r="248">
          <cell r="A248">
            <v>148</v>
          </cell>
          <cell r="B248" t="str">
            <v>Tier 2 capital</v>
          </cell>
          <cell r="C248">
            <v>1253037</v>
          </cell>
          <cell r="D248">
            <v>0</v>
          </cell>
          <cell r="E248">
            <v>-480619</v>
          </cell>
        </row>
        <row r="249">
          <cell r="A249">
            <v>149</v>
          </cell>
          <cell r="B249" t="str">
            <v>Adjusted capital</v>
          </cell>
          <cell r="C249">
            <v>9203019</v>
          </cell>
          <cell r="D249">
            <v>0</v>
          </cell>
          <cell r="E249">
            <v>3460429</v>
          </cell>
        </row>
        <row r="250">
          <cell r="A250">
            <v>150</v>
          </cell>
          <cell r="B250" t="str">
            <v>Risk-weighted assets</v>
          </cell>
          <cell r="C250">
            <v>35510329.399999999</v>
          </cell>
          <cell r="D250">
            <v>0</v>
          </cell>
          <cell r="E250">
            <v>22617566</v>
          </cell>
        </row>
        <row r="251">
          <cell r="A251">
            <v>151</v>
          </cell>
          <cell r="B251" t="str">
            <v>Risk-weighted assets/Total assets &amp; contingents</v>
          </cell>
          <cell r="C251">
            <v>0.52194013888652691</v>
          </cell>
          <cell r="D251">
            <v>0</v>
          </cell>
          <cell r="E251">
            <v>0.50572886782288307</v>
          </cell>
        </row>
        <row r="252">
          <cell r="A252">
            <v>152</v>
          </cell>
          <cell r="B252" t="str">
            <v>Adjusted capital/risk weighted assets</v>
          </cell>
          <cell r="C252">
            <v>0.25916456297361185</v>
          </cell>
          <cell r="D252">
            <v>0</v>
          </cell>
          <cell r="E252">
            <v>0.15299740918187218</v>
          </cell>
        </row>
        <row r="253">
          <cell r="A253">
            <v>153</v>
          </cell>
          <cell r="B253" t="str">
            <v>Tier 1 capital/Adjusted capital</v>
          </cell>
          <cell r="C253">
            <v>0.86384500564434341</v>
          </cell>
          <cell r="D253">
            <v>0</v>
          </cell>
          <cell r="E253">
            <v>1.1388900046786106</v>
          </cell>
        </row>
        <row r="254">
          <cell r="A254">
            <v>154</v>
          </cell>
          <cell r="B254" t="str">
            <v>Adjusted capital/Total loans - net</v>
          </cell>
          <cell r="C254">
            <v>0.48167755336989881</v>
          </cell>
          <cell r="D254">
            <v>0</v>
          </cell>
          <cell r="E254">
            <v>0.28468900348166043</v>
          </cell>
        </row>
        <row r="255">
          <cell r="E255">
            <v>0.28468900348166043</v>
          </cell>
        </row>
        <row r="256">
          <cell r="B256" t="str">
            <v>EARNINGS BREAKDOWN</v>
          </cell>
        </row>
        <row r="257">
          <cell r="A257">
            <v>155</v>
          </cell>
          <cell r="B257" t="str">
            <v>Net revenue from funds</v>
          </cell>
          <cell r="C257">
            <v>0.68531856678587011</v>
          </cell>
          <cell r="D257">
            <v>0</v>
          </cell>
          <cell r="E257">
            <v>0.65887168395932638</v>
          </cell>
        </row>
        <row r="258">
          <cell r="A258">
            <v>156</v>
          </cell>
          <cell r="B258" t="str">
            <v>Foreign exchange</v>
          </cell>
          <cell r="C258">
            <v>0</v>
          </cell>
          <cell r="D258">
            <v>0</v>
          </cell>
          <cell r="E258">
            <v>0</v>
          </cell>
        </row>
        <row r="259">
          <cell r="A259">
            <v>157</v>
          </cell>
          <cell r="B259" t="str">
            <v xml:space="preserve">Commissions </v>
          </cell>
          <cell r="C259">
            <v>0.25518013040340237</v>
          </cell>
          <cell r="D259">
            <v>0</v>
          </cell>
          <cell r="E259">
            <v>0.30533181567241768</v>
          </cell>
        </row>
        <row r="260">
          <cell r="A260">
            <v>158</v>
          </cell>
          <cell r="B260" t="str">
            <v>Fees &amp; other income</v>
          </cell>
          <cell r="C260">
            <v>5.9501302810727491E-2</v>
          </cell>
          <cell r="D260">
            <v>0</v>
          </cell>
          <cell r="E260">
            <v>3.5796500368255955E-2</v>
          </cell>
        </row>
        <row r="261">
          <cell r="E261">
            <v>3.5796500368255955E-2</v>
          </cell>
        </row>
        <row r="262">
          <cell r="B262" t="str">
            <v>GUARANTY TRUST BANK PLC</v>
          </cell>
        </row>
        <row r="263">
          <cell r="B263" t="str">
            <v>GUARANTY TRUST BANK PLC</v>
          </cell>
        </row>
        <row r="264">
          <cell r="B264" t="str">
            <v>KEY RATIOS</v>
          </cell>
          <cell r="C264" t="str">
            <v>28-Feb-2002</v>
          </cell>
          <cell r="D264">
            <v>0</v>
          </cell>
          <cell r="E264" t="str">
            <v>28-Feb-2001</v>
          </cell>
        </row>
        <row r="265">
          <cell r="E265" t="str">
            <v>28-Feb-2001</v>
          </cell>
        </row>
        <row r="266">
          <cell r="B266" t="str">
            <v>STAFF INFORMATION</v>
          </cell>
        </row>
        <row r="267">
          <cell r="A267">
            <v>159</v>
          </cell>
          <cell r="B267" t="str">
            <v>Average number of employees</v>
          </cell>
          <cell r="C267">
            <v>457</v>
          </cell>
          <cell r="D267">
            <v>0</v>
          </cell>
          <cell r="E267">
            <v>316</v>
          </cell>
        </row>
        <row r="268">
          <cell r="A268">
            <v>160</v>
          </cell>
          <cell r="B268" t="str">
            <v>Staff cost per employee (N'000)</v>
          </cell>
          <cell r="C268">
            <v>1784.6630196936542</v>
          </cell>
          <cell r="D268">
            <v>0</v>
          </cell>
          <cell r="E268">
            <v>1859.5189873417721</v>
          </cell>
        </row>
        <row r="269">
          <cell r="A269">
            <v>161</v>
          </cell>
          <cell r="B269" t="str">
            <v>Net earnings per staff (N'000)</v>
          </cell>
          <cell r="C269">
            <v>13415.700218818381</v>
          </cell>
          <cell r="D269">
            <v>0</v>
          </cell>
          <cell r="E269">
            <v>12524.825949367088</v>
          </cell>
        </row>
        <row r="270">
          <cell r="A270">
            <v>162</v>
          </cell>
          <cell r="B270" t="str">
            <v>Staff cost/Net earnings</v>
          </cell>
          <cell r="C270">
            <v>0.13302794416874966</v>
          </cell>
          <cell r="D270">
            <v>0</v>
          </cell>
          <cell r="E270">
            <v>0.14846665293865727</v>
          </cell>
        </row>
        <row r="271">
          <cell r="A271">
            <v>163</v>
          </cell>
          <cell r="B271" t="str">
            <v>Staff costs/Operating expenses</v>
          </cell>
          <cell r="C271">
            <v>0.2690116943536936</v>
          </cell>
          <cell r="D271">
            <v>0</v>
          </cell>
          <cell r="E271">
            <v>0.30804782330164476</v>
          </cell>
        </row>
        <row r="272">
          <cell r="E272">
            <v>0.30804782330164476</v>
          </cell>
        </row>
        <row r="273">
          <cell r="B273" t="str">
            <v>UNUSUAL ITEMS (=N='000)</v>
          </cell>
        </row>
        <row r="274">
          <cell r="A274">
            <v>164</v>
          </cell>
          <cell r="B274" t="str">
            <v>Unamortised Prudential Guidelines losses</v>
          </cell>
          <cell r="C274" t="str">
            <v>NONE</v>
          </cell>
          <cell r="D274">
            <v>0</v>
          </cell>
          <cell r="E274" t="str">
            <v>NONE</v>
          </cell>
        </row>
        <row r="275">
          <cell r="A275">
            <v>165</v>
          </cell>
          <cell r="B275" t="str">
            <v>Unreconciled inter-branch items DR/(CR.)</v>
          </cell>
          <cell r="C275" t="str">
            <v>NONE</v>
          </cell>
          <cell r="D275">
            <v>0</v>
          </cell>
          <cell r="E275" t="str">
            <v>NONE</v>
          </cell>
        </row>
        <row r="276">
          <cell r="A276">
            <v>166</v>
          </cell>
          <cell r="B276" t="str">
            <v>Unamortised pre-SFEM losses</v>
          </cell>
          <cell r="C276" t="str">
            <v>NONE</v>
          </cell>
          <cell r="D276">
            <v>0</v>
          </cell>
          <cell r="E276" t="str">
            <v>NONE</v>
          </cell>
        </row>
        <row r="277">
          <cell r="A277">
            <v>167</v>
          </cell>
          <cell r="B277" t="str">
            <v>Other unamortised losses</v>
          </cell>
          <cell r="C277" t="str">
            <v>NONE</v>
          </cell>
          <cell r="D277">
            <v>0</v>
          </cell>
          <cell r="E277" t="str">
            <v>NONE</v>
          </cell>
        </row>
        <row r="278">
          <cell r="E278" t="str">
            <v>NONE</v>
          </cell>
        </row>
        <row r="279">
          <cell r="B279" t="str">
            <v>OTHER KEY INFORMATION</v>
          </cell>
        </row>
        <row r="280">
          <cell r="A280">
            <v>168</v>
          </cell>
          <cell r="B280" t="str">
            <v>Type of bank</v>
          </cell>
          <cell r="C280" t="str">
            <v>COMMERCIAL</v>
          </cell>
          <cell r="D280">
            <v>0</v>
          </cell>
          <cell r="E280" t="str">
            <v>COMMERCIAL</v>
          </cell>
        </row>
        <row r="281">
          <cell r="A281">
            <v>169</v>
          </cell>
          <cell r="B281" t="str">
            <v>Capital unimpaired by losses (N'000)</v>
          </cell>
          <cell r="C281">
            <v>7949982</v>
          </cell>
          <cell r="D281">
            <v>0</v>
          </cell>
          <cell r="E281">
            <v>3941048</v>
          </cell>
        </row>
        <row r="282">
          <cell r="A282">
            <v>170</v>
          </cell>
          <cell r="B282" t="str">
            <v>Additional capital needed (N'000)</v>
          </cell>
          <cell r="C282">
            <v>0</v>
          </cell>
          <cell r="D282">
            <v>0</v>
          </cell>
          <cell r="E282">
            <v>0</v>
          </cell>
        </row>
        <row r="283">
          <cell r="A283">
            <v>171</v>
          </cell>
          <cell r="B283" t="str">
            <v>Legal lending limit (N'000)</v>
          </cell>
          <cell r="C283">
            <v>2782493.6999999997</v>
          </cell>
          <cell r="D283">
            <v>0</v>
          </cell>
          <cell r="E283">
            <v>1379366.7999999998</v>
          </cell>
        </row>
        <row r="284">
          <cell r="A284">
            <v>172</v>
          </cell>
          <cell r="B284" t="str">
            <v>Year operations started</v>
          </cell>
          <cell r="C284">
            <v>33154</v>
          </cell>
          <cell r="D284">
            <v>0</v>
          </cell>
          <cell r="E284">
            <v>33154</v>
          </cell>
        </row>
        <row r="285">
          <cell r="A285">
            <v>173</v>
          </cell>
          <cell r="B285" t="str">
            <v>Age (in years)</v>
          </cell>
          <cell r="C285">
            <v>12</v>
          </cell>
          <cell r="D285">
            <v>0</v>
          </cell>
          <cell r="E285">
            <v>11</v>
          </cell>
        </row>
        <row r="286">
          <cell r="A286">
            <v>174</v>
          </cell>
          <cell r="B286" t="str">
            <v>Number of offices</v>
          </cell>
          <cell r="C286">
            <v>27</v>
          </cell>
          <cell r="D286">
            <v>0</v>
          </cell>
          <cell r="E286">
            <v>22</v>
          </cell>
        </row>
        <row r="287">
          <cell r="A287">
            <v>175</v>
          </cell>
          <cell r="B287" t="str">
            <v>Government stake in equity</v>
          </cell>
          <cell r="C287" t="str">
            <v>NIL</v>
          </cell>
          <cell r="D287">
            <v>0</v>
          </cell>
          <cell r="E287" t="str">
            <v>NIL</v>
          </cell>
        </row>
        <row r="288">
          <cell r="A288">
            <v>176</v>
          </cell>
          <cell r="B288" t="str">
            <v>Correspondent bank</v>
          </cell>
          <cell r="C288" t="str">
            <v>ANZ LONDON</v>
          </cell>
          <cell r="D288">
            <v>0</v>
          </cell>
          <cell r="E288" t="str">
            <v>ANZ LONDON</v>
          </cell>
        </row>
        <row r="289">
          <cell r="C289" t="str">
            <v>SCB LONDON</v>
          </cell>
          <cell r="D289">
            <v>0</v>
          </cell>
          <cell r="E289" t="str">
            <v>SBC ZURICH</v>
          </cell>
        </row>
        <row r="290">
          <cell r="A290">
            <v>177</v>
          </cell>
          <cell r="B290" t="str">
            <v>Average staff per branch</v>
          </cell>
          <cell r="C290">
            <v>16.925925925925927</v>
          </cell>
          <cell r="D290">
            <v>0</v>
          </cell>
          <cell r="E290">
            <v>14.363636363636363</v>
          </cell>
        </row>
        <row r="291">
          <cell r="E291">
            <v>14.363636363636363</v>
          </cell>
        </row>
        <row r="292">
          <cell r="B292" t="str">
            <v>CAPITAL ADEQUACY STRESS TEST</v>
          </cell>
        </row>
        <row r="293">
          <cell r="A293">
            <v>178</v>
          </cell>
          <cell r="B293" t="str">
            <v>Total shareholders' equity (N'000)</v>
          </cell>
          <cell r="C293">
            <v>9203019</v>
          </cell>
          <cell r="D293">
            <v>0</v>
          </cell>
          <cell r="E293">
            <v>3460429</v>
          </cell>
        </row>
        <row r="294">
          <cell r="A294">
            <v>179</v>
          </cell>
          <cell r="B294" t="str">
            <v>Cumulative loan loss provision (actual reserves)</v>
          </cell>
          <cell r="C294">
            <v>688230</v>
          </cell>
          <cell r="D294">
            <v>0</v>
          </cell>
          <cell r="E294">
            <v>622742</v>
          </cell>
        </row>
        <row r="295">
          <cell r="A295">
            <v>180</v>
          </cell>
          <cell r="B295" t="str">
            <v>Equity before required provision (line 178 + line 179)</v>
          </cell>
          <cell r="C295">
            <v>9891249</v>
          </cell>
          <cell r="D295">
            <v>0</v>
          </cell>
          <cell r="E295">
            <v>4083171</v>
          </cell>
        </row>
        <row r="296">
          <cell r="A296">
            <v>181</v>
          </cell>
          <cell r="B296" t="str">
            <v>Required reserves*</v>
          </cell>
          <cell r="C296">
            <v>1943213.55</v>
          </cell>
          <cell r="D296">
            <v>0</v>
          </cell>
          <cell r="E296">
            <v>1471003.27</v>
          </cell>
        </row>
        <row r="297">
          <cell r="A297">
            <v>182</v>
          </cell>
          <cell r="B297" t="str">
            <v>Equity after required reserves (line 180 - line 181)</v>
          </cell>
          <cell r="C297">
            <v>7948035.4500000002</v>
          </cell>
          <cell r="D297">
            <v>0</v>
          </cell>
          <cell r="E297">
            <v>2612167.73</v>
          </cell>
        </row>
        <row r="298">
          <cell r="A298">
            <v>183</v>
          </cell>
          <cell r="B298" t="str">
            <v>Equity after required reserves/risk weighted assets</v>
          </cell>
          <cell r="C298">
            <v>0.22382319692027414</v>
          </cell>
          <cell r="D298">
            <v>0</v>
          </cell>
          <cell r="E298">
            <v>0.11549287531646862</v>
          </cell>
        </row>
        <row r="299">
          <cell r="E299">
            <v>0.11549287531646862</v>
          </cell>
        </row>
        <row r="300">
          <cell r="A300">
            <v>184</v>
          </cell>
          <cell r="B300" t="str">
            <v>WEIGHTED AVERAGE COST OF FUND (Estimate)</v>
          </cell>
          <cell r="C300">
            <v>0.16108003731929413</v>
          </cell>
          <cell r="D300">
            <v>0</v>
          </cell>
          <cell r="E300">
            <v>0.13064995595993145</v>
          </cell>
        </row>
        <row r="302">
          <cell r="E302">
            <v>0.13064995595993145</v>
          </cell>
        </row>
        <row r="303">
          <cell r="C303" t="str">
            <v>2001/02</v>
          </cell>
          <cell r="D303">
            <v>0</v>
          </cell>
          <cell r="E303" t="str">
            <v>2000</v>
          </cell>
        </row>
        <row r="304">
          <cell r="C304" t="str">
            <v>Estimate</v>
          </cell>
          <cell r="D304">
            <v>0</v>
          </cell>
          <cell r="E304" t="str">
            <v>Actual</v>
          </cell>
        </row>
        <row r="305">
          <cell r="B305" t="str">
            <v>MARKET SHARE OF INDUSTRY TOTAL</v>
          </cell>
        </row>
        <row r="306">
          <cell r="A306">
            <v>185</v>
          </cell>
          <cell r="B306" t="str">
            <v>Lcy deposits (excluding interbank takings)</v>
          </cell>
          <cell r="C306">
            <v>2.3708407936507938E-2</v>
          </cell>
          <cell r="D306">
            <v>0</v>
          </cell>
          <cell r="E306">
            <v>2.0171840577245807E-2</v>
          </cell>
        </row>
        <row r="307">
          <cell r="A307">
            <v>186</v>
          </cell>
          <cell r="B307" t="str">
            <v>Total assets &amp; contingents</v>
          </cell>
          <cell r="C307">
            <v>2.5654318627450979E-2</v>
          </cell>
          <cell r="D307">
            <v>0</v>
          </cell>
          <cell r="E307">
            <v>2.3027173997185645E-2</v>
          </cell>
        </row>
        <row r="308">
          <cell r="A308">
            <v>187</v>
          </cell>
          <cell r="B308" t="str">
            <v>Total loans &amp; leases - net</v>
          </cell>
          <cell r="C308">
            <v>3.1843636666666668E-2</v>
          </cell>
          <cell r="D308">
            <v>0</v>
          </cell>
          <cell r="E308">
            <v>2.5100899716192473E-2</v>
          </cell>
        </row>
        <row r="309">
          <cell r="A309">
            <v>188</v>
          </cell>
          <cell r="B309" t="str">
            <v>Net earnings</v>
          </cell>
          <cell r="C309">
            <v>2.6089255319148935E-2</v>
          </cell>
          <cell r="D309">
            <v>0</v>
          </cell>
          <cell r="E309">
            <v>2.2476660001983225E-2</v>
          </cell>
        </row>
        <row r="310">
          <cell r="A310">
            <v>189</v>
          </cell>
          <cell r="B310" t="str">
            <v>Profit before tax</v>
          </cell>
          <cell r="C310">
            <v>3.5828554913294799E-2</v>
          </cell>
          <cell r="D310">
            <v>0</v>
          </cell>
          <cell r="E310">
            <v>3.39507994302728E-2</v>
          </cell>
        </row>
        <row r="311">
          <cell r="A311">
            <v>190</v>
          </cell>
          <cell r="B311" t="str">
            <v>Cash dividend</v>
          </cell>
          <cell r="C311">
            <v>5.7500000000000002E-2</v>
          </cell>
          <cell r="D311">
            <v>0</v>
          </cell>
          <cell r="E311">
            <v>3.9588216567338734E-2</v>
          </cell>
        </row>
        <row r="312">
          <cell r="A312">
            <v>191</v>
          </cell>
          <cell r="B312" t="str">
            <v>Core capital</v>
          </cell>
          <cell r="C312">
            <v>3.631787117405208E-2</v>
          </cell>
          <cell r="D312">
            <v>0</v>
          </cell>
          <cell r="E312">
            <v>2.6729494569793989E-2</v>
          </cell>
        </row>
        <row r="313">
          <cell r="A313">
            <v>192</v>
          </cell>
          <cell r="B313" t="str">
            <v>Demand and savings deposits</v>
          </cell>
          <cell r="C313">
            <v>2.325107380952381E-2</v>
          </cell>
          <cell r="D313">
            <v>0</v>
          </cell>
          <cell r="E313">
            <v>2.1339455047083018E-2</v>
          </cell>
        </row>
        <row r="314">
          <cell r="A314">
            <v>193</v>
          </cell>
          <cell r="B314" t="str">
            <v>Net Revenue from funds</v>
          </cell>
          <cell r="C314">
            <v>3.2320546153846157E-2</v>
          </cell>
          <cell r="D314">
            <v>0</v>
          </cell>
          <cell r="E314">
            <v>2.7800684307118441E-2</v>
          </cell>
        </row>
        <row r="315">
          <cell r="A315">
            <v>194</v>
          </cell>
          <cell r="B315" t="str">
            <v>Non interest Income</v>
          </cell>
          <cell r="C315">
            <v>1.8374323809523811E-2</v>
          </cell>
          <cell r="D315">
            <v>0</v>
          </cell>
          <cell r="E315">
            <v>1.6407689310101784E-2</v>
          </cell>
        </row>
        <row r="316">
          <cell r="E316">
            <v>1.6407689310101784E-2</v>
          </cell>
        </row>
        <row r="317">
          <cell r="B317" t="str">
            <v>INDUSTRY TOTAL</v>
          </cell>
          <cell r="C317" t="str">
            <v>Estimates</v>
          </cell>
          <cell r="D317">
            <v>0</v>
          </cell>
          <cell r="E317" t="str">
            <v>Actual</v>
          </cell>
        </row>
        <row r="318">
          <cell r="A318">
            <v>195</v>
          </cell>
          <cell r="B318" t="str">
            <v>Lcy deposits (excluding interbank takings)</v>
          </cell>
          <cell r="C318">
            <v>1260000000</v>
          </cell>
          <cell r="D318">
            <v>0</v>
          </cell>
          <cell r="E318">
            <v>1066571487</v>
          </cell>
        </row>
        <row r="319">
          <cell r="A319">
            <v>196</v>
          </cell>
          <cell r="B319" t="str">
            <v>Total assets &amp; contingents</v>
          </cell>
          <cell r="C319">
            <v>2652000000</v>
          </cell>
          <cell r="D319">
            <v>0</v>
          </cell>
          <cell r="E319">
            <v>1942171063</v>
          </cell>
        </row>
        <row r="320">
          <cell r="A320">
            <v>197</v>
          </cell>
          <cell r="B320" t="str">
            <v>Total loans &amp; leases - net</v>
          </cell>
          <cell r="C320">
            <v>600000000</v>
          </cell>
          <cell r="D320">
            <v>0</v>
          </cell>
          <cell r="E320">
            <v>484250371</v>
          </cell>
        </row>
        <row r="321">
          <cell r="A321">
            <v>198</v>
          </cell>
          <cell r="B321" t="str">
            <v>Net earnings</v>
          </cell>
          <cell r="C321">
            <v>235000000</v>
          </cell>
          <cell r="D321">
            <v>0</v>
          </cell>
          <cell r="E321">
            <v>176086883</v>
          </cell>
        </row>
        <row r="322">
          <cell r="A322">
            <v>199</v>
          </cell>
          <cell r="B322" t="str">
            <v>Profit before tax</v>
          </cell>
          <cell r="C322">
            <v>86500000</v>
          </cell>
          <cell r="D322">
            <v>0</v>
          </cell>
          <cell r="E322">
            <v>60391008</v>
          </cell>
        </row>
        <row r="323">
          <cell r="A323">
            <v>200</v>
          </cell>
          <cell r="B323" t="str">
            <v>Cash dividend</v>
          </cell>
          <cell r="C323">
            <v>26000000</v>
          </cell>
          <cell r="D323">
            <v>0</v>
          </cell>
          <cell r="E323">
            <v>15156025</v>
          </cell>
        </row>
        <row r="324">
          <cell r="A324">
            <v>201</v>
          </cell>
          <cell r="B324" t="str">
            <v>Core Capital</v>
          </cell>
          <cell r="C324">
            <v>218900000</v>
          </cell>
          <cell r="D324">
            <v>0</v>
          </cell>
          <cell r="E324">
            <v>147441920</v>
          </cell>
        </row>
        <row r="325">
          <cell r="A325">
            <v>202</v>
          </cell>
          <cell r="B325" t="str">
            <v>Demand and savings deposits</v>
          </cell>
          <cell r="C325">
            <v>840000000</v>
          </cell>
          <cell r="D325">
            <v>0</v>
          </cell>
          <cell r="E325">
            <v>719641620</v>
          </cell>
        </row>
        <row r="326">
          <cell r="A326">
            <v>203</v>
          </cell>
          <cell r="B326" t="str">
            <v>Net Revenue from funds</v>
          </cell>
          <cell r="C326">
            <v>130000000</v>
          </cell>
          <cell r="D326">
            <v>0</v>
          </cell>
          <cell r="E326">
            <v>93800281</v>
          </cell>
        </row>
        <row r="327">
          <cell r="A327">
            <v>204</v>
          </cell>
          <cell r="B327" t="str">
            <v>Non interest Income</v>
          </cell>
          <cell r="C327">
            <v>105000000</v>
          </cell>
          <cell r="D327">
            <v>0</v>
          </cell>
          <cell r="E327">
            <v>82286602</v>
          </cell>
        </row>
        <row r="328">
          <cell r="A328">
            <v>205</v>
          </cell>
          <cell r="B328" t="str">
            <v>Acceptances &amp; Direct Credit Substitutes</v>
          </cell>
          <cell r="C328">
            <v>220000000</v>
          </cell>
        </row>
        <row r="329">
          <cell r="A329">
            <v>205</v>
          </cell>
          <cell r="B329" t="str">
            <v>NET INTEREST INCOME</v>
          </cell>
          <cell r="C329">
            <v>4497825</v>
          </cell>
          <cell r="D329">
            <v>0</v>
          </cell>
          <cell r="E329">
            <v>2903431</v>
          </cell>
        </row>
        <row r="330">
          <cell r="A330">
            <v>206</v>
          </cell>
          <cell r="B330" t="str">
            <v>LOAN LOSS EXPENSE/NET INTEREST INCOME</v>
          </cell>
          <cell r="C330">
            <v>6.5843824515182336E-2</v>
          </cell>
          <cell r="D330">
            <v>0</v>
          </cell>
          <cell r="E330">
            <v>0.10185156802417554</v>
          </cell>
        </row>
        <row r="331">
          <cell r="A331">
            <v>207</v>
          </cell>
          <cell r="B331" t="str">
            <v>LOCAL CURRENCY DEPOSITS / SHAREHOLDERS FUND</v>
          </cell>
          <cell r="C331">
            <v>3.9462471738929725</v>
          </cell>
          <cell r="D331">
            <v>0</v>
          </cell>
          <cell r="E331">
            <v>6.1252007080350204</v>
          </cell>
        </row>
        <row r="332">
          <cell r="A332">
            <v>208</v>
          </cell>
          <cell r="B332" t="str">
            <v>Dividend Yield</v>
          </cell>
        </row>
        <row r="336">
          <cell r="A336">
            <v>208</v>
          </cell>
          <cell r="B336" t="str">
            <v>Dividend Yield</v>
          </cell>
        </row>
        <row r="337">
          <cell r="B337" t="str">
            <v>WORKING INFORMATION</v>
          </cell>
          <cell r="C337" t="str">
            <v>28-Feb-2002</v>
          </cell>
          <cell r="D337">
            <v>0</v>
          </cell>
          <cell r="E337" t="str">
            <v>28-Feb-2001</v>
          </cell>
        </row>
        <row r="338">
          <cell r="C338" t="str">
            <v xml:space="preserve">      Growth/-Decline</v>
          </cell>
          <cell r="D338">
            <v>0</v>
          </cell>
          <cell r="E338" t="str">
            <v xml:space="preserve">      Growth/-Decline</v>
          </cell>
        </row>
      </sheetData>
      <sheetData sheetId="1">
        <row r="67">
          <cell r="B67" t="str">
            <v>GUARANTY TRUST BANK PLC</v>
          </cell>
        </row>
      </sheetData>
      <sheetData sheetId="2">
        <row r="67">
          <cell r="B67" t="str">
            <v>GUARANTY TRUST BANK PLC</v>
          </cell>
        </row>
        <row r="68">
          <cell r="B68" t="str">
            <v>GUARANTY TRUST BANK PLC</v>
          </cell>
        </row>
        <row r="69">
          <cell r="B69" t="str">
            <v>ANALYST: YINKA ADELEKAN</v>
          </cell>
        </row>
        <row r="70">
          <cell r="B70" t="str">
            <v>Please direct enquiries to the above named person at:</v>
          </cell>
        </row>
        <row r="71">
          <cell r="B71" t="str">
            <v>5th Floor, UBA House, 57 Marina, Lagos</v>
          </cell>
        </row>
        <row r="72">
          <cell r="B72" t="str">
            <v>Tel: 2643571-4; Fax/Tel: 2643576</v>
          </cell>
        </row>
        <row r="73">
          <cell r="B73" t="str">
            <v>Tel: 2643571-4; Fax/Tel: 2643576</v>
          </cell>
        </row>
        <row r="74">
          <cell r="B74" t="str">
            <v>CURRENT RATING</v>
          </cell>
          <cell r="C74" t="str">
            <v>Rating Outlook</v>
          </cell>
          <cell r="D74">
            <v>0</v>
          </cell>
          <cell r="E74" t="str">
            <v>Previous Rating</v>
          </cell>
          <cell r="F74">
            <v>0</v>
          </cell>
          <cell r="G74" t="str">
            <v>Expiry Date</v>
          </cell>
        </row>
        <row r="75">
          <cell r="G75" t="str">
            <v>Expiry Date</v>
          </cell>
        </row>
        <row r="76">
          <cell r="B76" t="str">
            <v>Aa+</v>
          </cell>
          <cell r="C76" t="str">
            <v>Positive</v>
          </cell>
          <cell r="D76">
            <v>0</v>
          </cell>
          <cell r="E76" t="str">
            <v>Aa</v>
          </cell>
          <cell r="F76">
            <v>0</v>
          </cell>
          <cell r="G76" t="str">
            <v>31-Augt-03</v>
          </cell>
        </row>
        <row r="78">
          <cell r="G78" t="str">
            <v>31-Augt-03</v>
          </cell>
        </row>
        <row r="79">
          <cell r="B79" t="str">
            <v>BASIC INFORMATION</v>
          </cell>
        </row>
        <row r="80">
          <cell r="B80" t="str">
            <v xml:space="preserve">Date of incorporation:  </v>
          </cell>
          <cell r="C80" t="str">
            <v>20 July 1990</v>
          </cell>
        </row>
        <row r="81">
          <cell r="B81" t="str">
            <v xml:space="preserve">RC Number:  </v>
          </cell>
          <cell r="C81" t="str">
            <v>152321</v>
          </cell>
        </row>
        <row r="82">
          <cell r="B82" t="str">
            <v xml:space="preserve">Date of banking licence:   </v>
          </cell>
          <cell r="C82" t="str">
            <v>1 August 1990</v>
          </cell>
        </row>
        <row r="83">
          <cell r="B83" t="str">
            <v xml:space="preserve">Date of commencement of business:  </v>
          </cell>
          <cell r="C83" t="str">
            <v>11 February 1991</v>
          </cell>
        </row>
        <row r="84">
          <cell r="B84" t="str">
            <v>Authorised capital:</v>
          </cell>
          <cell r="C84" t="str">
            <v xml:space="preserve">N1 Billion   </v>
          </cell>
        </row>
        <row r="85">
          <cell r="B85" t="str">
            <v>Paid-up capital:</v>
          </cell>
          <cell r="C85" t="str">
            <v xml:space="preserve">N1 Billion   </v>
          </cell>
        </row>
        <row r="86">
          <cell r="B86" t="str">
            <v>Rating Rationale</v>
          </cell>
        </row>
        <row r="90">
          <cell r="B90" t="str">
            <v>Rating Rationale</v>
          </cell>
        </row>
        <row r="91">
          <cell r="B91" t="str">
            <v>RATING RATIONALE</v>
          </cell>
        </row>
        <row r="95">
          <cell r="B95" t="str">
            <v>RATING RATIONALE</v>
          </cell>
        </row>
        <row r="96">
          <cell r="B96" t="str">
            <v>Current Directors</v>
          </cell>
          <cell r="C96">
            <v>0</v>
          </cell>
          <cell r="D96">
            <v>0</v>
          </cell>
          <cell r="E96" t="str">
            <v>Ownership Stake %</v>
          </cell>
        </row>
        <row r="97">
          <cell r="B97" t="str">
            <v>Professor Mosobalaje O. Oyawoye</v>
          </cell>
          <cell r="C97" t="str">
            <v>- Chairman</v>
          </cell>
          <cell r="D97">
            <v>0</v>
          </cell>
          <cell r="E97">
            <v>1.6415910999999998E-2</v>
          </cell>
        </row>
        <row r="98">
          <cell r="B98" t="str">
            <v>Mr. Fola Adeola</v>
          </cell>
          <cell r="C98" t="str">
            <v>- Managing/CEO</v>
          </cell>
          <cell r="D98">
            <v>0</v>
          </cell>
          <cell r="E98">
            <v>4.5383202499999997E-2</v>
          </cell>
        </row>
        <row r="99">
          <cell r="B99" t="str">
            <v>Mr. Olutayo Aderinokun</v>
          </cell>
          <cell r="C99" t="str">
            <v>- Deputy Managing</v>
          </cell>
          <cell r="D99">
            <v>0</v>
          </cell>
          <cell r="E99">
            <v>4.4906250000000002E-2</v>
          </cell>
          <cell r="F99">
            <v>0</v>
          </cell>
          <cell r="G99">
            <v>2000000000</v>
          </cell>
        </row>
        <row r="100">
          <cell r="B100" t="str">
            <v>Alhaji Mohammed K. Jada</v>
          </cell>
          <cell r="C100">
            <v>0</v>
          </cell>
          <cell r="D100">
            <v>0</v>
          </cell>
          <cell r="E100">
            <v>1.1492674E-2</v>
          </cell>
        </row>
        <row r="101">
          <cell r="B101" t="str">
            <v>Mr. Victor G. Osibodu</v>
          </cell>
          <cell r="C101">
            <v>0</v>
          </cell>
          <cell r="D101">
            <v>0</v>
          </cell>
          <cell r="E101">
            <v>3.3625000000000002E-2</v>
          </cell>
        </row>
        <row r="102">
          <cell r="B102" t="str">
            <v>Mr. Adetokunbo B. Adesanya</v>
          </cell>
          <cell r="C102">
            <v>0</v>
          </cell>
          <cell r="D102">
            <v>0</v>
          </cell>
          <cell r="E102">
            <v>2.400625E-2</v>
          </cell>
        </row>
        <row r="103">
          <cell r="B103" t="str">
            <v>Owelle Gilbert P. Chikelu</v>
          </cell>
          <cell r="C103">
            <v>0</v>
          </cell>
          <cell r="D103">
            <v>0</v>
          </cell>
          <cell r="E103">
            <v>0.01</v>
          </cell>
        </row>
        <row r="104">
          <cell r="B104" t="str">
            <v>Mr. J. K. Olusegun Agbaje</v>
          </cell>
          <cell r="C104" t="str">
            <v>- Executive</v>
          </cell>
          <cell r="D104">
            <v>0</v>
          </cell>
          <cell r="E104">
            <v>2.575E-3</v>
          </cell>
        </row>
        <row r="105">
          <cell r="B105" t="str">
            <v>Mrs Mosun Olusoga</v>
          </cell>
          <cell r="C105" t="str">
            <v>- Executive</v>
          </cell>
          <cell r="D105">
            <v>0</v>
          </cell>
          <cell r="E105">
            <v>1.0629999999999999E-3</v>
          </cell>
        </row>
        <row r="106">
          <cell r="B106" t="str">
            <v>Mr. Babajide Ogundare</v>
          </cell>
          <cell r="C106" t="str">
            <v>- Executive</v>
          </cell>
          <cell r="D106">
            <v>0</v>
          </cell>
          <cell r="E106">
            <v>1.8799999999999999E-4</v>
          </cell>
        </row>
        <row r="107">
          <cell r="B107" t="str">
            <v>Mr. Farouk Bello</v>
          </cell>
          <cell r="C107" t="str">
            <v>- Executive</v>
          </cell>
          <cell r="D107">
            <v>0</v>
          </cell>
          <cell r="E107">
            <v>1.2549999999999999E-4</v>
          </cell>
        </row>
        <row r="108">
          <cell r="E108">
            <v>0.18978078749999999</v>
          </cell>
        </row>
        <row r="109">
          <cell r="B109" t="str">
            <v>Other Significant Shareholders</v>
          </cell>
        </row>
        <row r="110">
          <cell r="B110" t="str">
            <v>GTB Staff Investment Trust</v>
          </cell>
          <cell r="C110">
            <v>0</v>
          </cell>
          <cell r="D110">
            <v>0</v>
          </cell>
          <cell r="E110">
            <v>7.1999999999999995E-2</v>
          </cell>
        </row>
        <row r="111">
          <cell r="B111" t="str">
            <v>First Express Equity Investment Company</v>
          </cell>
          <cell r="C111">
            <v>0</v>
          </cell>
          <cell r="D111">
            <v>0</v>
          </cell>
          <cell r="E111">
            <v>3.7499999999999999E-2</v>
          </cell>
        </row>
        <row r="112">
          <cell r="E112">
            <v>0.10949999999999999</v>
          </cell>
        </row>
        <row r="132">
          <cell r="E132">
            <v>0.10949999999999999</v>
          </cell>
        </row>
        <row r="133">
          <cell r="B133" t="str">
            <v>Other members of the senior management team at Guaranty Trust Bank include:</v>
          </cell>
        </row>
        <row r="134">
          <cell r="B134" t="str">
            <v>Other members of the senior management team at Guaranty Trust Bank include:</v>
          </cell>
        </row>
        <row r="135">
          <cell r="B135" t="str">
            <v>Segun Agbaje</v>
          </cell>
          <cell r="C135" t="str">
            <v>Executive Director</v>
          </cell>
        </row>
        <row r="136">
          <cell r="B136" t="str">
            <v xml:space="preserve">Mosun Olusoga </v>
          </cell>
          <cell r="C136" t="str">
            <v>Executive Director, Payment Systems/Investment Banking Group</v>
          </cell>
        </row>
        <row r="137">
          <cell r="B137" t="str">
            <v>Babajide Ogundare</v>
          </cell>
          <cell r="C137" t="str">
            <v>Executive Director, Commercial Banking Group</v>
          </cell>
        </row>
        <row r="138">
          <cell r="B138" t="str">
            <v>Farouk Bello</v>
          </cell>
          <cell r="C138" t="str">
            <v>Executive Director, Public Sector Group</v>
          </cell>
        </row>
        <row r="139">
          <cell r="B139" t="str">
            <v>Kolapo Omidire</v>
          </cell>
          <cell r="C139" t="str">
            <v>Deputy General Manager, General Internal Services &amp; External Affairs Group</v>
          </cell>
        </row>
        <row r="140">
          <cell r="B140" t="str">
            <v>Titi Osuntoki</v>
          </cell>
          <cell r="C140" t="str">
            <v>Deputy General Manager, Financial Control &amp; Risk Management Group</v>
          </cell>
        </row>
        <row r="141">
          <cell r="B141" t="str">
            <v>Cathy Echeozo</v>
          </cell>
          <cell r="C141" t="str">
            <v>Deputy General Manager, Retail Banking Group</v>
          </cell>
        </row>
        <row r="142">
          <cell r="B142" t="str">
            <v>Ronke Bammeke</v>
          </cell>
          <cell r="C142" t="str">
            <v>Deputy General Manager, Technology Unit</v>
          </cell>
        </row>
        <row r="143">
          <cell r="B143" t="str">
            <v>Dolapo Ogunmekan</v>
          </cell>
          <cell r="C143" t="str">
            <v>Deputy General Manager, Institutional Banking Group</v>
          </cell>
        </row>
        <row r="144">
          <cell r="B144" t="str">
            <v>Sadiq Bello</v>
          </cell>
          <cell r="C144" t="str">
            <v>Deputy General Manager, Transaction Services Group</v>
          </cell>
        </row>
        <row r="146">
          <cell r="B146" t="str">
            <v>Sadiq Bello</v>
          </cell>
          <cell r="C146" t="str">
            <v>Deputy General Manager, Transaction Services Group</v>
          </cell>
        </row>
        <row r="147">
          <cell r="B147" t="str">
            <v>GUARANTY TRUST BANK PLC</v>
          </cell>
        </row>
        <row r="215">
          <cell r="B215" t="str">
            <v>GUARANTY TRUST BANK PLC</v>
          </cell>
        </row>
        <row r="216">
          <cell r="B216" t="str">
            <v>GUARANTY TRUST BANK PLC</v>
          </cell>
        </row>
        <row r="217">
          <cell r="B217" t="str">
            <v>GUARANTY TRUST BANK PLC</v>
          </cell>
        </row>
        <row r="218">
          <cell r="B218" t="str">
            <v xml:space="preserve">ANALYST'S COMMENTS </v>
          </cell>
        </row>
        <row r="321">
          <cell r="B321" t="str">
            <v>ANALYST'S COMMENTS</v>
          </cell>
        </row>
        <row r="322">
          <cell r="B322" t="str">
            <v>GUARANTY TRUST BANK PLC</v>
          </cell>
        </row>
        <row r="323">
          <cell r="B323" t="str">
            <v xml:space="preserve">ANALYST'S COMMENTS </v>
          </cell>
        </row>
        <row r="324">
          <cell r="B324" t="str">
            <v>ANALYST'S COMMENTS</v>
          </cell>
        </row>
        <row r="325">
          <cell r="B325" t="str">
            <v>EARNINGS Cont'd</v>
          </cell>
        </row>
        <row r="431">
          <cell r="B431" t="str">
            <v>EARNINGS Cont'd</v>
          </cell>
        </row>
        <row r="432">
          <cell r="B432" t="str">
            <v>GUARANTY TRUST BANK PLC</v>
          </cell>
        </row>
        <row r="433">
          <cell r="B433" t="str">
            <v xml:space="preserve">ANALYST'S COMMENTS </v>
          </cell>
        </row>
        <row r="434">
          <cell r="B434" t="str">
            <v>ANALYST'S COMMENTS</v>
          </cell>
        </row>
        <row r="435">
          <cell r="D435" t="str">
            <v>MARKET POSITION</v>
          </cell>
        </row>
        <row r="535">
          <cell r="D535" t="str">
            <v>MARKET POSITION</v>
          </cell>
        </row>
        <row r="536">
          <cell r="B536" t="str">
            <v>GUARANTY TRUST BANK PLC</v>
          </cell>
        </row>
        <row r="537">
          <cell r="B537" t="str">
            <v xml:space="preserve">ANALYST'S COMMENTS </v>
          </cell>
        </row>
        <row r="628">
          <cell r="B628" t="str">
            <v>ANALYST'S COMMENTS</v>
          </cell>
        </row>
        <row r="629">
          <cell r="B629" t="str">
            <v>GUARANTY TRUST BANK PLC</v>
          </cell>
        </row>
        <row r="630">
          <cell r="B630" t="str">
            <v>BALANCE SHEET AS AT</v>
          </cell>
          <cell r="C630" t="str">
            <v>28-Feb-2002</v>
          </cell>
          <cell r="D630">
            <v>0</v>
          </cell>
          <cell r="E630" t="str">
            <v>28-Feb-2001</v>
          </cell>
          <cell r="F630">
            <v>0</v>
          </cell>
          <cell r="G630" t="str">
            <v>29-Feb-2000</v>
          </cell>
        </row>
        <row r="631">
          <cell r="C631" t="str">
            <v>N'000</v>
          </cell>
          <cell r="D631">
            <v>0</v>
          </cell>
          <cell r="E631" t="str">
            <v>N'000</v>
          </cell>
          <cell r="F631">
            <v>0</v>
          </cell>
          <cell r="G631" t="str">
            <v>N'000</v>
          </cell>
        </row>
        <row r="632">
          <cell r="B632" t="str">
            <v>ASSETS</v>
          </cell>
        </row>
        <row r="633">
          <cell r="B633" t="str">
            <v>ASSETS</v>
          </cell>
        </row>
        <row r="634">
          <cell r="A634">
            <v>1</v>
          </cell>
          <cell r="B634" t="str">
            <v>Cash &amp; equivalents</v>
          </cell>
          <cell r="C634">
            <v>5818565</v>
          </cell>
          <cell r="D634">
            <v>8.5522795072137087E-2</v>
          </cell>
          <cell r="E634">
            <v>3210470</v>
          </cell>
          <cell r="F634">
            <v>7.1786122267945701E-2</v>
          </cell>
          <cell r="G634">
            <v>3212094</v>
          </cell>
          <cell r="H634">
            <v>9.5927492405987316E-2</v>
          </cell>
        </row>
        <row r="635">
          <cell r="A635">
            <v>2</v>
          </cell>
          <cell r="B635" t="str">
            <v>Government securities</v>
          </cell>
          <cell r="C635">
            <v>10076591</v>
          </cell>
          <cell r="D635">
            <v>0.14810837846079591</v>
          </cell>
          <cell r="E635">
            <v>5225440</v>
          </cell>
          <cell r="F635">
            <v>0.1168408596697101</v>
          </cell>
          <cell r="G635">
            <v>5130323</v>
          </cell>
          <cell r="H635">
            <v>0.15321438931200707</v>
          </cell>
        </row>
        <row r="636">
          <cell r="A636">
            <v>3</v>
          </cell>
          <cell r="B636" t="str">
            <v>Stabilisation securities</v>
          </cell>
          <cell r="C636">
            <v>0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</row>
        <row r="637">
          <cell r="A637">
            <v>4</v>
          </cell>
          <cell r="B637" t="str">
            <v>Quoted investments</v>
          </cell>
          <cell r="C637">
            <v>0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</row>
        <row r="638">
          <cell r="A638">
            <v>5</v>
          </cell>
          <cell r="B638" t="str">
            <v>Placements with discount houses</v>
          </cell>
          <cell r="C638">
            <v>500000</v>
          </cell>
          <cell r="D638">
            <v>7.3491311923246615E-3</v>
          </cell>
          <cell r="E638">
            <v>1850000</v>
          </cell>
          <cell r="F638">
            <v>4.1366007530268013E-2</v>
          </cell>
          <cell r="G638">
            <v>0</v>
          </cell>
          <cell r="H638">
            <v>0</v>
          </cell>
        </row>
        <row r="639">
          <cell r="A639">
            <v>6</v>
          </cell>
          <cell r="B639" t="str">
            <v>LIQUID ASSETS</v>
          </cell>
          <cell r="C639">
            <v>16395156</v>
          </cell>
          <cell r="D639">
            <v>0.24098030472525767</v>
          </cell>
          <cell r="E639">
            <v>10285910</v>
          </cell>
          <cell r="F639">
            <v>0.22999298946792382</v>
          </cell>
          <cell r="G639">
            <v>8342417</v>
          </cell>
          <cell r="H639">
            <v>0.2491418817179944</v>
          </cell>
        </row>
        <row r="640">
          <cell r="A640">
            <v>6</v>
          </cell>
          <cell r="B640" t="str">
            <v>LIQUID ASSETS</v>
          </cell>
          <cell r="C640">
            <v>16395156</v>
          </cell>
          <cell r="D640">
            <v>0.24098030472525767</v>
          </cell>
          <cell r="E640">
            <v>10285910</v>
          </cell>
          <cell r="F640">
            <v>0.22999298946792382</v>
          </cell>
          <cell r="G640">
            <v>8342417</v>
          </cell>
          <cell r="H640">
            <v>0.2491418817179944</v>
          </cell>
        </row>
        <row r="641">
          <cell r="A641">
            <v>7</v>
          </cell>
          <cell r="B641" t="str">
            <v>BALANCES WITH NIGERIAN BANKS</v>
          </cell>
          <cell r="C641">
            <v>673573</v>
          </cell>
          <cell r="D641">
            <v>9.9003526892153977E-3</v>
          </cell>
          <cell r="E641">
            <v>841089</v>
          </cell>
          <cell r="F641">
            <v>1.8806753463581401E-2</v>
          </cell>
          <cell r="G641">
            <v>174744</v>
          </cell>
          <cell r="H641">
            <v>5.2186373540101397E-3</v>
          </cell>
        </row>
        <row r="642">
          <cell r="A642">
            <v>8</v>
          </cell>
          <cell r="B642" t="str">
            <v>FOREIGN CURRENCY ASSETS</v>
          </cell>
          <cell r="C642">
            <v>6958210</v>
          </cell>
          <cell r="D642">
            <v>0.10227359630749076</v>
          </cell>
          <cell r="E642">
            <v>9399726</v>
          </cell>
          <cell r="F642">
            <v>0.21017791162078703</v>
          </cell>
          <cell r="G642">
            <v>4130041</v>
          </cell>
          <cell r="H642">
            <v>0.12334149519407472</v>
          </cell>
        </row>
        <row r="643">
          <cell r="A643">
            <v>8</v>
          </cell>
          <cell r="B643" t="str">
            <v>FOREIGN CURRENCY ASSETS</v>
          </cell>
          <cell r="C643">
            <v>6958210</v>
          </cell>
          <cell r="D643">
            <v>0.10227359630749076</v>
          </cell>
          <cell r="E643">
            <v>9399726</v>
          </cell>
          <cell r="F643">
            <v>0.21017791162078703</v>
          </cell>
          <cell r="G643">
            <v>4130041</v>
          </cell>
          <cell r="H643">
            <v>0.12334149519407472</v>
          </cell>
        </row>
        <row r="644">
          <cell r="A644">
            <v>9</v>
          </cell>
          <cell r="B644" t="str">
            <v>Direct loans and advances - Gross</v>
          </cell>
          <cell r="C644">
            <v>18216974</v>
          </cell>
          <cell r="D644">
            <v>0.2677578637063347</v>
          </cell>
          <cell r="E644">
            <v>12667133</v>
          </cell>
          <cell r="F644">
            <v>0.28323714544048995</v>
          </cell>
          <cell r="G644">
            <v>8501364</v>
          </cell>
          <cell r="H644">
            <v>0.25388875000250116</v>
          </cell>
        </row>
        <row r="645">
          <cell r="A645">
            <v>10</v>
          </cell>
          <cell r="B645" t="str">
            <v>Less: Cumulative loan loss provision</v>
          </cell>
          <cell r="C645">
            <v>-688230</v>
          </cell>
          <cell r="D645">
            <v>-1.0115785120987203E-2</v>
          </cell>
          <cell r="E645">
            <v>-622742</v>
          </cell>
          <cell r="F645">
            <v>-1.3924513654818466E-2</v>
          </cell>
          <cell r="G645">
            <v>-439423</v>
          </cell>
          <cell r="H645">
            <v>-1.3123136027624398E-2</v>
          </cell>
        </row>
        <row r="646">
          <cell r="A646">
            <v>11</v>
          </cell>
          <cell r="B646" t="str">
            <v>Direct loans &amp; advances - net</v>
          </cell>
          <cell r="C646">
            <v>17528744</v>
          </cell>
          <cell r="D646">
            <v>0.25764207858534749</v>
          </cell>
          <cell r="E646">
            <v>12044391</v>
          </cell>
          <cell r="F646">
            <v>0.2693126317856715</v>
          </cell>
          <cell r="G646">
            <v>8061941</v>
          </cell>
          <cell r="H646">
            <v>0.24076561397487675</v>
          </cell>
        </row>
        <row r="647">
          <cell r="A647">
            <v>12</v>
          </cell>
          <cell r="B647" t="str">
            <v>Advances under finance leases - net</v>
          </cell>
          <cell r="C647">
            <v>1577438</v>
          </cell>
          <cell r="D647">
            <v>2.3185597619516458E-2</v>
          </cell>
          <cell r="E647">
            <v>110729</v>
          </cell>
          <cell r="F647">
            <v>2.4759008907129982E-3</v>
          </cell>
          <cell r="G647">
            <v>279510</v>
          </cell>
          <cell r="H647">
            <v>8.3474186628403509E-3</v>
          </cell>
        </row>
        <row r="648">
          <cell r="A648">
            <v>13</v>
          </cell>
          <cell r="B648" t="str">
            <v>TOTAL LOANS &amp; LEASES - NET</v>
          </cell>
          <cell r="C648">
            <v>19106182</v>
          </cell>
          <cell r="D648">
            <v>0.28082767620486393</v>
          </cell>
          <cell r="E648">
            <v>12155120</v>
          </cell>
          <cell r="F648">
            <v>0.27178853267638448</v>
          </cell>
          <cell r="G648">
            <v>8341451</v>
          </cell>
          <cell r="H648">
            <v>0.24911303263771711</v>
          </cell>
        </row>
        <row r="649">
          <cell r="A649">
            <v>13</v>
          </cell>
          <cell r="B649" t="str">
            <v>TOTAL LOANS &amp; LEASES - NET</v>
          </cell>
          <cell r="C649">
            <v>19106182</v>
          </cell>
          <cell r="D649">
            <v>0.28082767620486393</v>
          </cell>
          <cell r="E649">
            <v>12155120</v>
          </cell>
          <cell r="F649">
            <v>0.27178853267638448</v>
          </cell>
          <cell r="G649">
            <v>8341451</v>
          </cell>
          <cell r="H649">
            <v>0.24911303263771711</v>
          </cell>
        </row>
        <row r="650">
          <cell r="A650">
            <v>14</v>
          </cell>
          <cell r="B650" t="str">
            <v>INTEREST RECEIVABLE</v>
          </cell>
          <cell r="C650">
            <v>0</v>
          </cell>
          <cell r="D650">
            <v>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</row>
        <row r="651">
          <cell r="A651">
            <v>15</v>
          </cell>
          <cell r="B651" t="str">
            <v>OTHER ASSETS</v>
          </cell>
          <cell r="C651">
            <v>1675363</v>
          </cell>
          <cell r="D651">
            <v>2.4624924963533242E-2</v>
          </cell>
          <cell r="E651">
            <v>717769</v>
          </cell>
          <cell r="F651">
            <v>1.6049317761617804E-2</v>
          </cell>
          <cell r="G651">
            <v>567258</v>
          </cell>
          <cell r="H651">
            <v>1.694086084879071E-2</v>
          </cell>
        </row>
        <row r="652">
          <cell r="A652">
            <v>16</v>
          </cell>
          <cell r="B652" t="str">
            <v>DEFERRED LOSSES</v>
          </cell>
          <cell r="C652">
            <v>0</v>
          </cell>
          <cell r="D652">
            <v>0</v>
          </cell>
          <cell r="E652">
            <v>0</v>
          </cell>
          <cell r="F652">
            <v>0</v>
          </cell>
          <cell r="G652">
            <v>0</v>
          </cell>
          <cell r="H652">
            <v>0</v>
          </cell>
        </row>
        <row r="653">
          <cell r="A653">
            <v>17</v>
          </cell>
          <cell r="B653" t="str">
            <v>RESTRICTED FUNDS</v>
          </cell>
          <cell r="C653">
            <v>2506596</v>
          </cell>
          <cell r="D653">
            <v>3.6842605700312454E-2</v>
          </cell>
          <cell r="E653">
            <v>1381992</v>
          </cell>
          <cell r="F653">
            <v>3.0901346745281163E-2</v>
          </cell>
          <cell r="G653">
            <v>884381</v>
          </cell>
          <cell r="H653">
            <v>2.6411571909632614E-2</v>
          </cell>
        </row>
        <row r="654">
          <cell r="A654">
            <v>18</v>
          </cell>
          <cell r="B654" t="str">
            <v>UNCONSOLIDATED SUBSIDIARIES &amp; ASSOCIATES</v>
          </cell>
          <cell r="C654">
            <v>512034</v>
          </cell>
          <cell r="D654">
            <v>7.5260100818615311E-3</v>
          </cell>
          <cell r="E654">
            <v>480619</v>
          </cell>
          <cell r="F654">
            <v>1.0746642796318855E-2</v>
          </cell>
          <cell r="G654">
            <v>359234</v>
          </cell>
          <cell r="H654">
            <v>1.0728333855414085E-2</v>
          </cell>
        </row>
        <row r="655">
          <cell r="A655">
            <v>19</v>
          </cell>
          <cell r="B655" t="str">
            <v>OTHER LONG-TERM INVESTMENTS</v>
          </cell>
          <cell r="C655">
            <v>0</v>
          </cell>
          <cell r="D655">
            <v>0</v>
          </cell>
          <cell r="E655">
            <v>0</v>
          </cell>
          <cell r="F655">
            <v>0</v>
          </cell>
          <cell r="G655">
            <v>0</v>
          </cell>
          <cell r="H655">
            <v>0</v>
          </cell>
        </row>
        <row r="656">
          <cell r="A656">
            <v>20</v>
          </cell>
          <cell r="B656" t="str">
            <v>FIXED ASSETS &amp; INTANGIBLES</v>
          </cell>
          <cell r="C656">
            <v>2047825</v>
          </cell>
          <cell r="D656">
            <v>3.0099469167844499E-2</v>
          </cell>
          <cell r="E656">
            <v>1340601</v>
          </cell>
          <cell r="F656">
            <v>2.9975843816802607E-2</v>
          </cell>
          <cell r="G656">
            <v>936235</v>
          </cell>
          <cell r="H656">
            <v>2.796016425818159E-2</v>
          </cell>
        </row>
        <row r="657">
          <cell r="A657">
            <v>20</v>
          </cell>
          <cell r="B657" t="str">
            <v>FIXED ASSETS &amp; INTANGIBLES</v>
          </cell>
          <cell r="C657">
            <v>2047825</v>
          </cell>
          <cell r="D657">
            <v>3.0099469167844499E-2</v>
          </cell>
          <cell r="E657">
            <v>1340601</v>
          </cell>
          <cell r="F657">
            <v>2.9975843816802607E-2</v>
          </cell>
          <cell r="G657">
            <v>936235</v>
          </cell>
          <cell r="H657">
            <v>2.796016425818159E-2</v>
          </cell>
        </row>
        <row r="658">
          <cell r="A658">
            <v>21</v>
          </cell>
          <cell r="B658" t="str">
            <v>TOTAL ASSETS</v>
          </cell>
          <cell r="C658">
            <v>49874939</v>
          </cell>
          <cell r="D658">
            <v>0.73307493984037952</v>
          </cell>
          <cell r="E658">
            <v>36602826</v>
          </cell>
          <cell r="F658">
            <v>0.8184393383486972</v>
          </cell>
          <cell r="G658">
            <v>23735761</v>
          </cell>
          <cell r="H658">
            <v>0.70885597777581533</v>
          </cell>
        </row>
        <row r="659">
          <cell r="A659">
            <v>21</v>
          </cell>
          <cell r="B659" t="str">
            <v>TOTAL ASSETS</v>
          </cell>
          <cell r="C659">
            <v>49874939</v>
          </cell>
          <cell r="D659">
            <v>0.73307493984037952</v>
          </cell>
          <cell r="E659">
            <v>36602826</v>
          </cell>
          <cell r="F659">
            <v>0.8184393383486972</v>
          </cell>
          <cell r="G659">
            <v>23735761</v>
          </cell>
          <cell r="H659">
            <v>0.70885597777581533</v>
          </cell>
        </row>
        <row r="660">
          <cell r="A660">
            <v>22</v>
          </cell>
          <cell r="B660" t="str">
            <v>TOTAL CONTINGENT ASSETS</v>
          </cell>
          <cell r="C660">
            <v>18160314</v>
          </cell>
          <cell r="D660">
            <v>0.26692506015962048</v>
          </cell>
          <cell r="E660">
            <v>8119885</v>
          </cell>
          <cell r="F660">
            <v>0.18156066165130286</v>
          </cell>
          <cell r="G660">
            <v>9748842</v>
          </cell>
          <cell r="H660">
            <v>0.29114402222418467</v>
          </cell>
        </row>
        <row r="661">
          <cell r="A661">
            <v>22</v>
          </cell>
          <cell r="B661" t="str">
            <v>TOTAL CONTINGENT ASSETS</v>
          </cell>
          <cell r="C661">
            <v>18160314</v>
          </cell>
          <cell r="D661">
            <v>0.26692506015962048</v>
          </cell>
          <cell r="E661">
            <v>8119885</v>
          </cell>
          <cell r="F661">
            <v>0.18156066165130286</v>
          </cell>
          <cell r="G661">
            <v>9748842</v>
          </cell>
          <cell r="H661">
            <v>0.29114402222418467</v>
          </cell>
        </row>
        <row r="662">
          <cell r="A662">
            <v>23</v>
          </cell>
          <cell r="B662" t="str">
            <v>TOTAL ASSETS &amp; CONTINGENTS</v>
          </cell>
          <cell r="C662">
            <v>68035253</v>
          </cell>
          <cell r="D662">
            <v>1</v>
          </cell>
          <cell r="E662">
            <v>44722711</v>
          </cell>
          <cell r="F662">
            <v>1</v>
          </cell>
          <cell r="G662">
            <v>33484603</v>
          </cell>
          <cell r="H662">
            <v>1</v>
          </cell>
        </row>
        <row r="664">
          <cell r="A664">
            <v>23</v>
          </cell>
          <cell r="B664" t="str">
            <v>TOTAL ASSETS &amp; CONTINGENTS</v>
          </cell>
          <cell r="C664">
            <v>68035253</v>
          </cell>
          <cell r="D664">
            <v>1</v>
          </cell>
          <cell r="E664">
            <v>44722711</v>
          </cell>
          <cell r="F664">
            <v>1</v>
          </cell>
          <cell r="G664">
            <v>33484603</v>
          </cell>
          <cell r="H664">
            <v>1</v>
          </cell>
        </row>
        <row r="665">
          <cell r="B665" t="str">
            <v>CAPITAL &amp; LIABILITIES</v>
          </cell>
        </row>
        <row r="666">
          <cell r="B666" t="str">
            <v>CAPITAL &amp; LIABILITIES</v>
          </cell>
        </row>
        <row r="667">
          <cell r="A667">
            <v>24</v>
          </cell>
          <cell r="B667" t="str">
            <v>TIER 1 CAPITAL (CORE CAPITAL)</v>
          </cell>
          <cell r="C667">
            <v>7949982</v>
          </cell>
          <cell r="D667">
            <v>0.11685092138923919</v>
          </cell>
          <cell r="E667">
            <v>3941048</v>
          </cell>
          <cell r="F667">
            <v>8.8121849321701445E-2</v>
          </cell>
          <cell r="G667">
            <v>3037354</v>
          </cell>
          <cell r="H667">
            <v>9.0708974509866522E-2</v>
          </cell>
        </row>
        <row r="668">
          <cell r="A668">
            <v>25</v>
          </cell>
          <cell r="B668" t="str">
            <v>TIER 2 CAPITAL</v>
          </cell>
          <cell r="C668">
            <v>1765071</v>
          </cell>
          <cell r="D668">
            <v>2.5943476685535365E-2</v>
          </cell>
          <cell r="E668">
            <v>0</v>
          </cell>
          <cell r="F668">
            <v>0</v>
          </cell>
          <cell r="G668">
            <v>0</v>
          </cell>
          <cell r="H668">
            <v>0</v>
          </cell>
        </row>
        <row r="669">
          <cell r="A669">
            <v>25</v>
          </cell>
          <cell r="B669" t="str">
            <v>TIER 2 CAPITAL</v>
          </cell>
          <cell r="C669">
            <v>1765071</v>
          </cell>
          <cell r="D669">
            <v>2.5943476685535365E-2</v>
          </cell>
          <cell r="E669">
            <v>0</v>
          </cell>
          <cell r="F669">
            <v>0</v>
          </cell>
          <cell r="G669">
            <v>0</v>
          </cell>
          <cell r="H669">
            <v>0</v>
          </cell>
        </row>
        <row r="670">
          <cell r="A670">
            <v>26</v>
          </cell>
          <cell r="B670" t="str">
            <v>CBN OPERATING ACCOUNT/NDIC SUPPORT</v>
          </cell>
          <cell r="C670">
            <v>0</v>
          </cell>
          <cell r="D670">
            <v>0</v>
          </cell>
          <cell r="E670">
            <v>0</v>
          </cell>
          <cell r="F670">
            <v>0</v>
          </cell>
          <cell r="G670">
            <v>0</v>
          </cell>
          <cell r="H670">
            <v>0</v>
          </cell>
        </row>
        <row r="671">
          <cell r="A671">
            <v>26</v>
          </cell>
          <cell r="B671" t="str">
            <v>CBN OPERATING ACCOUNT/NDIC SUPPORT</v>
          </cell>
          <cell r="C671">
            <v>0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</row>
        <row r="672">
          <cell r="A672">
            <v>27</v>
          </cell>
          <cell r="B672" t="str">
            <v>Demand deposits</v>
          </cell>
          <cell r="C672">
            <v>18707914</v>
          </cell>
          <cell r="D672">
            <v>0.27497382864145448</v>
          </cell>
          <cell r="E672">
            <v>14838314</v>
          </cell>
          <cell r="F672">
            <v>0.33178476143809799</v>
          </cell>
          <cell r="G672">
            <v>7992743</v>
          </cell>
          <cell r="H672">
            <v>0.23869905221811946</v>
          </cell>
        </row>
        <row r="673">
          <cell r="A673">
            <v>28</v>
          </cell>
          <cell r="B673" t="str">
            <v>Savings deposits</v>
          </cell>
          <cell r="C673">
            <v>822988</v>
          </cell>
          <cell r="D673">
            <v>1.2096493563417778E-2</v>
          </cell>
          <cell r="E673">
            <v>518446</v>
          </cell>
          <cell r="F673">
            <v>1.1592454670290448E-2</v>
          </cell>
          <cell r="G673">
            <v>255101</v>
          </cell>
          <cell r="H673">
            <v>7.6184567575730252E-3</v>
          </cell>
        </row>
        <row r="674">
          <cell r="A674">
            <v>29</v>
          </cell>
          <cell r="B674" t="str">
            <v>Time deposits</v>
          </cell>
          <cell r="C674">
            <v>10341692</v>
          </cell>
          <cell r="D674">
            <v>0.15200490251722881</v>
          </cell>
          <cell r="E674">
            <v>6157950</v>
          </cell>
          <cell r="F674">
            <v>0.13769178706541291</v>
          </cell>
          <cell r="G674">
            <v>5148883</v>
          </cell>
          <cell r="H674">
            <v>0.15376867391857685</v>
          </cell>
        </row>
        <row r="675">
          <cell r="A675">
            <v>30</v>
          </cell>
          <cell r="B675" t="str">
            <v>Inter-bank takings</v>
          </cell>
          <cell r="C675">
            <v>1500000</v>
          </cell>
          <cell r="D675">
            <v>2.2047393576973984E-2</v>
          </cell>
          <cell r="E675">
            <v>2625000</v>
          </cell>
          <cell r="F675">
            <v>5.8695010684839746E-2</v>
          </cell>
          <cell r="G675">
            <v>2065000</v>
          </cell>
          <cell r="H675">
            <v>6.1670135375354457E-2</v>
          </cell>
        </row>
        <row r="676">
          <cell r="A676">
            <v>31</v>
          </cell>
          <cell r="B676" t="str">
            <v>TOTAL DEPOSIT LIABILITIES - LCY</v>
          </cell>
          <cell r="C676">
            <v>31372594</v>
          </cell>
          <cell r="D676">
            <v>0.46112261829907503</v>
          </cell>
          <cell r="E676">
            <v>24139710</v>
          </cell>
          <cell r="F676">
            <v>0.53976401385864103</v>
          </cell>
          <cell r="G676">
            <v>15461727</v>
          </cell>
          <cell r="H676">
            <v>0.46175631826962382</v>
          </cell>
        </row>
        <row r="677">
          <cell r="A677">
            <v>32</v>
          </cell>
          <cell r="B677" t="str">
            <v>Customers' foreign currency balances</v>
          </cell>
          <cell r="C677">
            <v>3229081</v>
          </cell>
          <cell r="D677">
            <v>4.7461879799285824E-2</v>
          </cell>
          <cell r="E677">
            <v>4615407</v>
          </cell>
          <cell r="F677">
            <v>0.10320051930662254</v>
          </cell>
          <cell r="G677">
            <v>1961430</v>
          </cell>
          <cell r="H677">
            <v>5.8577071975438981E-2</v>
          </cell>
        </row>
        <row r="678">
          <cell r="A678">
            <v>33</v>
          </cell>
          <cell r="B678" t="str">
            <v>TOTAL DEPOSIT LIABILITIES</v>
          </cell>
          <cell r="C678">
            <v>34601675</v>
          </cell>
          <cell r="D678">
            <v>0.50858449809836082</v>
          </cell>
          <cell r="E678">
            <v>28755117</v>
          </cell>
          <cell r="F678">
            <v>0.64296453316526359</v>
          </cell>
          <cell r="G678">
            <v>17423157</v>
          </cell>
          <cell r="H678">
            <v>0.52033339024506275</v>
          </cell>
        </row>
        <row r="679">
          <cell r="A679">
            <v>33</v>
          </cell>
          <cell r="B679" t="str">
            <v>TOTAL DEPOSIT LIABILITIES</v>
          </cell>
          <cell r="C679">
            <v>34601675</v>
          </cell>
          <cell r="D679">
            <v>0.50858449809836082</v>
          </cell>
          <cell r="E679">
            <v>28755117</v>
          </cell>
          <cell r="F679">
            <v>0.64296453316526359</v>
          </cell>
          <cell r="G679">
            <v>17423157</v>
          </cell>
          <cell r="H679">
            <v>0.52033339024506275</v>
          </cell>
        </row>
        <row r="680">
          <cell r="A680">
            <v>34</v>
          </cell>
          <cell r="B680" t="str">
            <v>INTEREST PAYABLE</v>
          </cell>
          <cell r="C680">
            <v>281896</v>
          </cell>
          <cell r="D680">
            <v>4.1433813731831057E-3</v>
          </cell>
          <cell r="E680">
            <v>65353</v>
          </cell>
          <cell r="F680">
            <v>1.4612933460138406E-3</v>
          </cell>
          <cell r="G680">
            <v>56102</v>
          </cell>
          <cell r="H680">
            <v>1.6754566270354169E-3</v>
          </cell>
        </row>
        <row r="681">
          <cell r="A681">
            <v>35</v>
          </cell>
          <cell r="B681" t="str">
            <v>OTHER LIABILITIES</v>
          </cell>
          <cell r="C681">
            <v>5276315</v>
          </cell>
          <cell r="D681">
            <v>7.7552662294060992E-2</v>
          </cell>
          <cell r="E681">
            <v>3841308</v>
          </cell>
          <cell r="F681">
            <v>8.589166251571824E-2</v>
          </cell>
          <cell r="G681">
            <v>3219148</v>
          </cell>
          <cell r="H681">
            <v>9.6138156393850635E-2</v>
          </cell>
        </row>
        <row r="682">
          <cell r="A682">
            <v>35</v>
          </cell>
          <cell r="B682" t="str">
            <v>OTHER LIABILITIES</v>
          </cell>
          <cell r="C682">
            <v>5276315</v>
          </cell>
          <cell r="D682">
            <v>7.7552662294060992E-2</v>
          </cell>
          <cell r="E682">
            <v>3841308</v>
          </cell>
          <cell r="F682">
            <v>8.589166251571824E-2</v>
          </cell>
          <cell r="G682">
            <v>3219148</v>
          </cell>
          <cell r="H682">
            <v>9.6138156393850635E-2</v>
          </cell>
        </row>
        <row r="683">
          <cell r="A683">
            <v>36</v>
          </cell>
          <cell r="B683" t="str">
            <v>TOTAL CAPITAL &amp; LIABILITIES</v>
          </cell>
          <cell r="C683">
            <v>49874939</v>
          </cell>
          <cell r="D683">
            <v>0.73307493984037952</v>
          </cell>
          <cell r="E683">
            <v>36602826</v>
          </cell>
          <cell r="F683">
            <v>0.8184393383486972</v>
          </cell>
          <cell r="G683">
            <v>23735761</v>
          </cell>
          <cell r="H683">
            <v>0.70885597777581533</v>
          </cell>
        </row>
        <row r="684">
          <cell r="A684">
            <v>36</v>
          </cell>
          <cell r="B684" t="str">
            <v>TOTAL CAPITAL &amp; LIABILITIES</v>
          </cell>
          <cell r="C684">
            <v>49874939</v>
          </cell>
          <cell r="D684">
            <v>0.73307493984037952</v>
          </cell>
          <cell r="E684">
            <v>36602826</v>
          </cell>
          <cell r="F684">
            <v>0.8184393383486972</v>
          </cell>
          <cell r="G684">
            <v>23735761</v>
          </cell>
          <cell r="H684">
            <v>0.70885597777581533</v>
          </cell>
        </row>
        <row r="685">
          <cell r="A685">
            <v>37</v>
          </cell>
          <cell r="B685" t="str">
            <v>TOTAL CONTINGENT LIABILITIES</v>
          </cell>
          <cell r="C685">
            <v>18160314</v>
          </cell>
          <cell r="D685">
            <v>0.26692506015962048</v>
          </cell>
          <cell r="E685">
            <v>8119885</v>
          </cell>
          <cell r="F685">
            <v>0.18156066165130286</v>
          </cell>
          <cell r="G685">
            <v>9748842</v>
          </cell>
          <cell r="H685">
            <v>0.29114402222418467</v>
          </cell>
        </row>
        <row r="686">
          <cell r="A686">
            <v>37</v>
          </cell>
          <cell r="B686" t="str">
            <v>TOTAL CONTINGENT LIABILITIES</v>
          </cell>
          <cell r="C686">
            <v>18160314</v>
          </cell>
          <cell r="D686">
            <v>0.26692506015962048</v>
          </cell>
          <cell r="E686">
            <v>8119885</v>
          </cell>
          <cell r="F686">
            <v>0.18156066165130286</v>
          </cell>
          <cell r="G686">
            <v>9748842</v>
          </cell>
          <cell r="H686">
            <v>0.29114402222418467</v>
          </cell>
        </row>
        <row r="687">
          <cell r="A687">
            <v>38</v>
          </cell>
          <cell r="B687" t="str">
            <v>TOTAL CAPITAL, LIABILITIES &amp; CONTINGENTS</v>
          </cell>
          <cell r="C687">
            <v>68035253</v>
          </cell>
          <cell r="D687">
            <v>1</v>
          </cell>
          <cell r="E687">
            <v>44722711</v>
          </cell>
          <cell r="F687">
            <v>1</v>
          </cell>
          <cell r="G687">
            <v>33484603</v>
          </cell>
          <cell r="H687">
            <v>1</v>
          </cell>
        </row>
        <row r="688">
          <cell r="B688" t="str">
            <v>Proof</v>
          </cell>
          <cell r="C688">
            <v>0</v>
          </cell>
          <cell r="D688">
            <v>0</v>
          </cell>
          <cell r="E688">
            <v>0</v>
          </cell>
          <cell r="F688">
            <v>0</v>
          </cell>
          <cell r="G688">
            <v>0</v>
          </cell>
        </row>
        <row r="689">
          <cell r="G689">
            <v>0</v>
          </cell>
        </row>
        <row r="690">
          <cell r="B690" t="str">
            <v>BREAKDOWN OF CONTINGENTS</v>
          </cell>
        </row>
        <row r="691">
          <cell r="A691">
            <v>39</v>
          </cell>
          <cell r="B691" t="str">
            <v>Acceptances &amp; direct credit substitutes</v>
          </cell>
          <cell r="C691">
            <v>8729602</v>
          </cell>
          <cell r="D691">
            <v>0.12830998070955948</v>
          </cell>
          <cell r="E691">
            <v>5073831</v>
          </cell>
          <cell r="F691">
            <v>0.11345088181259852</v>
          </cell>
          <cell r="G691">
            <v>2941306</v>
          </cell>
          <cell r="H691">
            <v>8.7840551670867947E-2</v>
          </cell>
        </row>
        <row r="692">
          <cell r="A692">
            <v>40</v>
          </cell>
          <cell r="B692" t="str">
            <v>Guarantees, bonds etc..</v>
          </cell>
          <cell r="C692">
            <v>4492712</v>
          </cell>
          <cell r="D692">
            <v>6.6035059794662634E-2</v>
          </cell>
          <cell r="E692">
            <v>1702054</v>
          </cell>
          <cell r="F692">
            <v>3.8057934368066371E-2</v>
          </cell>
          <cell r="G692">
            <v>998036</v>
          </cell>
          <cell r="H692">
            <v>2.9805818513064051E-2</v>
          </cell>
        </row>
        <row r="693">
          <cell r="A693">
            <v>41</v>
          </cell>
          <cell r="B693" t="str">
            <v>Short-term self liquidating contingencies</v>
          </cell>
          <cell r="C693">
            <v>4938000</v>
          </cell>
          <cell r="D693">
            <v>7.2580019655398356E-2</v>
          </cell>
          <cell r="E693">
            <v>1344000</v>
          </cell>
          <cell r="F693">
            <v>3.0051845470637949E-2</v>
          </cell>
          <cell r="G693">
            <v>5809500</v>
          </cell>
          <cell r="H693">
            <v>0.17349765204025264</v>
          </cell>
        </row>
        <row r="694">
          <cell r="A694">
            <v>41</v>
          </cell>
          <cell r="B694" t="str">
            <v>Short-term self liquidating contingencies</v>
          </cell>
          <cell r="C694">
            <v>4938000</v>
          </cell>
          <cell r="D694">
            <v>7.2580019655398356E-2</v>
          </cell>
          <cell r="E694">
            <v>1344000</v>
          </cell>
          <cell r="F694">
            <v>3.0051845470637949E-2</v>
          </cell>
          <cell r="G694">
            <v>5809500</v>
          </cell>
          <cell r="H694">
            <v>0.17349765204025264</v>
          </cell>
        </row>
        <row r="695">
          <cell r="B695" t="str">
            <v>GUARANTY TRUST BANK PLC</v>
          </cell>
        </row>
        <row r="696">
          <cell r="B696" t="str">
            <v>GUARANTY TRUST BANK PLC</v>
          </cell>
        </row>
        <row r="697">
          <cell r="B697" t="str">
            <v>INCOME STATEMENT FOR THE YEAR ENDED</v>
          </cell>
          <cell r="C697" t="str">
            <v>28-Feb-2002</v>
          </cell>
          <cell r="D697">
            <v>0</v>
          </cell>
          <cell r="E697" t="str">
            <v>28-Feb-2001</v>
          </cell>
          <cell r="F697">
            <v>0</v>
          </cell>
          <cell r="G697" t="str">
            <v>29-Feb-2000</v>
          </cell>
        </row>
        <row r="698">
          <cell r="C698" t="str">
            <v>N'000</v>
          </cell>
          <cell r="D698">
            <v>0</v>
          </cell>
          <cell r="E698" t="str">
            <v>N'000</v>
          </cell>
          <cell r="F698">
            <v>0</v>
          </cell>
          <cell r="G698" t="str">
            <v>N'000</v>
          </cell>
        </row>
        <row r="699">
          <cell r="G699" t="str">
            <v>N'000</v>
          </cell>
        </row>
        <row r="700">
          <cell r="A700">
            <v>42</v>
          </cell>
          <cell r="B700" t="str">
            <v>Interest income</v>
          </cell>
          <cell r="C700">
            <v>8968787</v>
          </cell>
          <cell r="D700">
            <v>0.82296862817533822</v>
          </cell>
          <cell r="E700">
            <v>5490394</v>
          </cell>
          <cell r="F700">
            <v>0.80262734143144232</v>
          </cell>
          <cell r="G700">
            <v>4049445</v>
          </cell>
          <cell r="H700">
            <v>0.76226281906482951</v>
          </cell>
        </row>
        <row r="701">
          <cell r="A701">
            <v>43</v>
          </cell>
          <cell r="B701" t="str">
            <v>Interest expense</v>
          </cell>
          <cell r="C701">
            <v>-4470962</v>
          </cell>
          <cell r="D701">
            <v>-0.41025185053051955</v>
          </cell>
          <cell r="E701">
            <v>-2586963</v>
          </cell>
          <cell r="F701">
            <v>-0.37818182721886778</v>
          </cell>
          <cell r="G701">
            <v>-2142007</v>
          </cell>
          <cell r="H701">
            <v>-0.4032089074617875</v>
          </cell>
        </row>
        <row r="702">
          <cell r="A702">
            <v>44</v>
          </cell>
          <cell r="B702" t="str">
            <v>Loan loss expense</v>
          </cell>
          <cell r="C702">
            <v>-296154</v>
          </cell>
          <cell r="D702">
            <v>-2.7174851081716973E-2</v>
          </cell>
          <cell r="E702">
            <v>-295719</v>
          </cell>
          <cell r="F702">
            <v>-4.3230441163378201E-2</v>
          </cell>
          <cell r="G702">
            <v>-452962</v>
          </cell>
          <cell r="H702">
            <v>-8.5265040283111215E-2</v>
          </cell>
        </row>
        <row r="703">
          <cell r="A703">
            <v>45</v>
          </cell>
          <cell r="B703" t="str">
            <v>NET REVENUE FROM FUNDS</v>
          </cell>
          <cell r="C703">
            <v>4201671</v>
          </cell>
          <cell r="D703">
            <v>0.38554192656310171</v>
          </cell>
          <cell r="E703">
            <v>2607712</v>
          </cell>
          <cell r="F703">
            <v>0.38121507304919633</v>
          </cell>
          <cell r="G703">
            <v>1454476</v>
          </cell>
          <cell r="H703">
            <v>0.27378887131993079</v>
          </cell>
        </row>
        <row r="704">
          <cell r="A704">
            <v>46</v>
          </cell>
          <cell r="B704" t="str">
            <v>ALL OTHER INCOME</v>
          </cell>
          <cell r="C704">
            <v>1929304</v>
          </cell>
          <cell r="D704">
            <v>0.17703137182466178</v>
          </cell>
          <cell r="E704">
            <v>1350133</v>
          </cell>
          <cell r="F704">
            <v>0.19737265856855765</v>
          </cell>
          <cell r="G704">
            <v>1262955</v>
          </cell>
          <cell r="H704">
            <v>0.23773718093517054</v>
          </cell>
        </row>
        <row r="705">
          <cell r="A705">
            <v>46</v>
          </cell>
          <cell r="B705" t="str">
            <v>ALL OTHER INCOME</v>
          </cell>
          <cell r="C705">
            <v>1929304</v>
          </cell>
          <cell r="D705">
            <v>0.17703137182466178</v>
          </cell>
          <cell r="E705">
            <v>1350133</v>
          </cell>
          <cell r="F705">
            <v>0.19737265856855765</v>
          </cell>
          <cell r="G705">
            <v>1262955</v>
          </cell>
          <cell r="H705">
            <v>0.23773718093517054</v>
          </cell>
        </row>
        <row r="706">
          <cell r="A706">
            <v>47</v>
          </cell>
          <cell r="B706" t="str">
            <v>NET EARNINGS</v>
          </cell>
          <cell r="C706">
            <v>6130975</v>
          </cell>
          <cell r="D706">
            <v>0.56257329838776349</v>
          </cell>
          <cell r="E706">
            <v>3957845</v>
          </cell>
          <cell r="F706">
            <v>0.57858773161775401</v>
          </cell>
          <cell r="G706">
            <v>2717431</v>
          </cell>
          <cell r="H706">
            <v>0.51152605225510128</v>
          </cell>
        </row>
        <row r="707">
          <cell r="A707">
            <v>47</v>
          </cell>
          <cell r="B707" t="str">
            <v>NET EARNINGS</v>
          </cell>
          <cell r="C707">
            <v>6130975</v>
          </cell>
          <cell r="D707">
            <v>0.56257329838776349</v>
          </cell>
          <cell r="E707">
            <v>3957845</v>
          </cell>
          <cell r="F707">
            <v>0.57858773161775401</v>
          </cell>
          <cell r="G707">
            <v>2717431</v>
          </cell>
          <cell r="H707">
            <v>0.51152605225510128</v>
          </cell>
        </row>
        <row r="708">
          <cell r="A708">
            <v>48</v>
          </cell>
          <cell r="B708" t="str">
            <v>Staff costs</v>
          </cell>
          <cell r="C708">
            <v>-815591</v>
          </cell>
          <cell r="D708">
            <v>-7.4837969328756748E-2</v>
          </cell>
          <cell r="E708">
            <v>-587608</v>
          </cell>
          <cell r="F708">
            <v>-8.590098394465806E-2</v>
          </cell>
          <cell r="G708">
            <v>-449093</v>
          </cell>
          <cell r="H708">
            <v>-8.4536744221067689E-2</v>
          </cell>
        </row>
        <row r="709">
          <cell r="A709">
            <v>49</v>
          </cell>
          <cell r="B709" t="str">
            <v>Depreciation expense</v>
          </cell>
          <cell r="C709">
            <v>-384260</v>
          </cell>
          <cell r="D709">
            <v>-3.5259386253977877E-2</v>
          </cell>
          <cell r="E709">
            <v>-264323</v>
          </cell>
          <cell r="F709">
            <v>-3.8640736305843103E-2</v>
          </cell>
          <cell r="G709">
            <v>-213377</v>
          </cell>
          <cell r="H709">
            <v>-4.0165838415781946E-2</v>
          </cell>
        </row>
        <row r="710">
          <cell r="A710">
            <v>50</v>
          </cell>
          <cell r="B710" t="str">
            <v>Other operating expenses</v>
          </cell>
          <cell r="C710">
            <v>-1831954</v>
          </cell>
          <cell r="D710">
            <v>-0.16809861470233639</v>
          </cell>
          <cell r="E710">
            <v>-1055591</v>
          </cell>
          <cell r="F710">
            <v>-0.15431428017168852</v>
          </cell>
          <cell r="G710">
            <v>-743798</v>
          </cell>
          <cell r="H710">
            <v>-0.1400116708079211</v>
          </cell>
        </row>
        <row r="711">
          <cell r="A711">
            <v>51</v>
          </cell>
          <cell r="B711" t="str">
            <v>TOTAL OPERATING EXPENSES</v>
          </cell>
          <cell r="C711">
            <v>-3031805</v>
          </cell>
          <cell r="D711">
            <v>-0.27819597028507104</v>
          </cell>
          <cell r="E711">
            <v>-1907522</v>
          </cell>
          <cell r="F711">
            <v>-0.27885600042218972</v>
          </cell>
          <cell r="G711">
            <v>-1406268</v>
          </cell>
          <cell r="H711">
            <v>-0.26471425344477073</v>
          </cell>
        </row>
        <row r="712">
          <cell r="A712">
            <v>51</v>
          </cell>
          <cell r="B712" t="str">
            <v>TOTAL OPERATING EXPENSES</v>
          </cell>
          <cell r="C712">
            <v>-3031805</v>
          </cell>
          <cell r="D712">
            <v>-0.27819597028507104</v>
          </cell>
          <cell r="E712">
            <v>-1907522</v>
          </cell>
          <cell r="F712">
            <v>-0.27885600042218972</v>
          </cell>
          <cell r="G712">
            <v>-1406268</v>
          </cell>
          <cell r="H712">
            <v>-0.26471425344477073</v>
          </cell>
        </row>
        <row r="713">
          <cell r="A713">
            <v>52</v>
          </cell>
          <cell r="B713" t="str">
            <v>PROFIT (LOSS) BEFORE TAXATION</v>
          </cell>
          <cell r="C713">
            <v>3099170</v>
          </cell>
          <cell r="D713">
            <v>0.28437732810269251</v>
          </cell>
          <cell r="E713">
            <v>2050323</v>
          </cell>
          <cell r="F713">
            <v>0.29973173119556434</v>
          </cell>
          <cell r="G713">
            <v>1311163</v>
          </cell>
          <cell r="H713">
            <v>0.24681179881033055</v>
          </cell>
        </row>
        <row r="714">
          <cell r="A714">
            <v>53</v>
          </cell>
          <cell r="B714" t="str">
            <v>TAX (EXPENSE) BENEFIT</v>
          </cell>
          <cell r="C714">
            <v>-516294</v>
          </cell>
          <cell r="D714">
            <v>-4.7374719113650272E-2</v>
          </cell>
          <cell r="E714">
            <v>-546629</v>
          </cell>
          <cell r="F714">
            <v>-7.9910363631340103E-2</v>
          </cell>
          <cell r="G714">
            <v>-292834</v>
          </cell>
          <cell r="H714">
            <v>-5.5122731722008884E-2</v>
          </cell>
        </row>
        <row r="715">
          <cell r="A715">
            <v>53</v>
          </cell>
          <cell r="B715" t="str">
            <v>TAX (EXPENSE) BENEFIT</v>
          </cell>
          <cell r="C715">
            <v>-516294</v>
          </cell>
          <cell r="D715">
            <v>-4.7374719113650272E-2</v>
          </cell>
          <cell r="E715">
            <v>-546629</v>
          </cell>
          <cell r="F715">
            <v>-7.9910363631340103E-2</v>
          </cell>
          <cell r="G715">
            <v>-292834</v>
          </cell>
          <cell r="H715">
            <v>-5.5122731722008884E-2</v>
          </cell>
        </row>
        <row r="716">
          <cell r="A716">
            <v>54</v>
          </cell>
          <cell r="B716" t="str">
            <v>PROFIT (LOSS) AFTER TAXATION</v>
          </cell>
          <cell r="C716">
            <v>2582876</v>
          </cell>
          <cell r="D716">
            <v>0.23700260898904224</v>
          </cell>
          <cell r="E716">
            <v>1503694</v>
          </cell>
          <cell r="F716">
            <v>0.21982136756422424</v>
          </cell>
          <cell r="G716">
            <v>1018329</v>
          </cell>
          <cell r="H716">
            <v>0.19168906708832167</v>
          </cell>
        </row>
        <row r="717">
          <cell r="A717">
            <v>54</v>
          </cell>
          <cell r="B717" t="str">
            <v>PROFIT (LOSS) AFTER TAXATION</v>
          </cell>
          <cell r="C717">
            <v>2582876</v>
          </cell>
          <cell r="D717">
            <v>0.23700260898904224</v>
          </cell>
          <cell r="E717">
            <v>1503694</v>
          </cell>
          <cell r="F717">
            <v>0.21982136756422424</v>
          </cell>
          <cell r="G717">
            <v>1018329</v>
          </cell>
          <cell r="H717">
            <v>0.19168906708832167</v>
          </cell>
        </row>
        <row r="718">
          <cell r="A718">
            <v>55</v>
          </cell>
          <cell r="B718" t="str">
            <v>NON-RECURRING INCOME (EXPENSE) - NET</v>
          </cell>
          <cell r="C718">
            <v>940913</v>
          </cell>
          <cell r="D718">
            <v>8.6337414506815924E-2</v>
          </cell>
          <cell r="E718">
            <v>0</v>
          </cell>
          <cell r="F718">
            <v>0</v>
          </cell>
          <cell r="G718">
            <v>0</v>
          </cell>
          <cell r="H718">
            <v>0</v>
          </cell>
        </row>
        <row r="719">
          <cell r="A719">
            <v>56</v>
          </cell>
          <cell r="B719" t="str">
            <v>PROPOSED DIVIDEND</v>
          </cell>
          <cell r="C719">
            <v>-1495000</v>
          </cell>
          <cell r="D719">
            <v>-0.13717998867875117</v>
          </cell>
          <cell r="E719">
            <v>-600000</v>
          </cell>
          <cell r="F719">
            <v>-8.7712540276502091E-2</v>
          </cell>
          <cell r="G719">
            <v>-495000</v>
          </cell>
          <cell r="H719">
            <v>-9.3178224531285297E-2</v>
          </cell>
        </row>
        <row r="720">
          <cell r="A720">
            <v>56</v>
          </cell>
          <cell r="B720" t="str">
            <v>PROPOSED DIVIDEND</v>
          </cell>
          <cell r="C720">
            <v>-1495000</v>
          </cell>
          <cell r="D720">
            <v>-0.13717998867875117</v>
          </cell>
          <cell r="E720">
            <v>-600000</v>
          </cell>
          <cell r="F720">
            <v>-8.7712540276502091E-2</v>
          </cell>
          <cell r="G720">
            <v>-495000</v>
          </cell>
          <cell r="H720">
            <v>-9.3178224531285297E-2</v>
          </cell>
        </row>
        <row r="721">
          <cell r="A721">
            <v>57</v>
          </cell>
          <cell r="B721" t="str">
            <v>GROSS EARNINGS</v>
          </cell>
          <cell r="C721">
            <v>10898091</v>
          </cell>
          <cell r="D721">
            <v>1</v>
          </cell>
          <cell r="E721">
            <v>6840527</v>
          </cell>
          <cell r="F721">
            <v>1</v>
          </cell>
          <cell r="G721">
            <v>5312400</v>
          </cell>
          <cell r="H721">
            <v>1</v>
          </cell>
        </row>
        <row r="722">
          <cell r="A722">
            <v>57</v>
          </cell>
          <cell r="B722" t="str">
            <v>GROSS EARNINGS</v>
          </cell>
          <cell r="C722">
            <v>10898091</v>
          </cell>
          <cell r="D722">
            <v>1</v>
          </cell>
          <cell r="E722">
            <v>6840527</v>
          </cell>
          <cell r="F722">
            <v>1</v>
          </cell>
          <cell r="G722">
            <v>5312400</v>
          </cell>
          <cell r="H722">
            <v>1</v>
          </cell>
        </row>
        <row r="723">
          <cell r="A723">
            <v>58</v>
          </cell>
          <cell r="B723" t="str">
            <v>AUDITORS</v>
          </cell>
          <cell r="C723" t="str">
            <v>AA</v>
          </cell>
          <cell r="D723">
            <v>0</v>
          </cell>
          <cell r="E723" t="str">
            <v>AA</v>
          </cell>
          <cell r="F723">
            <v>0</v>
          </cell>
          <cell r="G723" t="str">
            <v>AA</v>
          </cell>
        </row>
        <row r="724">
          <cell r="A724">
            <v>59</v>
          </cell>
          <cell r="B724" t="str">
            <v>OPINION</v>
          </cell>
          <cell r="C724" t="str">
            <v>CLEAN</v>
          </cell>
          <cell r="D724">
            <v>0</v>
          </cell>
          <cell r="E724" t="str">
            <v>CLEAN</v>
          </cell>
          <cell r="F724">
            <v>0</v>
          </cell>
          <cell r="G724" t="str">
            <v>CLEAN</v>
          </cell>
        </row>
        <row r="726">
          <cell r="G726" t="str">
            <v>CLEAN</v>
          </cell>
        </row>
        <row r="727">
          <cell r="B727" t="str">
            <v>KEY RATIOS</v>
          </cell>
          <cell r="C727" t="str">
            <v>28-Feb-2002</v>
          </cell>
          <cell r="D727">
            <v>0</v>
          </cell>
          <cell r="E727" t="str">
            <v>28-Feb-2001</v>
          </cell>
          <cell r="F727">
            <v>0</v>
          </cell>
          <cell r="G727" t="str">
            <v>29-Feb-2000</v>
          </cell>
        </row>
        <row r="729">
          <cell r="G729" t="str">
            <v>29-Feb-2000</v>
          </cell>
        </row>
        <row r="730">
          <cell r="B730" t="str">
            <v>EARNINGS</v>
          </cell>
        </row>
        <row r="731">
          <cell r="A731">
            <v>60</v>
          </cell>
          <cell r="B731" t="str">
            <v>Net interest margin</v>
          </cell>
          <cell r="C731">
            <v>0.5014975826719934</v>
          </cell>
          <cell r="D731">
            <v>0</v>
          </cell>
          <cell r="E731">
            <v>0.52882015389059511</v>
          </cell>
          <cell r="F731">
            <v>0</v>
          </cell>
          <cell r="G731">
            <v>0.47103689517946284</v>
          </cell>
        </row>
        <row r="732">
          <cell r="A732">
            <v>61</v>
          </cell>
          <cell r="B732" t="str">
            <v>Loan loss expense/Interest income</v>
          </cell>
          <cell r="C732">
            <v>3.3020518828242883E-2</v>
          </cell>
          <cell r="D732">
            <v>0</v>
          </cell>
          <cell r="E732">
            <v>5.3861161876542919E-2</v>
          </cell>
          <cell r="F732">
            <v>0</v>
          </cell>
          <cell r="G732">
            <v>0.11185779779698206</v>
          </cell>
        </row>
        <row r="733">
          <cell r="A733">
            <v>62</v>
          </cell>
          <cell r="B733" t="str">
            <v>Return on average assets (Pre - tax)</v>
          </cell>
          <cell r="C733">
            <v>5.4970307906588307E-2</v>
          </cell>
          <cell r="D733">
            <v>0</v>
          </cell>
          <cell r="E733">
            <v>5.2433024358821481E-2</v>
          </cell>
          <cell r="F733">
            <v>0</v>
          </cell>
          <cell r="G733">
            <v>4.7976722582909553E-2</v>
          </cell>
        </row>
        <row r="734">
          <cell r="A734">
            <v>63</v>
          </cell>
          <cell r="B734" t="str">
            <v>Return on average equity (Pre - tax)</v>
          </cell>
          <cell r="C734">
            <v>0.52126182509000485</v>
          </cell>
          <cell r="D734">
            <v>0</v>
          </cell>
          <cell r="E734">
            <v>0.58761962982356131</v>
          </cell>
          <cell r="F734">
            <v>0</v>
          </cell>
          <cell r="G734">
            <v>0.47237380117624828</v>
          </cell>
        </row>
        <row r="735">
          <cell r="A735">
            <v>64</v>
          </cell>
          <cell r="B735" t="str">
            <v>Operating Expenses/Net earnings</v>
          </cell>
          <cell r="C735">
            <v>0.49450617560828414</v>
          </cell>
          <cell r="D735">
            <v>0</v>
          </cell>
          <cell r="E735">
            <v>0.48195975335062391</v>
          </cell>
          <cell r="F735">
            <v>0</v>
          </cell>
          <cell r="G735">
            <v>0.51749906437366766</v>
          </cell>
        </row>
        <row r="736">
          <cell r="A736">
            <v>65</v>
          </cell>
          <cell r="B736" t="str">
            <v>Gross earnings/Total assets &amp; contingents</v>
          </cell>
          <cell r="C736">
            <v>0.19330059914881045</v>
          </cell>
          <cell r="D736">
            <v>0</v>
          </cell>
          <cell r="E736">
            <v>0.17493317824468438</v>
          </cell>
          <cell r="F736">
            <v>0</v>
          </cell>
          <cell r="G736">
            <v>0.19438585519073426</v>
          </cell>
        </row>
        <row r="737">
          <cell r="G737">
            <v>0.19438585519073426</v>
          </cell>
        </row>
        <row r="738">
          <cell r="B738" t="str">
            <v>EARNINGS MIX</v>
          </cell>
        </row>
        <row r="739">
          <cell r="A739">
            <v>66</v>
          </cell>
          <cell r="B739" t="str">
            <v>Net revenue from funds</v>
          </cell>
          <cell r="C739">
            <v>0.68531856678587011</v>
          </cell>
          <cell r="D739">
            <v>0</v>
          </cell>
          <cell r="E739">
            <v>0.65887168395932638</v>
          </cell>
          <cell r="F739">
            <v>0</v>
          </cell>
          <cell r="G739">
            <v>0.53523934922358651</v>
          </cell>
        </row>
        <row r="740">
          <cell r="A740">
            <v>67</v>
          </cell>
          <cell r="B740" t="str">
            <v>All other income</v>
          </cell>
          <cell r="C740">
            <v>0.31468143321412989</v>
          </cell>
          <cell r="D740">
            <v>0</v>
          </cell>
          <cell r="E740">
            <v>0.34112831604067362</v>
          </cell>
          <cell r="F740">
            <v>0</v>
          </cell>
          <cell r="G740">
            <v>0.46476065077641343</v>
          </cell>
        </row>
        <row r="742">
          <cell r="G742">
            <v>0.46476065077641343</v>
          </cell>
        </row>
        <row r="743">
          <cell r="B743" t="str">
            <v>LIQUIDITY</v>
          </cell>
        </row>
        <row r="744">
          <cell r="A744">
            <v>68</v>
          </cell>
          <cell r="B744" t="str">
            <v>Total loans &amp; leases - net/Total lcy deposits</v>
          </cell>
          <cell r="C744">
            <v>0.38093719633129475</v>
          </cell>
          <cell r="D744">
            <v>0</v>
          </cell>
          <cell r="E744">
            <v>0.41571717307291595</v>
          </cell>
          <cell r="F744">
            <v>0</v>
          </cell>
          <cell r="G744">
            <v>0.42683239718305721</v>
          </cell>
        </row>
        <row r="745">
          <cell r="A745">
            <v>69</v>
          </cell>
          <cell r="B745" t="str">
            <v>Liquid assets/Total lcy deposits</v>
          </cell>
          <cell r="C745">
            <v>0.52117097698311698</v>
          </cell>
          <cell r="D745">
            <v>0</v>
          </cell>
          <cell r="E745">
            <v>0.39517144316609426</v>
          </cell>
          <cell r="F745">
            <v>0</v>
          </cell>
          <cell r="G745">
            <v>0.48162219025587372</v>
          </cell>
        </row>
        <row r="746">
          <cell r="A746">
            <v>70</v>
          </cell>
          <cell r="B746" t="str">
            <v>Demand deposits/Total lcy deposits</v>
          </cell>
          <cell r="C746">
            <v>0.59631390378494042</v>
          </cell>
          <cell r="D746">
            <v>0</v>
          </cell>
          <cell r="E746">
            <v>0.61468484915518873</v>
          </cell>
          <cell r="F746">
            <v>0</v>
          </cell>
          <cell r="G746">
            <v>0.51693727356588304</v>
          </cell>
        </row>
        <row r="747">
          <cell r="A747">
            <v>71</v>
          </cell>
          <cell r="B747" t="str">
            <v>Savings deposits/Total lcy deposits</v>
          </cell>
          <cell r="C747">
            <v>2.6232704888859367E-2</v>
          </cell>
          <cell r="D747">
            <v>0</v>
          </cell>
          <cell r="E747">
            <v>2.1476894295747548E-2</v>
          </cell>
          <cell r="F747">
            <v>0</v>
          </cell>
          <cell r="G747">
            <v>1.6498868464046738E-2</v>
          </cell>
        </row>
        <row r="748">
          <cell r="A748">
            <v>72</v>
          </cell>
          <cell r="B748" t="str">
            <v>Time deposits/Total lcy deposits</v>
          </cell>
          <cell r="C748">
            <v>0.32964095987727376</v>
          </cell>
          <cell r="D748">
            <v>0</v>
          </cell>
          <cell r="E748">
            <v>0.25509627083341102</v>
          </cell>
          <cell r="F748">
            <v>0</v>
          </cell>
          <cell r="G748">
            <v>0.33300827262051647</v>
          </cell>
        </row>
        <row r="749">
          <cell r="A749">
            <v>73</v>
          </cell>
          <cell r="B749" t="str">
            <v>Inter-bank borrowings/Total lcy deposits</v>
          </cell>
          <cell r="C749">
            <v>4.7812431448926412E-2</v>
          </cell>
          <cell r="D749">
            <v>0</v>
          </cell>
          <cell r="E749">
            <v>0.10874198571565276</v>
          </cell>
          <cell r="F749">
            <v>0</v>
          </cell>
          <cell r="G749">
            <v>0.13355558534955378</v>
          </cell>
        </row>
        <row r="750">
          <cell r="A750">
            <v>74</v>
          </cell>
          <cell r="B750" t="str">
            <v>Interest expense - banks/Interest expense</v>
          </cell>
          <cell r="C750">
            <v>9.8130558926691841E-2</v>
          </cell>
          <cell r="D750">
            <v>0</v>
          </cell>
          <cell r="E750">
            <v>5.6967958181079512E-2</v>
          </cell>
          <cell r="F750">
            <v>0</v>
          </cell>
          <cell r="G750">
            <v>0.16656808311083951</v>
          </cell>
        </row>
        <row r="751">
          <cell r="G751">
            <v>0.16656808311083951</v>
          </cell>
        </row>
        <row r="752">
          <cell r="A752">
            <v>75</v>
          </cell>
          <cell r="B752" t="str">
            <v>NET FOREIGN CURRENCY ASSETS (LIABILITIES)</v>
          </cell>
          <cell r="C752">
            <v>3729129</v>
          </cell>
          <cell r="D752">
            <v>0</v>
          </cell>
          <cell r="E752">
            <v>4784319</v>
          </cell>
          <cell r="F752">
            <v>0</v>
          </cell>
          <cell r="G752">
            <v>2168611</v>
          </cell>
        </row>
        <row r="753">
          <cell r="G753">
            <v>2168611</v>
          </cell>
        </row>
        <row r="754">
          <cell r="B754" t="str">
            <v>GUARANTY TRUST BANK PLC</v>
          </cell>
        </row>
        <row r="755">
          <cell r="B755" t="str">
            <v>GUARANTY TRUST BANK PLC</v>
          </cell>
        </row>
        <row r="756">
          <cell r="B756" t="str">
            <v>KEY RATIOS CONT'D</v>
          </cell>
          <cell r="C756" t="str">
            <v>28-Feb-2002</v>
          </cell>
          <cell r="D756">
            <v>0</v>
          </cell>
          <cell r="E756" t="str">
            <v>28-Feb-2001</v>
          </cell>
          <cell r="F756">
            <v>0</v>
          </cell>
          <cell r="G756" t="str">
            <v>29-Feb-2000</v>
          </cell>
        </row>
        <row r="758">
          <cell r="G758" t="str">
            <v>29-Feb-2000</v>
          </cell>
        </row>
        <row r="759">
          <cell r="B759" t="str">
            <v>ASSET QUALITY</v>
          </cell>
        </row>
        <row r="760">
          <cell r="A760">
            <v>76</v>
          </cell>
          <cell r="B760" t="str">
            <v>Performing loans (N'000)</v>
          </cell>
          <cell r="C760">
            <v>17830518</v>
          </cell>
          <cell r="D760">
            <v>0</v>
          </cell>
          <cell r="E760">
            <v>12220197</v>
          </cell>
          <cell r="F760">
            <v>0</v>
          </cell>
          <cell r="G760">
            <v>8107466</v>
          </cell>
        </row>
        <row r="761">
          <cell r="A761">
            <v>77</v>
          </cell>
          <cell r="B761" t="str">
            <v>Non-performing loans (N'000)</v>
          </cell>
          <cell r="C761">
            <v>386456</v>
          </cell>
          <cell r="D761">
            <v>0</v>
          </cell>
          <cell r="E761">
            <v>446936</v>
          </cell>
          <cell r="F761">
            <v>0</v>
          </cell>
          <cell r="G761">
            <v>393898</v>
          </cell>
        </row>
        <row r="762">
          <cell r="A762">
            <v>78</v>
          </cell>
          <cell r="B762" t="str">
            <v>Non-performing loans/Total loans - Gross</v>
          </cell>
          <cell r="C762">
            <v>2.1214061127825073E-2</v>
          </cell>
          <cell r="D762">
            <v>0</v>
          </cell>
          <cell r="E762">
            <v>3.5283122076637231E-2</v>
          </cell>
          <cell r="F762">
            <v>0</v>
          </cell>
          <cell r="G762">
            <v>4.6333506011505918E-2</v>
          </cell>
        </row>
        <row r="763">
          <cell r="A763">
            <v>79</v>
          </cell>
          <cell r="B763" t="str">
            <v>Loan loss provision/Total loans - Gross</v>
          </cell>
          <cell r="C763">
            <v>3.7779600497865343E-2</v>
          </cell>
          <cell r="D763">
            <v>0</v>
          </cell>
          <cell r="E763">
            <v>4.9162032166236824E-2</v>
          </cell>
          <cell r="F763">
            <v>0</v>
          </cell>
          <cell r="G763">
            <v>5.168852904075158E-2</v>
          </cell>
        </row>
        <row r="764">
          <cell r="A764">
            <v>80</v>
          </cell>
          <cell r="B764" t="str">
            <v>Loan loss provision/Non-performing loans</v>
          </cell>
          <cell r="C764">
            <v>1.780875442482456</v>
          </cell>
          <cell r="D764">
            <v>0</v>
          </cell>
          <cell r="E764">
            <v>1.3933583331841695</v>
          </cell>
          <cell r="F764">
            <v>0</v>
          </cell>
          <cell r="G764">
            <v>1.1155756058675088</v>
          </cell>
        </row>
        <row r="765">
          <cell r="A765">
            <v>81</v>
          </cell>
          <cell r="B765" t="str">
            <v>Risk-weighted assets/Total assets &amp; contingents</v>
          </cell>
          <cell r="C765">
            <v>0.52194013888652691</v>
          </cell>
          <cell r="D765">
            <v>0</v>
          </cell>
          <cell r="E765">
            <v>0.50572886782288307</v>
          </cell>
          <cell r="F765">
            <v>0</v>
          </cell>
          <cell r="G765">
            <v>0.45240223991904571</v>
          </cell>
        </row>
        <row r="766">
          <cell r="G766">
            <v>0.45240223991904571</v>
          </cell>
        </row>
        <row r="767">
          <cell r="B767" t="str">
            <v>CAPITAL ADEQUACY</v>
          </cell>
        </row>
        <row r="768">
          <cell r="A768">
            <v>82</v>
          </cell>
          <cell r="B768" t="str">
            <v>Adjusted capital/risk weighted assets</v>
          </cell>
          <cell r="C768">
            <v>0.25916456297361185</v>
          </cell>
          <cell r="D768">
            <v>0</v>
          </cell>
          <cell r="E768">
            <v>0.15299740918187218</v>
          </cell>
          <cell r="F768">
            <v>0</v>
          </cell>
          <cell r="G768">
            <v>0.17679099172622226</v>
          </cell>
        </row>
        <row r="769">
          <cell r="A769">
            <v>83</v>
          </cell>
          <cell r="B769" t="str">
            <v>Tier 1 capital/Adjusted capital</v>
          </cell>
          <cell r="C769">
            <v>0.86384500564434341</v>
          </cell>
          <cell r="D769">
            <v>0</v>
          </cell>
          <cell r="E769">
            <v>1.1388900046786106</v>
          </cell>
          <cell r="F769">
            <v>0</v>
          </cell>
          <cell r="G769">
            <v>1.1341366331605753</v>
          </cell>
        </row>
        <row r="770">
          <cell r="A770">
            <v>84</v>
          </cell>
          <cell r="B770" t="str">
            <v>Adjusted capital/Total loans - net</v>
          </cell>
          <cell r="C770">
            <v>0.48167755336989881</v>
          </cell>
          <cell r="D770">
            <v>0</v>
          </cell>
          <cell r="E770">
            <v>0.28468900348166043</v>
          </cell>
          <cell r="F770">
            <v>0</v>
          </cell>
          <cell r="G770">
            <v>0.32106164742800741</v>
          </cell>
        </row>
        <row r="771">
          <cell r="A771">
            <v>85</v>
          </cell>
          <cell r="B771" t="str">
            <v>Capital unimpaired by losses (N'000)</v>
          </cell>
          <cell r="C771">
            <v>7949982</v>
          </cell>
          <cell r="D771">
            <v>0</v>
          </cell>
          <cell r="E771">
            <v>3941048</v>
          </cell>
          <cell r="F771">
            <v>0</v>
          </cell>
          <cell r="G771">
            <v>3037354</v>
          </cell>
        </row>
        <row r="773">
          <cell r="G773">
            <v>3037354</v>
          </cell>
        </row>
        <row r="774">
          <cell r="B774" t="str">
            <v>CAPITAL ADEQUACY STRESS TEST</v>
          </cell>
        </row>
        <row r="775">
          <cell r="A775">
            <v>86</v>
          </cell>
          <cell r="B775" t="str">
            <v>Total shareholders' funds (N'000)</v>
          </cell>
          <cell r="C775">
            <v>9203019</v>
          </cell>
          <cell r="D775">
            <v>0</v>
          </cell>
          <cell r="E775">
            <v>3460429</v>
          </cell>
          <cell r="F775">
            <v>0</v>
          </cell>
          <cell r="G775">
            <v>2678120</v>
          </cell>
        </row>
        <row r="776">
          <cell r="A776">
            <v>87</v>
          </cell>
          <cell r="B776" t="str">
            <v>Cumulative loan loss provision (actual reserves)</v>
          </cell>
          <cell r="C776">
            <v>688230</v>
          </cell>
          <cell r="D776">
            <v>0</v>
          </cell>
          <cell r="E776">
            <v>622742</v>
          </cell>
          <cell r="F776">
            <v>0</v>
          </cell>
          <cell r="G776">
            <v>439423</v>
          </cell>
        </row>
        <row r="777">
          <cell r="A777">
            <v>88</v>
          </cell>
          <cell r="B777" t="str">
            <v>Equity before all provision (line 86 + line 87)</v>
          </cell>
          <cell r="C777">
            <v>9891249</v>
          </cell>
          <cell r="D777">
            <v>0</v>
          </cell>
          <cell r="E777">
            <v>4083171</v>
          </cell>
          <cell r="F777">
            <v>0</v>
          </cell>
          <cell r="G777">
            <v>3117543</v>
          </cell>
        </row>
        <row r="778">
          <cell r="A778">
            <v>89</v>
          </cell>
          <cell r="B778" t="str">
            <v>Required reserves*</v>
          </cell>
          <cell r="C778">
            <v>1943213.55</v>
          </cell>
          <cell r="D778">
            <v>0</v>
          </cell>
          <cell r="E778">
            <v>1471003.27</v>
          </cell>
          <cell r="F778">
            <v>0</v>
          </cell>
          <cell r="G778">
            <v>1078882.18</v>
          </cell>
        </row>
        <row r="779">
          <cell r="A779">
            <v>90</v>
          </cell>
          <cell r="B779" t="str">
            <v>Equity after required reserves (line 88 - line 89)</v>
          </cell>
          <cell r="C779">
            <v>7948035.4500000002</v>
          </cell>
          <cell r="D779">
            <v>0</v>
          </cell>
          <cell r="E779">
            <v>2612167.73</v>
          </cell>
          <cell r="F779">
            <v>0</v>
          </cell>
          <cell r="G779">
            <v>2038660.82</v>
          </cell>
        </row>
        <row r="780">
          <cell r="A780">
            <v>91</v>
          </cell>
          <cell r="B780" t="str">
            <v>Equity after required reserves/risk weighted assets</v>
          </cell>
          <cell r="C780">
            <v>0.22382319692027414</v>
          </cell>
          <cell r="D780">
            <v>0</v>
          </cell>
          <cell r="E780">
            <v>0.11549287531646862</v>
          </cell>
          <cell r="F780">
            <v>0</v>
          </cell>
          <cell r="G780">
            <v>0.13457831171164605</v>
          </cell>
        </row>
        <row r="781">
          <cell r="G781">
            <v>0.13457831171164605</v>
          </cell>
        </row>
        <row r="782">
          <cell r="B782" t="str">
            <v>STAFF INFORMATION</v>
          </cell>
        </row>
        <row r="783">
          <cell r="A783">
            <v>92</v>
          </cell>
          <cell r="B783" t="str">
            <v>Net earnings per staff (N'000)</v>
          </cell>
          <cell r="C783">
            <v>13415.700218818381</v>
          </cell>
          <cell r="D783">
            <v>0</v>
          </cell>
          <cell r="E783">
            <v>12524.825949367088</v>
          </cell>
          <cell r="F783">
            <v>0</v>
          </cell>
          <cell r="G783">
            <v>8765.9064516129038</v>
          </cell>
        </row>
        <row r="784">
          <cell r="A784">
            <v>93</v>
          </cell>
          <cell r="B784" t="str">
            <v>Staff cost per employee (N'000)</v>
          </cell>
          <cell r="C784">
            <v>1784.6630196936542</v>
          </cell>
          <cell r="D784">
            <v>0</v>
          </cell>
          <cell r="E784">
            <v>1859.5189873417721</v>
          </cell>
          <cell r="F784">
            <v>0</v>
          </cell>
          <cell r="G784">
            <v>1448.6870967741936</v>
          </cell>
        </row>
        <row r="785">
          <cell r="A785">
            <v>94</v>
          </cell>
          <cell r="B785" t="str">
            <v>Staff costs/Operating expenses</v>
          </cell>
          <cell r="C785">
            <v>0.2690116943536936</v>
          </cell>
          <cell r="D785">
            <v>0</v>
          </cell>
          <cell r="E785">
            <v>0.30804782330164476</v>
          </cell>
          <cell r="F785">
            <v>0</v>
          </cell>
          <cell r="G785">
            <v>0.31935093453026026</v>
          </cell>
        </row>
        <row r="786">
          <cell r="A786">
            <v>95</v>
          </cell>
          <cell r="B786" t="str">
            <v>Average number of employees</v>
          </cell>
          <cell r="C786">
            <v>457</v>
          </cell>
          <cell r="D786">
            <v>0</v>
          </cell>
          <cell r="E786">
            <v>316</v>
          </cell>
          <cell r="F786">
            <v>0</v>
          </cell>
          <cell r="G786">
            <v>310</v>
          </cell>
        </row>
        <row r="787">
          <cell r="A787">
            <v>96</v>
          </cell>
          <cell r="B787" t="str">
            <v>Average staff per  branch</v>
          </cell>
          <cell r="C787">
            <v>16.925925925925927</v>
          </cell>
          <cell r="D787">
            <v>0</v>
          </cell>
          <cell r="E787">
            <v>14.363636363636363</v>
          </cell>
          <cell r="F787">
            <v>0</v>
          </cell>
          <cell r="G787">
            <v>23.846153846153847</v>
          </cell>
        </row>
        <row r="789">
          <cell r="G789">
            <v>23.846153846153847</v>
          </cell>
        </row>
        <row r="790">
          <cell r="B790" t="str">
            <v>OTHER KEY INFORMATION</v>
          </cell>
        </row>
        <row r="791">
          <cell r="A791">
            <v>97</v>
          </cell>
          <cell r="B791" t="str">
            <v>Legal lending limit(N'000)</v>
          </cell>
          <cell r="C791">
            <v>2782493.6999999997</v>
          </cell>
          <cell r="D791">
            <v>0</v>
          </cell>
          <cell r="E791">
            <v>1379366.7999999998</v>
          </cell>
          <cell r="F791">
            <v>0</v>
          </cell>
          <cell r="G791">
            <v>607470.80000000005</v>
          </cell>
        </row>
        <row r="792">
          <cell r="A792">
            <v>98</v>
          </cell>
          <cell r="B792" t="str">
            <v>Other unamortised losses(N'000)</v>
          </cell>
          <cell r="C792" t="str">
            <v>NONE</v>
          </cell>
          <cell r="D792">
            <v>0</v>
          </cell>
          <cell r="E792" t="str">
            <v>NONE</v>
          </cell>
          <cell r="F792">
            <v>0</v>
          </cell>
          <cell r="G792" t="str">
            <v>NONE</v>
          </cell>
        </row>
        <row r="793">
          <cell r="A793">
            <v>99</v>
          </cell>
          <cell r="B793" t="str">
            <v>Unreconciled inter-branch items (N'000) DR/(CR)</v>
          </cell>
          <cell r="C793" t="str">
            <v>NONE</v>
          </cell>
          <cell r="D793">
            <v>0</v>
          </cell>
          <cell r="E793" t="str">
            <v>NONE</v>
          </cell>
          <cell r="F793">
            <v>0</v>
          </cell>
          <cell r="G793" t="str">
            <v>NONE</v>
          </cell>
        </row>
        <row r="794">
          <cell r="A794">
            <v>100</v>
          </cell>
          <cell r="B794" t="str">
            <v>Number of branches</v>
          </cell>
          <cell r="C794">
            <v>27</v>
          </cell>
          <cell r="D794">
            <v>0</v>
          </cell>
          <cell r="E794">
            <v>22</v>
          </cell>
          <cell r="F794">
            <v>0</v>
          </cell>
          <cell r="G794">
            <v>13</v>
          </cell>
        </row>
        <row r="795">
          <cell r="A795">
            <v>101</v>
          </cell>
          <cell r="B795" t="str">
            <v>Age (in years)</v>
          </cell>
          <cell r="C795">
            <v>12</v>
          </cell>
          <cell r="D795">
            <v>0</v>
          </cell>
          <cell r="E795">
            <v>11</v>
          </cell>
          <cell r="F795">
            <v>0</v>
          </cell>
          <cell r="G795">
            <v>10</v>
          </cell>
        </row>
        <row r="796">
          <cell r="A796">
            <v>102</v>
          </cell>
          <cell r="B796" t="str">
            <v>Government stake in equity (Indirect)</v>
          </cell>
          <cell r="C796" t="str">
            <v>NIL</v>
          </cell>
          <cell r="D796">
            <v>0</v>
          </cell>
          <cell r="E796" t="str">
            <v>NIL</v>
          </cell>
          <cell r="F796">
            <v>0</v>
          </cell>
          <cell r="G796" t="str">
            <v>NIL</v>
          </cell>
        </row>
        <row r="798">
          <cell r="G798" t="str">
            <v>NIL</v>
          </cell>
        </row>
        <row r="799">
          <cell r="C799" t="str">
            <v>Estimates</v>
          </cell>
          <cell r="D799">
            <v>0</v>
          </cell>
          <cell r="E799" t="str">
            <v>Actual</v>
          </cell>
          <cell r="F799">
            <v>0</v>
          </cell>
          <cell r="G799" t="str">
            <v>Actual</v>
          </cell>
        </row>
        <row r="800">
          <cell r="B800" t="str">
            <v>MARKET SHARE OF INDUSTRY TOTAL</v>
          </cell>
          <cell r="C800" t="str">
            <v>2001/02</v>
          </cell>
          <cell r="D800">
            <v>0</v>
          </cell>
          <cell r="E800" t="str">
            <v>2000</v>
          </cell>
          <cell r="F800">
            <v>0</v>
          </cell>
          <cell r="G800" t="str">
            <v>1999</v>
          </cell>
        </row>
        <row r="801">
          <cell r="A801">
            <v>103</v>
          </cell>
          <cell r="B801" t="str">
            <v>Lcy deposits (excluding interbank takings)</v>
          </cell>
          <cell r="C801">
            <v>2.6082564864864866E-2</v>
          </cell>
          <cell r="D801">
            <v>0</v>
          </cell>
          <cell r="E801">
            <v>2.0171840577245807E-2</v>
          </cell>
          <cell r="F801">
            <v>0</v>
          </cell>
          <cell r="G801">
            <v>1.9906751706857087E-2</v>
          </cell>
        </row>
        <row r="802">
          <cell r="A802">
            <v>104</v>
          </cell>
          <cell r="B802" t="str">
            <v>Total assets &amp; contingents</v>
          </cell>
          <cell r="C802">
            <v>2.5654318627450979E-2</v>
          </cell>
          <cell r="D802">
            <v>0</v>
          </cell>
          <cell r="E802">
            <v>2.3027173997185645E-2</v>
          </cell>
          <cell r="F802">
            <v>0</v>
          </cell>
          <cell r="G802">
            <v>2.6171485637075886E-2</v>
          </cell>
        </row>
        <row r="803">
          <cell r="A803">
            <v>105</v>
          </cell>
          <cell r="B803" t="str">
            <v>Total loans &amp; leases - net</v>
          </cell>
          <cell r="C803">
            <v>3.3946078048780491E-2</v>
          </cell>
          <cell r="D803">
            <v>0</v>
          </cell>
          <cell r="E803">
            <v>2.5100899716192473E-2</v>
          </cell>
          <cell r="F803">
            <v>0</v>
          </cell>
          <cell r="G803">
            <v>2.5824119232536538E-2</v>
          </cell>
        </row>
        <row r="804">
          <cell r="A804">
            <v>106</v>
          </cell>
          <cell r="B804" t="str">
            <v>Net earnings</v>
          </cell>
          <cell r="C804">
            <v>2.6089255319148935E-2</v>
          </cell>
          <cell r="D804">
            <v>0</v>
          </cell>
          <cell r="E804">
            <v>2.2476660001983225E-2</v>
          </cell>
          <cell r="F804">
            <v>0</v>
          </cell>
          <cell r="G804">
            <v>2.1799096431583814E-2</v>
          </cell>
        </row>
        <row r="805">
          <cell r="A805">
            <v>107</v>
          </cell>
          <cell r="B805" t="str">
            <v>Profit before tax</v>
          </cell>
          <cell r="C805">
            <v>3.5828554913294799E-2</v>
          </cell>
          <cell r="D805">
            <v>0</v>
          </cell>
          <cell r="E805">
            <v>3.39507994302728E-2</v>
          </cell>
          <cell r="F805">
            <v>0</v>
          </cell>
          <cell r="G805">
            <v>3.0210762883380721E-2</v>
          </cell>
        </row>
        <row r="806">
          <cell r="A806">
            <v>108</v>
          </cell>
          <cell r="B806" t="str">
            <v>Cash dividend</v>
          </cell>
          <cell r="C806">
            <v>5.7500000000000002E-2</v>
          </cell>
          <cell r="D806">
            <v>0</v>
          </cell>
          <cell r="E806">
            <v>3.9588216567338734E-2</v>
          </cell>
          <cell r="F806">
            <v>0</v>
          </cell>
          <cell r="G806">
            <v>3.7200977416226029E-2</v>
          </cell>
        </row>
        <row r="807">
          <cell r="A807">
            <v>109</v>
          </cell>
          <cell r="B807" t="str">
            <v>Core Capital</v>
          </cell>
          <cell r="C807">
            <v>3.631787117405208E-2</v>
          </cell>
          <cell r="D807">
            <v>0</v>
          </cell>
          <cell r="E807">
            <v>2.6729494569793989E-2</v>
          </cell>
          <cell r="F807">
            <v>0</v>
          </cell>
          <cell r="G807">
            <v>2.8031769610840439E-2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 refreshError="1"/>
      <sheetData sheetId="15" refreshError="1"/>
      <sheetData sheetId="16" refreshError="1"/>
      <sheetData sheetId="17">
        <row r="8">
          <cell r="B8" t="str">
            <v>Beverly Development &amp; Realties Limited</v>
          </cell>
        </row>
      </sheetData>
      <sheetData sheetId="18"/>
      <sheetData sheetId="19"/>
      <sheetData sheetId="20" refreshError="1"/>
      <sheetData sheetId="21" refreshError="1"/>
      <sheetData sheetId="22" refreshError="1"/>
      <sheetData sheetId="23">
        <row r="8">
          <cell r="B8" t="str">
            <v>Beverly Development &amp; Realties Limited</v>
          </cell>
        </row>
      </sheetData>
      <sheetData sheetId="24">
        <row r="8">
          <cell r="B8" t="str">
            <v>Beverly Development &amp; Realties Limited</v>
          </cell>
        </row>
      </sheetData>
      <sheetData sheetId="25">
        <row r="8">
          <cell r="B8" t="str">
            <v>Beverly Development &amp; Realties Limited</v>
          </cell>
        </row>
      </sheetData>
      <sheetData sheetId="26">
        <row r="8">
          <cell r="B8" t="str">
            <v>Beverly Development &amp; Realties Limited</v>
          </cell>
        </row>
      </sheetData>
      <sheetData sheetId="27">
        <row r="8">
          <cell r="B8" t="str">
            <v>Beverly Development &amp; Realties Limited</v>
          </cell>
        </row>
      </sheetData>
      <sheetData sheetId="28">
        <row r="8">
          <cell r="B8" t="str">
            <v>Beverly Development &amp; Realties Limited</v>
          </cell>
        </row>
      </sheetData>
      <sheetData sheetId="29">
        <row r="8">
          <cell r="B8" t="str">
            <v>Beverly Development &amp; Realties Limited</v>
          </cell>
        </row>
      </sheetData>
      <sheetData sheetId="30">
        <row r="8">
          <cell r="B8" t="str">
            <v>Beverly Development &amp; Realties Limited</v>
          </cell>
        </row>
      </sheetData>
      <sheetData sheetId="31">
        <row r="8">
          <cell r="B8" t="str">
            <v>Beverly Development &amp; Realties Limited</v>
          </cell>
        </row>
      </sheetData>
      <sheetData sheetId="32">
        <row r="8">
          <cell r="B8" t="str">
            <v>Beverly Development &amp; Realties Limited</v>
          </cell>
        </row>
      </sheetData>
      <sheetData sheetId="33">
        <row r="8">
          <cell r="B8" t="str">
            <v>Beverly Development &amp; Realties Limited</v>
          </cell>
        </row>
      </sheetData>
      <sheetData sheetId="34">
        <row r="8">
          <cell r="B8" t="str">
            <v>Beverly Development &amp; Realties Limited</v>
          </cell>
        </row>
      </sheetData>
      <sheetData sheetId="35">
        <row r="8">
          <cell r="B8" t="str">
            <v>Beverly Development &amp; Realties Limited</v>
          </cell>
        </row>
      </sheetData>
      <sheetData sheetId="36">
        <row r="8">
          <cell r="B8" t="str">
            <v>Beverly Development &amp; Realties Limited</v>
          </cell>
        </row>
      </sheetData>
      <sheetData sheetId="37"/>
      <sheetData sheetId="38">
        <row r="8">
          <cell r="B8" t="str">
            <v>Beverly Development &amp; Realties Limited</v>
          </cell>
        </row>
      </sheetData>
      <sheetData sheetId="39"/>
      <sheetData sheetId="40"/>
      <sheetData sheetId="41"/>
      <sheetData sheetId="42"/>
      <sheetData sheetId="43"/>
      <sheetData sheetId="44">
        <row r="8">
          <cell r="B8" t="str">
            <v>Beverly Development &amp; Realties Limited</v>
          </cell>
        </row>
      </sheetData>
      <sheetData sheetId="45"/>
      <sheetData sheetId="46">
        <row r="8">
          <cell r="B8" t="str">
            <v>Beverly Development &amp; Realties Limited</v>
          </cell>
        </row>
      </sheetData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>
        <row r="8">
          <cell r="B8" t="str">
            <v>Beverly Development &amp; Realties Limited</v>
          </cell>
        </row>
      </sheetData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>
        <row r="8">
          <cell r="B8" t="str">
            <v>Beverly Development &amp; Realties Limited</v>
          </cell>
        </row>
      </sheetData>
      <sheetData sheetId="160"/>
      <sheetData sheetId="161"/>
      <sheetData sheetId="162"/>
      <sheetData sheetId="163">
        <row r="8">
          <cell r="B8" t="str">
            <v>Beverly Development &amp; Realties Limited</v>
          </cell>
        </row>
      </sheetData>
      <sheetData sheetId="164">
        <row r="8">
          <cell r="B8" t="str">
            <v>Beverly Development &amp; Realties Limited</v>
          </cell>
        </row>
      </sheetData>
      <sheetData sheetId="165">
        <row r="8">
          <cell r="B8" t="str">
            <v>Beverly Development &amp; Realties Limited</v>
          </cell>
        </row>
      </sheetData>
      <sheetData sheetId="166"/>
      <sheetData sheetId="167">
        <row r="8">
          <cell r="B8" t="str">
            <v>Beverly Development &amp; Realties Limited</v>
          </cell>
        </row>
      </sheetData>
      <sheetData sheetId="168">
        <row r="8">
          <cell r="B8" t="str">
            <v>Beverly Development &amp; Realties Limited</v>
          </cell>
        </row>
      </sheetData>
      <sheetData sheetId="169">
        <row r="8">
          <cell r="B8" t="str">
            <v>Beverly Development &amp; Realties Limited</v>
          </cell>
        </row>
      </sheetData>
      <sheetData sheetId="170"/>
      <sheetData sheetId="171">
        <row r="8">
          <cell r="B8" t="str">
            <v>Beverly Development &amp; Realties Limited</v>
          </cell>
        </row>
      </sheetData>
      <sheetData sheetId="172">
        <row r="8">
          <cell r="B8" t="str">
            <v>Beverly Development &amp; Realties Limited</v>
          </cell>
        </row>
      </sheetData>
      <sheetData sheetId="173">
        <row r="8">
          <cell r="B8" t="str">
            <v>Beverly Development &amp; Realties Limited</v>
          </cell>
        </row>
      </sheetData>
      <sheetData sheetId="174">
        <row r="8">
          <cell r="B8" t="str">
            <v>Beverly Development &amp; Realties Limited</v>
          </cell>
        </row>
      </sheetData>
      <sheetData sheetId="175">
        <row r="8">
          <cell r="B8" t="str">
            <v>Beverly Development &amp; Realties Limited</v>
          </cell>
        </row>
      </sheetData>
      <sheetData sheetId="176">
        <row r="8">
          <cell r="B8" t="str">
            <v>Beverly Development &amp; Realties Limited</v>
          </cell>
        </row>
      </sheetData>
      <sheetData sheetId="177">
        <row r="8">
          <cell r="B8" t="str">
            <v>Beverly Development &amp; Realties Limited</v>
          </cell>
        </row>
      </sheetData>
      <sheetData sheetId="178">
        <row r="8">
          <cell r="B8" t="str">
            <v>Beverly Development &amp; Realties Limited</v>
          </cell>
        </row>
      </sheetData>
      <sheetData sheetId="179">
        <row r="8">
          <cell r="B8" t="str">
            <v>Beverly Development &amp; Realties Limited</v>
          </cell>
        </row>
      </sheetData>
      <sheetData sheetId="180">
        <row r="8">
          <cell r="B8" t="str">
            <v>Beverly Development &amp; Realties Limited</v>
          </cell>
        </row>
      </sheetData>
      <sheetData sheetId="181">
        <row r="8">
          <cell r="B8" t="str">
            <v>Beverly Development &amp; Realties Limited</v>
          </cell>
        </row>
      </sheetData>
      <sheetData sheetId="182">
        <row r="8">
          <cell r="B8" t="str">
            <v>Beverly Development &amp; Realties Limited</v>
          </cell>
        </row>
      </sheetData>
      <sheetData sheetId="183">
        <row r="8">
          <cell r="B8" t="str">
            <v>Beverly Development &amp; Realties Limited</v>
          </cell>
        </row>
      </sheetData>
      <sheetData sheetId="184">
        <row r="8">
          <cell r="B8" t="str">
            <v>Beverly Development &amp; Realties Limited</v>
          </cell>
        </row>
      </sheetData>
      <sheetData sheetId="185">
        <row r="8">
          <cell r="B8" t="str">
            <v>Beverly Development &amp; Realties Limited</v>
          </cell>
        </row>
      </sheetData>
      <sheetData sheetId="186">
        <row r="8">
          <cell r="B8" t="str">
            <v>Beverly Development &amp; Realties Limited</v>
          </cell>
        </row>
      </sheetData>
      <sheetData sheetId="187">
        <row r="8">
          <cell r="B8" t="str">
            <v>Beverly Development &amp; Realties Limited</v>
          </cell>
        </row>
      </sheetData>
      <sheetData sheetId="188">
        <row r="8">
          <cell r="B8" t="str">
            <v>Beverly Development &amp; Realties Limited</v>
          </cell>
        </row>
      </sheetData>
      <sheetData sheetId="189">
        <row r="8">
          <cell r="B8" t="str">
            <v>Beverly Development &amp; Realties Limited</v>
          </cell>
        </row>
      </sheetData>
      <sheetData sheetId="190">
        <row r="8">
          <cell r="B8" t="str">
            <v>Beverly Development &amp; Realties Limited</v>
          </cell>
        </row>
      </sheetData>
      <sheetData sheetId="191">
        <row r="8">
          <cell r="B8" t="str">
            <v>Beverly Development &amp; Realties Limited</v>
          </cell>
        </row>
      </sheetData>
      <sheetData sheetId="192">
        <row r="8">
          <cell r="B8" t="str">
            <v>Beverly Development &amp; Realties Limited</v>
          </cell>
        </row>
      </sheetData>
      <sheetData sheetId="193">
        <row r="8">
          <cell r="B8" t="str">
            <v>Beverly Development &amp; Realties Limited</v>
          </cell>
        </row>
      </sheetData>
      <sheetData sheetId="194">
        <row r="8">
          <cell r="B8" t="str">
            <v>Beverly Development &amp; Realties Limited</v>
          </cell>
        </row>
      </sheetData>
      <sheetData sheetId="195">
        <row r="8">
          <cell r="B8" t="str">
            <v>Beverly Development &amp; Realties Limited</v>
          </cell>
        </row>
      </sheetData>
      <sheetData sheetId="196">
        <row r="8">
          <cell r="B8" t="str">
            <v>Beverly Development &amp; Realties Limited</v>
          </cell>
        </row>
      </sheetData>
      <sheetData sheetId="197">
        <row r="8">
          <cell r="B8" t="str">
            <v>Beverly Development &amp; Realties Limited</v>
          </cell>
        </row>
      </sheetData>
      <sheetData sheetId="198">
        <row r="8">
          <cell r="B8" t="str">
            <v>Beverly Development &amp; Realties Limited</v>
          </cell>
        </row>
      </sheetData>
      <sheetData sheetId="199">
        <row r="8">
          <cell r="B8" t="str">
            <v>Beverly Development &amp; Realties Limited</v>
          </cell>
        </row>
      </sheetData>
      <sheetData sheetId="200">
        <row r="8">
          <cell r="B8" t="str">
            <v>Beverly Development &amp; Realties Limited</v>
          </cell>
        </row>
      </sheetData>
      <sheetData sheetId="201">
        <row r="8">
          <cell r="B8" t="str">
            <v>Beverly Development &amp; Realties Limited</v>
          </cell>
        </row>
      </sheetData>
      <sheetData sheetId="202">
        <row r="8">
          <cell r="B8" t="str">
            <v>Beverly Development &amp; Realties Limited</v>
          </cell>
        </row>
      </sheetData>
      <sheetData sheetId="203">
        <row r="8">
          <cell r="B8" t="str">
            <v>Beverly Development &amp; Realties Limited</v>
          </cell>
        </row>
      </sheetData>
      <sheetData sheetId="204">
        <row r="8">
          <cell r="B8" t="str">
            <v>Beverly Development &amp; Realties Limited</v>
          </cell>
        </row>
      </sheetData>
      <sheetData sheetId="205">
        <row r="8">
          <cell r="B8" t="str">
            <v>Beverly Development &amp; Realties Limited</v>
          </cell>
        </row>
      </sheetData>
      <sheetData sheetId="206">
        <row r="8">
          <cell r="B8" t="str">
            <v>Beverly Development &amp; Realties Limited</v>
          </cell>
        </row>
      </sheetData>
      <sheetData sheetId="207">
        <row r="8">
          <cell r="B8" t="str">
            <v>Beverly Development &amp; Realties Limited</v>
          </cell>
        </row>
      </sheetData>
      <sheetData sheetId="208">
        <row r="8">
          <cell r="B8" t="str">
            <v>Beverly Development &amp; Realties Limited</v>
          </cell>
        </row>
      </sheetData>
      <sheetData sheetId="209">
        <row r="8">
          <cell r="B8" t="str">
            <v>Beverly Development &amp; Realties Limited</v>
          </cell>
        </row>
      </sheetData>
      <sheetData sheetId="210">
        <row r="8">
          <cell r="B8" t="str">
            <v>Beverly Development &amp; Realties Limited</v>
          </cell>
        </row>
      </sheetData>
      <sheetData sheetId="211">
        <row r="8">
          <cell r="B8" t="str">
            <v>Beverly Development &amp; Realties Limited</v>
          </cell>
        </row>
      </sheetData>
      <sheetData sheetId="212">
        <row r="8">
          <cell r="B8" t="str">
            <v>Beverly Development &amp; Realties Limited</v>
          </cell>
        </row>
      </sheetData>
      <sheetData sheetId="213">
        <row r="8">
          <cell r="B8" t="str">
            <v>Beverly Development &amp; Realties Limited</v>
          </cell>
        </row>
      </sheetData>
      <sheetData sheetId="214">
        <row r="8">
          <cell r="B8" t="str">
            <v>Beverly Development &amp; Realties Limited</v>
          </cell>
        </row>
      </sheetData>
      <sheetData sheetId="215">
        <row r="8">
          <cell r="B8" t="str">
            <v>Beverly Development &amp; Realties Limited</v>
          </cell>
        </row>
      </sheetData>
      <sheetData sheetId="216">
        <row r="8">
          <cell r="B8" t="str">
            <v>Beverly Development &amp; Realties Limited</v>
          </cell>
        </row>
      </sheetData>
      <sheetData sheetId="217">
        <row r="8">
          <cell r="B8" t="str">
            <v>Beverly Development &amp; Realties Limited</v>
          </cell>
        </row>
      </sheetData>
      <sheetData sheetId="218">
        <row r="8">
          <cell r="B8" t="str">
            <v>Beverly Development &amp; Realties Limited</v>
          </cell>
        </row>
      </sheetData>
      <sheetData sheetId="219">
        <row r="8">
          <cell r="B8" t="str">
            <v>Beverly Development &amp; Realties Limited</v>
          </cell>
        </row>
      </sheetData>
      <sheetData sheetId="220">
        <row r="8">
          <cell r="B8" t="str">
            <v>Beverly Development &amp; Realties Limited</v>
          </cell>
        </row>
      </sheetData>
      <sheetData sheetId="221">
        <row r="8">
          <cell r="B8" t="str">
            <v>Beverly Development &amp; Realties Limited</v>
          </cell>
        </row>
      </sheetData>
      <sheetData sheetId="222">
        <row r="8">
          <cell r="B8" t="str">
            <v>Beverly Development &amp; Realties Limited</v>
          </cell>
        </row>
      </sheetData>
      <sheetData sheetId="223" refreshError="1"/>
      <sheetData sheetId="224">
        <row r="8">
          <cell r="B8" t="str">
            <v>Beverly Development &amp; Realties Limited</v>
          </cell>
        </row>
      </sheetData>
      <sheetData sheetId="225">
        <row r="8">
          <cell r="B8" t="str">
            <v>Beverly Development &amp; Realties Limited</v>
          </cell>
        </row>
      </sheetData>
      <sheetData sheetId="226" refreshError="1"/>
      <sheetData sheetId="227" refreshError="1"/>
      <sheetData sheetId="228">
        <row r="8">
          <cell r="B8" t="str">
            <v>Beverly Development &amp; Realties Limited</v>
          </cell>
        </row>
      </sheetData>
      <sheetData sheetId="229">
        <row r="8">
          <cell r="B8" t="str">
            <v>Beverly Development &amp; Realties Limited</v>
          </cell>
        </row>
      </sheetData>
      <sheetData sheetId="230">
        <row r="8">
          <cell r="B8" t="str">
            <v>Beverly Development &amp; Realties Limited</v>
          </cell>
        </row>
      </sheetData>
      <sheetData sheetId="231">
        <row r="8">
          <cell r="B8" t="str">
            <v>Beverly Development &amp; Realties Limited</v>
          </cell>
        </row>
      </sheetData>
      <sheetData sheetId="232">
        <row r="8">
          <cell r="B8" t="str">
            <v>Beverly Development &amp; Realties Limited</v>
          </cell>
        </row>
      </sheetData>
      <sheetData sheetId="233">
        <row r="8">
          <cell r="B8" t="str">
            <v>Beverly Development &amp; Realties Limited</v>
          </cell>
        </row>
      </sheetData>
      <sheetData sheetId="234" refreshError="1"/>
      <sheetData sheetId="235" refreshError="1"/>
      <sheetData sheetId="236">
        <row r="8">
          <cell r="B8" t="str">
            <v>Beverly Development &amp; Realties Limited</v>
          </cell>
        </row>
      </sheetData>
      <sheetData sheetId="237">
        <row r="8">
          <cell r="B8" t="str">
            <v>Beverly Development &amp; Realties Limited</v>
          </cell>
        </row>
      </sheetData>
      <sheetData sheetId="238">
        <row r="8">
          <cell r="B8" t="str">
            <v>Beverly Development &amp; Realties Limited</v>
          </cell>
        </row>
      </sheetData>
      <sheetData sheetId="239">
        <row r="8">
          <cell r="B8" t="str">
            <v>Beverly Development &amp; Realties Limited</v>
          </cell>
        </row>
      </sheetData>
      <sheetData sheetId="240">
        <row r="8">
          <cell r="B8" t="str">
            <v>Beverly Development &amp; Realties Limited</v>
          </cell>
        </row>
      </sheetData>
      <sheetData sheetId="241">
        <row r="8">
          <cell r="B8" t="str">
            <v>Beverly Development &amp; Realties Limited</v>
          </cell>
        </row>
      </sheetData>
      <sheetData sheetId="242">
        <row r="8">
          <cell r="B8" t="str">
            <v>Beverly Development &amp; Realties Limited</v>
          </cell>
        </row>
      </sheetData>
      <sheetData sheetId="243">
        <row r="8">
          <cell r="B8" t="str">
            <v>Beverly Development &amp; Realties Limited</v>
          </cell>
        </row>
      </sheetData>
      <sheetData sheetId="244" refreshError="1"/>
      <sheetData sheetId="245" refreshError="1"/>
      <sheetData sheetId="246" refreshError="1"/>
      <sheetData sheetId="247">
        <row r="8">
          <cell r="B8" t="str">
            <v>Beverly Development &amp; Realties Limited</v>
          </cell>
        </row>
      </sheetData>
      <sheetData sheetId="248">
        <row r="8">
          <cell r="B8" t="str">
            <v>Beverly Development &amp; Realties Limited</v>
          </cell>
        </row>
      </sheetData>
      <sheetData sheetId="249">
        <row r="8">
          <cell r="B8" t="str">
            <v>Beverly Development &amp; Realties Limited</v>
          </cell>
        </row>
      </sheetData>
      <sheetData sheetId="250">
        <row r="8">
          <cell r="B8" t="str">
            <v>Beverly Development &amp; Realties Limited</v>
          </cell>
        </row>
      </sheetData>
      <sheetData sheetId="251">
        <row r="8">
          <cell r="B8" t="str">
            <v>Beverly Development &amp; Realties Limited</v>
          </cell>
        </row>
      </sheetData>
      <sheetData sheetId="252">
        <row r="8">
          <cell r="B8" t="str">
            <v>Beverly Development &amp; Realties Limited</v>
          </cell>
        </row>
      </sheetData>
      <sheetData sheetId="253">
        <row r="8">
          <cell r="B8" t="str">
            <v>Beverly Development &amp; Realties Limited</v>
          </cell>
        </row>
      </sheetData>
      <sheetData sheetId="254">
        <row r="8">
          <cell r="B8" t="str">
            <v>Beverly Development &amp; Realties Limited</v>
          </cell>
        </row>
      </sheetData>
      <sheetData sheetId="255">
        <row r="8">
          <cell r="B8" t="str">
            <v>Beverly Development &amp; Realties Limited</v>
          </cell>
        </row>
      </sheetData>
      <sheetData sheetId="256">
        <row r="8">
          <cell r="B8" t="str">
            <v>Beverly Development &amp; Realties Limited</v>
          </cell>
        </row>
      </sheetData>
      <sheetData sheetId="257">
        <row r="8">
          <cell r="B8" t="str">
            <v>Beverly Development &amp; Realties Limited</v>
          </cell>
        </row>
      </sheetData>
      <sheetData sheetId="258">
        <row r="8">
          <cell r="B8" t="str">
            <v>Beverly Development &amp; Realties Limited</v>
          </cell>
        </row>
      </sheetData>
      <sheetData sheetId="259">
        <row r="8">
          <cell r="B8" t="str">
            <v>Beverly Development &amp; Realties Limited</v>
          </cell>
        </row>
      </sheetData>
      <sheetData sheetId="260">
        <row r="8">
          <cell r="B8" t="str">
            <v>Beverly Development &amp; Realties Limited</v>
          </cell>
        </row>
      </sheetData>
      <sheetData sheetId="261">
        <row r="8">
          <cell r="B8" t="str">
            <v>Beverly Development &amp; Realties Limited</v>
          </cell>
        </row>
      </sheetData>
      <sheetData sheetId="262">
        <row r="8">
          <cell r="B8" t="str">
            <v>Beverly Development &amp; Realties Limited</v>
          </cell>
        </row>
      </sheetData>
      <sheetData sheetId="263">
        <row r="8">
          <cell r="B8" t="str">
            <v>Beverly Development &amp; Realties Limited</v>
          </cell>
        </row>
      </sheetData>
      <sheetData sheetId="264">
        <row r="8">
          <cell r="B8" t="str">
            <v>Beverly Development &amp; Realties Limited</v>
          </cell>
        </row>
      </sheetData>
      <sheetData sheetId="265" refreshError="1"/>
      <sheetData sheetId="266" refreshError="1"/>
      <sheetData sheetId="267" refreshError="1"/>
      <sheetData sheetId="268">
        <row r="8">
          <cell r="B8" t="str">
            <v>Beverly Development &amp; Realties Limited</v>
          </cell>
        </row>
      </sheetData>
      <sheetData sheetId="269">
        <row r="8">
          <cell r="B8" t="str">
            <v>Beverly Development &amp; Realties Limited</v>
          </cell>
        </row>
      </sheetData>
      <sheetData sheetId="270">
        <row r="8">
          <cell r="B8" t="str">
            <v>Beverly Development &amp; Realties Limited</v>
          </cell>
        </row>
      </sheetData>
      <sheetData sheetId="271">
        <row r="8">
          <cell r="B8" t="str">
            <v>Beverly Development &amp; Realties Limited</v>
          </cell>
        </row>
      </sheetData>
      <sheetData sheetId="272">
        <row r="8">
          <cell r="B8" t="str">
            <v>Beverly Development &amp; Realties Limited</v>
          </cell>
        </row>
      </sheetData>
      <sheetData sheetId="273">
        <row r="8">
          <cell r="B8" t="str">
            <v>Beverly Development &amp; Realties Limited</v>
          </cell>
        </row>
      </sheetData>
      <sheetData sheetId="274">
        <row r="8">
          <cell r="B8" t="str">
            <v>Beverly Development &amp; Realties Limited</v>
          </cell>
        </row>
      </sheetData>
      <sheetData sheetId="275">
        <row r="8">
          <cell r="B8" t="str">
            <v>Beverly Development &amp; Realties Limited</v>
          </cell>
        </row>
      </sheetData>
      <sheetData sheetId="276">
        <row r="8">
          <cell r="B8" t="str">
            <v>Beverly Development &amp; Realties Limited</v>
          </cell>
        </row>
      </sheetData>
      <sheetData sheetId="277">
        <row r="8">
          <cell r="B8" t="str">
            <v>Beverly Development &amp; Realties Limited</v>
          </cell>
        </row>
      </sheetData>
      <sheetData sheetId="278">
        <row r="8">
          <cell r="B8" t="str">
            <v>Beverly Development &amp; Realties Limited</v>
          </cell>
        </row>
      </sheetData>
      <sheetData sheetId="279">
        <row r="8">
          <cell r="B8" t="str">
            <v>Beverly Development &amp; Realties Limited</v>
          </cell>
        </row>
      </sheetData>
      <sheetData sheetId="280">
        <row r="8">
          <cell r="B8" t="str">
            <v>Beverly Development &amp; Realties Limited</v>
          </cell>
        </row>
      </sheetData>
      <sheetData sheetId="281">
        <row r="8">
          <cell r="B8" t="str">
            <v>Beverly Development &amp; Realties Limited</v>
          </cell>
        </row>
      </sheetData>
      <sheetData sheetId="282">
        <row r="8">
          <cell r="B8" t="str">
            <v>Beverly Development &amp; Realties Limited</v>
          </cell>
        </row>
      </sheetData>
      <sheetData sheetId="283">
        <row r="8">
          <cell r="B8" t="str">
            <v>Beverly Development &amp; Realties Limited</v>
          </cell>
        </row>
      </sheetData>
      <sheetData sheetId="284">
        <row r="8">
          <cell r="B8" t="str">
            <v>Beverly Development &amp; Realties Limited</v>
          </cell>
        </row>
      </sheetData>
      <sheetData sheetId="285">
        <row r="8">
          <cell r="B8" t="str">
            <v>Beverly Development &amp; Realties Limited</v>
          </cell>
        </row>
      </sheetData>
      <sheetData sheetId="286">
        <row r="8">
          <cell r="B8" t="str">
            <v>Beverly Development &amp; Realties Limited</v>
          </cell>
        </row>
      </sheetData>
      <sheetData sheetId="287">
        <row r="8">
          <cell r="B8" t="str">
            <v>Beverly Development &amp; Realties Limited</v>
          </cell>
        </row>
      </sheetData>
      <sheetData sheetId="288">
        <row r="8">
          <cell r="B8" t="str">
            <v>Beverly Development &amp; Realties Limited</v>
          </cell>
        </row>
      </sheetData>
      <sheetData sheetId="289">
        <row r="8">
          <cell r="B8" t="str">
            <v>Beverly Development &amp; Realties Limited</v>
          </cell>
        </row>
      </sheetData>
      <sheetData sheetId="290">
        <row r="8">
          <cell r="B8" t="str">
            <v>Beverly Development &amp; Realties Limited</v>
          </cell>
        </row>
      </sheetData>
      <sheetData sheetId="291">
        <row r="8">
          <cell r="B8" t="str">
            <v>Beverly Development &amp; Realties Limited</v>
          </cell>
        </row>
      </sheetData>
      <sheetData sheetId="292">
        <row r="8">
          <cell r="B8" t="str">
            <v>Beverly Development &amp; Realties Limited</v>
          </cell>
        </row>
      </sheetData>
      <sheetData sheetId="293">
        <row r="8">
          <cell r="B8" t="str">
            <v>Beverly Development &amp; Realties Limited</v>
          </cell>
        </row>
      </sheetData>
      <sheetData sheetId="294">
        <row r="8">
          <cell r="B8" t="str">
            <v>Beverly Development &amp; Realties Limited</v>
          </cell>
        </row>
      </sheetData>
      <sheetData sheetId="295">
        <row r="8">
          <cell r="B8" t="str">
            <v>Beverly Development &amp; Realties Limited</v>
          </cell>
        </row>
      </sheetData>
      <sheetData sheetId="296">
        <row r="8">
          <cell r="B8" t="str">
            <v>Beverly Development &amp; Realties Limited</v>
          </cell>
        </row>
      </sheetData>
      <sheetData sheetId="297">
        <row r="8">
          <cell r="B8" t="str">
            <v>Beverly Development &amp; Realties Limited</v>
          </cell>
        </row>
      </sheetData>
      <sheetData sheetId="298">
        <row r="8">
          <cell r="B8" t="str">
            <v>Beverly Development &amp; Realties Limited</v>
          </cell>
        </row>
      </sheetData>
      <sheetData sheetId="299">
        <row r="8">
          <cell r="B8" t="str">
            <v>Beverly Development &amp; Realties Limited</v>
          </cell>
        </row>
      </sheetData>
      <sheetData sheetId="300">
        <row r="8">
          <cell r="B8" t="str">
            <v>Beverly Development &amp; Realties Limited</v>
          </cell>
        </row>
      </sheetData>
      <sheetData sheetId="301">
        <row r="8">
          <cell r="B8" t="str">
            <v>Beverly Development &amp; Realties Limited</v>
          </cell>
        </row>
      </sheetData>
      <sheetData sheetId="302">
        <row r="8">
          <cell r="B8" t="str">
            <v>Beverly Development &amp; Realties Limited</v>
          </cell>
        </row>
      </sheetData>
      <sheetData sheetId="303">
        <row r="8">
          <cell r="B8" t="str">
            <v>Beverly Development &amp; Realties Limited</v>
          </cell>
        </row>
      </sheetData>
      <sheetData sheetId="304">
        <row r="8">
          <cell r="B8" t="str">
            <v>Beverly Development &amp; Realties Limited</v>
          </cell>
        </row>
      </sheetData>
      <sheetData sheetId="305">
        <row r="8">
          <cell r="B8" t="str">
            <v>Beverly Development &amp; Realties Limited</v>
          </cell>
        </row>
      </sheetData>
      <sheetData sheetId="306">
        <row r="8">
          <cell r="B8" t="str">
            <v>Beverly Development &amp; Realties Limited</v>
          </cell>
        </row>
      </sheetData>
      <sheetData sheetId="307">
        <row r="8">
          <cell r="B8" t="str">
            <v>Beverly Development &amp; Realties Limited</v>
          </cell>
        </row>
      </sheetData>
      <sheetData sheetId="308">
        <row r="8">
          <cell r="B8" t="str">
            <v>Beverly Development &amp; Realties Limited</v>
          </cell>
        </row>
      </sheetData>
      <sheetData sheetId="309">
        <row r="8">
          <cell r="B8" t="str">
            <v>Beverly Development &amp; Realties Limited</v>
          </cell>
        </row>
      </sheetData>
      <sheetData sheetId="310">
        <row r="8">
          <cell r="B8" t="str">
            <v>Beverly Development &amp; Realties Limited</v>
          </cell>
        </row>
      </sheetData>
      <sheetData sheetId="311">
        <row r="8">
          <cell r="B8" t="str">
            <v>Beverly Development &amp; Realties Limited</v>
          </cell>
        </row>
      </sheetData>
      <sheetData sheetId="312">
        <row r="8">
          <cell r="B8" t="str">
            <v>Beverly Development &amp; Realties Limited</v>
          </cell>
        </row>
      </sheetData>
      <sheetData sheetId="313">
        <row r="8">
          <cell r="B8" t="str">
            <v>Beverly Development &amp; Realties Limited</v>
          </cell>
        </row>
      </sheetData>
      <sheetData sheetId="314">
        <row r="8">
          <cell r="B8" t="str">
            <v>Beverly Development &amp; Realties Limited</v>
          </cell>
        </row>
      </sheetData>
      <sheetData sheetId="315">
        <row r="8">
          <cell r="B8" t="str">
            <v>Beverly Development &amp; Realties Limited</v>
          </cell>
        </row>
      </sheetData>
      <sheetData sheetId="316">
        <row r="8">
          <cell r="B8" t="str">
            <v>Beverly Development &amp; Realties Limited</v>
          </cell>
        </row>
      </sheetData>
      <sheetData sheetId="317">
        <row r="8">
          <cell r="B8" t="str">
            <v>Beverly Development &amp; Realties Limited</v>
          </cell>
        </row>
      </sheetData>
      <sheetData sheetId="318"/>
      <sheetData sheetId="319">
        <row r="8">
          <cell r="B8" t="str">
            <v>Beverly Development &amp; Realties Limited</v>
          </cell>
        </row>
      </sheetData>
      <sheetData sheetId="320">
        <row r="8">
          <cell r="B8" t="str">
            <v>Beverly Development &amp; Realties Limited</v>
          </cell>
        </row>
      </sheetData>
      <sheetData sheetId="321">
        <row r="8">
          <cell r="B8" t="str">
            <v>Beverly Development &amp; Realties Limited</v>
          </cell>
        </row>
      </sheetData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>
        <row r="8">
          <cell r="B8" t="str">
            <v>Beverly Development &amp; Realties Limited</v>
          </cell>
        </row>
      </sheetData>
      <sheetData sheetId="331">
        <row r="8">
          <cell r="B8" t="str">
            <v>Beverly Development &amp; Realties Limited</v>
          </cell>
        </row>
      </sheetData>
      <sheetData sheetId="332">
        <row r="8">
          <cell r="B8" t="str">
            <v>Beverly Development &amp; Realties Limited</v>
          </cell>
        </row>
      </sheetData>
      <sheetData sheetId="333">
        <row r="8">
          <cell r="B8" t="str">
            <v>Beverly Development &amp; Realties Limited</v>
          </cell>
        </row>
      </sheetData>
      <sheetData sheetId="334">
        <row r="8">
          <cell r="B8" t="str">
            <v>Beverly Development &amp; Realties Limited</v>
          </cell>
        </row>
      </sheetData>
      <sheetData sheetId="335">
        <row r="8">
          <cell r="B8" t="str">
            <v>Beverly Development &amp; Realties Limited</v>
          </cell>
        </row>
      </sheetData>
      <sheetData sheetId="336">
        <row r="8">
          <cell r="B8" t="str">
            <v>Beverly Development &amp; Realties Limited</v>
          </cell>
        </row>
      </sheetData>
      <sheetData sheetId="337">
        <row r="8">
          <cell r="B8" t="str">
            <v>Beverly Development &amp; Realties Limited</v>
          </cell>
        </row>
      </sheetData>
      <sheetData sheetId="338">
        <row r="8">
          <cell r="B8" t="str">
            <v>Beverly Development &amp; Realties Limited</v>
          </cell>
        </row>
      </sheetData>
      <sheetData sheetId="339">
        <row r="8">
          <cell r="B8" t="str">
            <v>Beverly Development &amp; Realties Limited</v>
          </cell>
        </row>
      </sheetData>
      <sheetData sheetId="340">
        <row r="8">
          <cell r="B8" t="str">
            <v>Beverly Development &amp; Realties Limited</v>
          </cell>
        </row>
      </sheetData>
      <sheetData sheetId="341">
        <row r="8">
          <cell r="B8" t="str">
            <v>Beverly Development &amp; Realties Limited</v>
          </cell>
        </row>
      </sheetData>
      <sheetData sheetId="342">
        <row r="8">
          <cell r="B8" t="str">
            <v>Beverly Development &amp; Realties Limited</v>
          </cell>
        </row>
      </sheetData>
      <sheetData sheetId="343">
        <row r="8">
          <cell r="B8" t="str">
            <v>Beverly Development &amp; Realties Limited</v>
          </cell>
        </row>
      </sheetData>
      <sheetData sheetId="344">
        <row r="8">
          <cell r="B8" t="str">
            <v>Beverly Development &amp; Realties Limited</v>
          </cell>
        </row>
      </sheetData>
      <sheetData sheetId="345">
        <row r="8">
          <cell r="B8" t="str">
            <v>Beverly Development &amp; Realties Limited</v>
          </cell>
        </row>
      </sheetData>
      <sheetData sheetId="346">
        <row r="8">
          <cell r="B8" t="str">
            <v>Beverly Development &amp; Realties Limited</v>
          </cell>
        </row>
      </sheetData>
      <sheetData sheetId="347">
        <row r="8">
          <cell r="B8" t="str">
            <v>Beverly Development &amp; Realties Limited</v>
          </cell>
        </row>
      </sheetData>
      <sheetData sheetId="348">
        <row r="8">
          <cell r="B8" t="str">
            <v>Beverly Development &amp; Realties Limited</v>
          </cell>
        </row>
      </sheetData>
      <sheetData sheetId="349">
        <row r="8">
          <cell r="B8" t="str">
            <v>Beverly Development &amp; Realties Limited</v>
          </cell>
        </row>
      </sheetData>
      <sheetData sheetId="350">
        <row r="8">
          <cell r="B8" t="str">
            <v>Beverly Development &amp; Realties Limited</v>
          </cell>
        </row>
      </sheetData>
      <sheetData sheetId="351">
        <row r="8">
          <cell r="B8" t="str">
            <v>Beverly Development &amp; Realties Limited</v>
          </cell>
        </row>
      </sheetData>
      <sheetData sheetId="352">
        <row r="8">
          <cell r="B8" t="str">
            <v>Beverly Development &amp; Realties Limited</v>
          </cell>
        </row>
      </sheetData>
      <sheetData sheetId="353">
        <row r="8">
          <cell r="B8" t="str">
            <v>Beverly Development &amp; Realties Limited</v>
          </cell>
        </row>
      </sheetData>
      <sheetData sheetId="354">
        <row r="8">
          <cell r="B8" t="str">
            <v>Beverly Development &amp; Realties Limited</v>
          </cell>
        </row>
      </sheetData>
      <sheetData sheetId="355">
        <row r="8">
          <cell r="B8" t="str">
            <v>Beverly Development &amp; Realties Limited</v>
          </cell>
        </row>
      </sheetData>
      <sheetData sheetId="356">
        <row r="8">
          <cell r="B8" t="str">
            <v>Beverly Development &amp; Realties Limited</v>
          </cell>
        </row>
      </sheetData>
      <sheetData sheetId="357"/>
      <sheetData sheetId="358"/>
      <sheetData sheetId="359"/>
      <sheetData sheetId="360"/>
      <sheetData sheetId="361">
        <row r="8">
          <cell r="B8" t="str">
            <v>Beverly Development &amp; Realties Limited</v>
          </cell>
        </row>
      </sheetData>
      <sheetData sheetId="362"/>
      <sheetData sheetId="363">
        <row r="8">
          <cell r="B8" t="str">
            <v>Beverly Development &amp; Realties Limited</v>
          </cell>
        </row>
      </sheetData>
      <sheetData sheetId="364">
        <row r="8">
          <cell r="B8" t="str">
            <v>Beverly Development &amp; Realties Limited</v>
          </cell>
        </row>
      </sheetData>
      <sheetData sheetId="365">
        <row r="8">
          <cell r="B8" t="str">
            <v>Beverly Development &amp; Realties Limited</v>
          </cell>
        </row>
      </sheetData>
      <sheetData sheetId="366">
        <row r="8">
          <cell r="B8" t="str">
            <v>Beverly Development &amp; Realties Limited</v>
          </cell>
        </row>
      </sheetData>
      <sheetData sheetId="367">
        <row r="8">
          <cell r="B8" t="str">
            <v>Beverly Development &amp; Realties Limited</v>
          </cell>
        </row>
      </sheetData>
      <sheetData sheetId="368">
        <row r="8">
          <cell r="B8" t="str">
            <v>Beverly Development &amp; Realties Limited</v>
          </cell>
        </row>
      </sheetData>
      <sheetData sheetId="369">
        <row r="8">
          <cell r="B8" t="str">
            <v>Beverly Development &amp; Realties Limited</v>
          </cell>
        </row>
      </sheetData>
      <sheetData sheetId="370">
        <row r="8">
          <cell r="B8" t="str">
            <v>Beverly Development &amp; Realties Limited</v>
          </cell>
        </row>
      </sheetData>
      <sheetData sheetId="371">
        <row r="8">
          <cell r="B8" t="str">
            <v>Beverly Development &amp; Realties Limited</v>
          </cell>
        </row>
      </sheetData>
      <sheetData sheetId="372">
        <row r="8">
          <cell r="B8" t="str">
            <v>Beverly Development &amp; Realties Limited</v>
          </cell>
        </row>
      </sheetData>
      <sheetData sheetId="373">
        <row r="8">
          <cell r="B8" t="str">
            <v>Beverly Development &amp; Realties Limited</v>
          </cell>
        </row>
      </sheetData>
      <sheetData sheetId="374">
        <row r="8">
          <cell r="B8" t="str">
            <v>Beverly Development &amp; Realties Limited</v>
          </cell>
        </row>
      </sheetData>
      <sheetData sheetId="375">
        <row r="8">
          <cell r="B8" t="str">
            <v>Beverly Development &amp; Realties Limited</v>
          </cell>
        </row>
      </sheetData>
      <sheetData sheetId="376">
        <row r="8">
          <cell r="B8" t="str">
            <v>Beverly Development &amp; Realties Limited</v>
          </cell>
        </row>
      </sheetData>
      <sheetData sheetId="377">
        <row r="8">
          <cell r="B8" t="str">
            <v>Beverly Development &amp; Realties Limited</v>
          </cell>
        </row>
      </sheetData>
      <sheetData sheetId="378"/>
      <sheetData sheetId="379">
        <row r="8">
          <cell r="B8" t="str">
            <v>Beverly Development &amp; Realties Limited</v>
          </cell>
        </row>
      </sheetData>
      <sheetData sheetId="380"/>
      <sheetData sheetId="381">
        <row r="8">
          <cell r="B8" t="str">
            <v>Beverly Development &amp; Realties Limited</v>
          </cell>
        </row>
      </sheetData>
      <sheetData sheetId="382"/>
      <sheetData sheetId="383"/>
      <sheetData sheetId="384">
        <row r="8">
          <cell r="B8" t="str">
            <v>Beverly Development &amp; Realties Limited</v>
          </cell>
        </row>
      </sheetData>
      <sheetData sheetId="385">
        <row r="8">
          <cell r="B8" t="str">
            <v>Beverly Development &amp; Realties Limited</v>
          </cell>
        </row>
      </sheetData>
      <sheetData sheetId="386">
        <row r="8">
          <cell r="B8" t="str">
            <v>Beverly Development &amp; Realties Limited</v>
          </cell>
        </row>
      </sheetData>
      <sheetData sheetId="387">
        <row r="8">
          <cell r="B8" t="str">
            <v>Beverly Development &amp; Realties Limited</v>
          </cell>
        </row>
      </sheetData>
      <sheetData sheetId="388"/>
      <sheetData sheetId="389">
        <row r="8">
          <cell r="B8" t="str">
            <v>Beverly Development &amp; Realties Limited</v>
          </cell>
        </row>
      </sheetData>
      <sheetData sheetId="390">
        <row r="8">
          <cell r="B8" t="str">
            <v>Beverly Development &amp; Realties Limited</v>
          </cell>
        </row>
      </sheetData>
      <sheetData sheetId="391">
        <row r="8">
          <cell r="B8" t="str">
            <v>Beverly Development &amp; Realties Limited</v>
          </cell>
        </row>
      </sheetData>
      <sheetData sheetId="392">
        <row r="8">
          <cell r="B8" t="str">
            <v>Beverly Development &amp; Realties Limited</v>
          </cell>
        </row>
      </sheetData>
      <sheetData sheetId="393">
        <row r="8">
          <cell r="B8" t="str">
            <v>Beverly Development &amp; Realties Limited</v>
          </cell>
        </row>
      </sheetData>
      <sheetData sheetId="394">
        <row r="8">
          <cell r="B8" t="str">
            <v>Beverly Development &amp; Realties Limited</v>
          </cell>
        </row>
      </sheetData>
      <sheetData sheetId="395">
        <row r="8">
          <cell r="B8" t="str">
            <v>Beverly Development &amp; Realties Limited</v>
          </cell>
        </row>
      </sheetData>
      <sheetData sheetId="396">
        <row r="8">
          <cell r="B8" t="str">
            <v>Beverly Development &amp; Realties Limited</v>
          </cell>
        </row>
      </sheetData>
      <sheetData sheetId="397">
        <row r="8">
          <cell r="B8" t="str">
            <v>Beverly Development &amp; Realties Limited</v>
          </cell>
        </row>
      </sheetData>
      <sheetData sheetId="398">
        <row r="8">
          <cell r="B8" t="str">
            <v>Beverly Development &amp; Realties Limited</v>
          </cell>
        </row>
      </sheetData>
      <sheetData sheetId="399"/>
      <sheetData sheetId="400"/>
      <sheetData sheetId="401"/>
      <sheetData sheetId="402">
        <row r="8">
          <cell r="B8" t="str">
            <v>Beverly Development &amp; Realties Limited</v>
          </cell>
        </row>
      </sheetData>
      <sheetData sheetId="403">
        <row r="8">
          <cell r="B8" t="str">
            <v>Beverly Development &amp; Realties Limited</v>
          </cell>
        </row>
      </sheetData>
      <sheetData sheetId="404">
        <row r="8">
          <cell r="B8" t="str">
            <v>Beverly Development &amp; Realties Limited</v>
          </cell>
        </row>
      </sheetData>
      <sheetData sheetId="405">
        <row r="8">
          <cell r="B8" t="str">
            <v>Beverly Development &amp; Realties Limited</v>
          </cell>
        </row>
      </sheetData>
      <sheetData sheetId="406">
        <row r="8">
          <cell r="B8" t="str">
            <v>Beverly Development &amp; Realties Limited</v>
          </cell>
        </row>
      </sheetData>
      <sheetData sheetId="407">
        <row r="8">
          <cell r="B8" t="str">
            <v>Beverly Development &amp; Realties Limited</v>
          </cell>
        </row>
      </sheetData>
      <sheetData sheetId="408">
        <row r="8">
          <cell r="B8" t="str">
            <v>Beverly Development &amp; Realties Limited</v>
          </cell>
        </row>
      </sheetData>
      <sheetData sheetId="409">
        <row r="8">
          <cell r="B8" t="str">
            <v>Beverly Development &amp; Realties Limited</v>
          </cell>
        </row>
      </sheetData>
      <sheetData sheetId="410">
        <row r="8">
          <cell r="B8" t="str">
            <v>Beverly Development &amp; Realties Limited</v>
          </cell>
        </row>
      </sheetData>
      <sheetData sheetId="411">
        <row r="8">
          <cell r="B8" t="str">
            <v>Beverly Development &amp; Realties Limited</v>
          </cell>
        </row>
      </sheetData>
      <sheetData sheetId="412">
        <row r="8">
          <cell r="B8" t="str">
            <v>Beverly Development &amp; Realties Limited</v>
          </cell>
        </row>
      </sheetData>
      <sheetData sheetId="413">
        <row r="8">
          <cell r="B8" t="str">
            <v>Beverly Development &amp; Realties Limited</v>
          </cell>
        </row>
      </sheetData>
      <sheetData sheetId="414"/>
      <sheetData sheetId="415">
        <row r="8">
          <cell r="B8" t="str">
            <v>Beverly Development &amp; Realties Limited</v>
          </cell>
        </row>
      </sheetData>
      <sheetData sheetId="416">
        <row r="8">
          <cell r="B8" t="str">
            <v>Beverly Development &amp; Realties Limited</v>
          </cell>
        </row>
      </sheetData>
      <sheetData sheetId="417">
        <row r="8">
          <cell r="B8" t="str">
            <v>Beverly Development &amp; Realties Limited</v>
          </cell>
        </row>
      </sheetData>
      <sheetData sheetId="418">
        <row r="8">
          <cell r="B8" t="str">
            <v>Beverly Development &amp; Realties Limited</v>
          </cell>
        </row>
      </sheetData>
      <sheetData sheetId="419"/>
      <sheetData sheetId="420"/>
      <sheetData sheetId="421">
        <row r="8">
          <cell r="B8" t="str">
            <v>Beverly Development &amp; Realties Limited</v>
          </cell>
        </row>
      </sheetData>
      <sheetData sheetId="422">
        <row r="8">
          <cell r="B8" t="str">
            <v>Beverly Development &amp; Realties Limited</v>
          </cell>
        </row>
      </sheetData>
      <sheetData sheetId="423">
        <row r="8">
          <cell r="B8" t="str">
            <v>Beverly Development &amp; Realties Limited</v>
          </cell>
        </row>
      </sheetData>
      <sheetData sheetId="424">
        <row r="8">
          <cell r="B8" t="str">
            <v>Beverly Development &amp; Realties Limited</v>
          </cell>
        </row>
      </sheetData>
      <sheetData sheetId="425">
        <row r="8">
          <cell r="B8" t="str">
            <v>Beverly Development &amp; Realties Limited</v>
          </cell>
        </row>
      </sheetData>
      <sheetData sheetId="426">
        <row r="8">
          <cell r="B8" t="str">
            <v>Beverly Development &amp; Realties Limited</v>
          </cell>
        </row>
      </sheetData>
      <sheetData sheetId="427">
        <row r="8">
          <cell r="B8" t="str">
            <v>Beverly Development &amp; Realties Limited</v>
          </cell>
        </row>
      </sheetData>
      <sheetData sheetId="428">
        <row r="8">
          <cell r="B8" t="str">
            <v>Beverly Development &amp; Realties Limited</v>
          </cell>
        </row>
      </sheetData>
      <sheetData sheetId="429">
        <row r="8">
          <cell r="B8" t="str">
            <v>Beverly Development &amp; Realties Limited</v>
          </cell>
        </row>
      </sheetData>
      <sheetData sheetId="430">
        <row r="8">
          <cell r="B8" t="str">
            <v>Beverly Development &amp; Realties Limited</v>
          </cell>
        </row>
      </sheetData>
      <sheetData sheetId="431">
        <row r="8">
          <cell r="B8" t="str">
            <v>Beverly Development &amp; Realties Limited</v>
          </cell>
        </row>
      </sheetData>
      <sheetData sheetId="432">
        <row r="8">
          <cell r="B8" t="str">
            <v>Beverly Development &amp; Realties Limited</v>
          </cell>
        </row>
      </sheetData>
      <sheetData sheetId="433"/>
      <sheetData sheetId="434">
        <row r="8">
          <cell r="B8" t="str">
            <v>Beverly Development &amp; Realties Limited</v>
          </cell>
        </row>
      </sheetData>
      <sheetData sheetId="435"/>
      <sheetData sheetId="436">
        <row r="8">
          <cell r="B8" t="str">
            <v>Beverly Development &amp; Realties Limited</v>
          </cell>
        </row>
      </sheetData>
      <sheetData sheetId="437"/>
      <sheetData sheetId="438"/>
      <sheetData sheetId="439">
        <row r="8">
          <cell r="B8" t="str">
            <v>Beverly Development &amp; Realties Limited</v>
          </cell>
        </row>
      </sheetData>
      <sheetData sheetId="440"/>
      <sheetData sheetId="441">
        <row r="8">
          <cell r="B8" t="str">
            <v>Beverly Development &amp; Realties Limited</v>
          </cell>
        </row>
      </sheetData>
      <sheetData sheetId="442">
        <row r="8">
          <cell r="B8" t="str">
            <v>Beverly Development &amp; Realties Limited</v>
          </cell>
        </row>
      </sheetData>
      <sheetData sheetId="443">
        <row r="8">
          <cell r="B8" t="str">
            <v>Beverly Development &amp; Realties Limited</v>
          </cell>
        </row>
      </sheetData>
      <sheetData sheetId="444">
        <row r="8">
          <cell r="B8" t="str">
            <v>Beverly Development &amp; Realties Limited</v>
          </cell>
        </row>
      </sheetData>
      <sheetData sheetId="445">
        <row r="8">
          <cell r="B8" t="str">
            <v>Beverly Development &amp; Realties Limited</v>
          </cell>
        </row>
      </sheetData>
      <sheetData sheetId="446">
        <row r="8">
          <cell r="B8" t="str">
            <v>Beverly Development &amp; Realties Limited</v>
          </cell>
        </row>
      </sheetData>
      <sheetData sheetId="447">
        <row r="8">
          <cell r="B8" t="str">
            <v>Beverly Development &amp; Realties Limited</v>
          </cell>
        </row>
      </sheetData>
      <sheetData sheetId="448">
        <row r="8">
          <cell r="B8" t="str">
            <v>Beverly Development &amp; Realties Limited</v>
          </cell>
        </row>
      </sheetData>
      <sheetData sheetId="449">
        <row r="8">
          <cell r="B8" t="str">
            <v>Beverly Development &amp; Realties Limited</v>
          </cell>
        </row>
      </sheetData>
      <sheetData sheetId="450">
        <row r="8">
          <cell r="B8" t="str">
            <v>Beverly Development &amp; Realties Limited</v>
          </cell>
        </row>
      </sheetData>
      <sheetData sheetId="451">
        <row r="8">
          <cell r="B8" t="str">
            <v>Beverly Development &amp; Realties Limited</v>
          </cell>
        </row>
      </sheetData>
      <sheetData sheetId="452"/>
      <sheetData sheetId="453">
        <row r="8">
          <cell r="B8" t="str">
            <v>Beverly Development &amp; Realties Limited</v>
          </cell>
        </row>
      </sheetData>
      <sheetData sheetId="454">
        <row r="8">
          <cell r="B8" t="str">
            <v>Beverly Development &amp; Realties Limited</v>
          </cell>
        </row>
      </sheetData>
      <sheetData sheetId="455">
        <row r="8">
          <cell r="B8" t="str">
            <v>Beverly Development &amp; Realties Limited</v>
          </cell>
        </row>
      </sheetData>
      <sheetData sheetId="456">
        <row r="8">
          <cell r="B8" t="str">
            <v>Beverly Development &amp; Realties Limited</v>
          </cell>
        </row>
      </sheetData>
      <sheetData sheetId="457">
        <row r="8">
          <cell r="B8" t="str">
            <v>Beverly Development &amp; Realties Limited</v>
          </cell>
        </row>
      </sheetData>
      <sheetData sheetId="458"/>
      <sheetData sheetId="459">
        <row r="8">
          <cell r="B8" t="str">
            <v>Beverly Development &amp; Realties Limited</v>
          </cell>
        </row>
      </sheetData>
      <sheetData sheetId="460">
        <row r="8">
          <cell r="B8" t="str">
            <v>Beverly Development &amp; Realties Limited</v>
          </cell>
        </row>
      </sheetData>
      <sheetData sheetId="461">
        <row r="8">
          <cell r="B8" t="str">
            <v>Beverly Development &amp; Realties Limited</v>
          </cell>
        </row>
      </sheetData>
      <sheetData sheetId="462">
        <row r="8">
          <cell r="B8" t="str">
            <v>Beverly Development &amp; Realties Limited</v>
          </cell>
        </row>
      </sheetData>
      <sheetData sheetId="463">
        <row r="8">
          <cell r="B8" t="str">
            <v>Beverly Development &amp; Realties Limited</v>
          </cell>
        </row>
      </sheetData>
      <sheetData sheetId="464" refreshError="1"/>
      <sheetData sheetId="465" refreshError="1"/>
      <sheetData sheetId="466">
        <row r="8">
          <cell r="B8" t="str">
            <v>Beverly Development &amp; Realties Limited</v>
          </cell>
        </row>
      </sheetData>
      <sheetData sheetId="467">
        <row r="8">
          <cell r="B8" t="str">
            <v>Beverly Development &amp; Realties Limited</v>
          </cell>
        </row>
      </sheetData>
      <sheetData sheetId="468">
        <row r="8">
          <cell r="B8" t="str">
            <v>Beverly Development &amp; Realties Limited</v>
          </cell>
        </row>
      </sheetData>
      <sheetData sheetId="469">
        <row r="8">
          <cell r="B8" t="str">
            <v>Beverly Development &amp; Realties Limited</v>
          </cell>
        </row>
      </sheetData>
      <sheetData sheetId="470">
        <row r="8">
          <cell r="B8" t="str">
            <v>Beverly Development &amp; Realties Limited</v>
          </cell>
        </row>
      </sheetData>
      <sheetData sheetId="471">
        <row r="8">
          <cell r="B8" t="str">
            <v>Beverly Development &amp; Realties Limited</v>
          </cell>
        </row>
      </sheetData>
      <sheetData sheetId="472">
        <row r="8">
          <cell r="B8" t="str">
            <v>Beverly Development &amp; Realties Limited</v>
          </cell>
        </row>
      </sheetData>
      <sheetData sheetId="473"/>
      <sheetData sheetId="474">
        <row r="8">
          <cell r="B8" t="str">
            <v>Beverly Development &amp; Realties Limited</v>
          </cell>
        </row>
      </sheetData>
      <sheetData sheetId="475"/>
      <sheetData sheetId="476">
        <row r="8">
          <cell r="B8" t="str">
            <v>Beverly Development &amp; Realties Limited</v>
          </cell>
        </row>
      </sheetData>
      <sheetData sheetId="477">
        <row r="8">
          <cell r="B8" t="str">
            <v>Beverly Development &amp; Realties Limited</v>
          </cell>
        </row>
      </sheetData>
      <sheetData sheetId="478">
        <row r="8">
          <cell r="B8" t="str">
            <v>Beverly Development &amp; Realties Limited</v>
          </cell>
        </row>
      </sheetData>
      <sheetData sheetId="479">
        <row r="8">
          <cell r="B8" t="str">
            <v>Beverly Development &amp; Realties Limited</v>
          </cell>
        </row>
      </sheetData>
      <sheetData sheetId="480">
        <row r="8">
          <cell r="B8" t="str">
            <v>Beverly Development &amp; Realties Limited</v>
          </cell>
        </row>
      </sheetData>
      <sheetData sheetId="481">
        <row r="8">
          <cell r="B8" t="str">
            <v>Beverly Development &amp; Realties Limited</v>
          </cell>
        </row>
      </sheetData>
      <sheetData sheetId="482">
        <row r="8">
          <cell r="B8" t="str">
            <v>Beverly Development &amp; Realties Limited</v>
          </cell>
        </row>
      </sheetData>
      <sheetData sheetId="483">
        <row r="8">
          <cell r="B8" t="str">
            <v>Beverly Development &amp; Realties Limited</v>
          </cell>
        </row>
      </sheetData>
      <sheetData sheetId="484"/>
      <sheetData sheetId="485" refreshError="1"/>
      <sheetData sheetId="486" refreshError="1"/>
      <sheetData sheetId="487">
        <row r="8">
          <cell r="B8" t="str">
            <v>Beverly Development &amp; Realties Limited</v>
          </cell>
        </row>
      </sheetData>
      <sheetData sheetId="488">
        <row r="8">
          <cell r="B8" t="str">
            <v>Beverly Development &amp; Realties Limited</v>
          </cell>
        </row>
      </sheetData>
      <sheetData sheetId="489">
        <row r="8">
          <cell r="B8" t="str">
            <v>Beverly Development &amp; Realties Limited</v>
          </cell>
        </row>
      </sheetData>
      <sheetData sheetId="490">
        <row r="8">
          <cell r="B8" t="str">
            <v>Beverly Development &amp; Realties Limited</v>
          </cell>
        </row>
      </sheetData>
      <sheetData sheetId="491">
        <row r="8">
          <cell r="B8" t="str">
            <v>Beverly Development &amp; Realties Limited</v>
          </cell>
        </row>
      </sheetData>
      <sheetData sheetId="492">
        <row r="8">
          <cell r="B8" t="str">
            <v>Beverly Development &amp; Realties Limited</v>
          </cell>
        </row>
      </sheetData>
      <sheetData sheetId="493">
        <row r="8">
          <cell r="B8" t="str">
            <v>Beverly Development &amp; Realties Limited</v>
          </cell>
        </row>
      </sheetData>
      <sheetData sheetId="494">
        <row r="8">
          <cell r="B8" t="str">
            <v>Beverly Development &amp; Realties Limited</v>
          </cell>
        </row>
      </sheetData>
      <sheetData sheetId="495">
        <row r="8">
          <cell r="B8" t="str">
            <v>Beverly Development &amp; Realties Limited</v>
          </cell>
        </row>
      </sheetData>
      <sheetData sheetId="496">
        <row r="8">
          <cell r="B8" t="str">
            <v>Beverly Development &amp; Realties Limited</v>
          </cell>
        </row>
      </sheetData>
      <sheetData sheetId="497">
        <row r="8">
          <cell r="B8" t="str">
            <v>Beverly Development &amp; Realties Limited</v>
          </cell>
        </row>
      </sheetData>
      <sheetData sheetId="498">
        <row r="8">
          <cell r="B8" t="str">
            <v>Beverly Development &amp; Realties Limited</v>
          </cell>
        </row>
      </sheetData>
      <sheetData sheetId="499">
        <row r="8">
          <cell r="B8" t="str">
            <v>Beverly Development &amp; Realties Limited</v>
          </cell>
        </row>
      </sheetData>
      <sheetData sheetId="500">
        <row r="8">
          <cell r="B8" t="str">
            <v>Beverly Development &amp; Realties Limited</v>
          </cell>
        </row>
      </sheetData>
      <sheetData sheetId="501">
        <row r="8">
          <cell r="B8" t="str">
            <v>Beverly Development &amp; Realties Limited</v>
          </cell>
        </row>
      </sheetData>
      <sheetData sheetId="502">
        <row r="8">
          <cell r="B8" t="str">
            <v>Beverly Development &amp; Realties Limited</v>
          </cell>
        </row>
      </sheetData>
      <sheetData sheetId="503">
        <row r="8">
          <cell r="B8" t="str">
            <v>Beverly Development &amp; Realties Limited</v>
          </cell>
        </row>
      </sheetData>
      <sheetData sheetId="504">
        <row r="8">
          <cell r="B8" t="str">
            <v>Beverly Development &amp; Realties Limited</v>
          </cell>
        </row>
      </sheetData>
      <sheetData sheetId="505">
        <row r="8">
          <cell r="B8" t="str">
            <v>Beverly Development &amp; Realties Limited</v>
          </cell>
        </row>
      </sheetData>
      <sheetData sheetId="506">
        <row r="8">
          <cell r="B8" t="str">
            <v>Beverly Development &amp; Realties Limited</v>
          </cell>
        </row>
      </sheetData>
      <sheetData sheetId="507">
        <row r="8">
          <cell r="B8" t="str">
            <v>Beverly Development &amp; Realties Limited</v>
          </cell>
        </row>
      </sheetData>
      <sheetData sheetId="508">
        <row r="8">
          <cell r="B8" t="str">
            <v>Beverly Development &amp; Realties Limited</v>
          </cell>
        </row>
      </sheetData>
      <sheetData sheetId="509">
        <row r="8">
          <cell r="B8" t="str">
            <v>Beverly Development &amp; Realties Limited</v>
          </cell>
        </row>
      </sheetData>
      <sheetData sheetId="510"/>
      <sheetData sheetId="511">
        <row r="8">
          <cell r="B8" t="str">
            <v>Beverly Development &amp; Realties Limited</v>
          </cell>
        </row>
      </sheetData>
      <sheetData sheetId="512">
        <row r="8">
          <cell r="B8" t="str">
            <v>Beverly Development &amp; Realties Limited</v>
          </cell>
        </row>
      </sheetData>
      <sheetData sheetId="513">
        <row r="8">
          <cell r="B8" t="str">
            <v>Beverly Development &amp; Realties Limited</v>
          </cell>
        </row>
      </sheetData>
      <sheetData sheetId="514">
        <row r="8">
          <cell r="B8" t="str">
            <v>Beverly Development &amp; Realties Limited</v>
          </cell>
        </row>
      </sheetData>
      <sheetData sheetId="515">
        <row r="8">
          <cell r="B8" t="str">
            <v>Beverly Development &amp; Realties Limited</v>
          </cell>
        </row>
      </sheetData>
      <sheetData sheetId="516">
        <row r="8">
          <cell r="B8" t="str">
            <v>Beverly Development &amp; Realties Limited</v>
          </cell>
        </row>
      </sheetData>
      <sheetData sheetId="517">
        <row r="8">
          <cell r="B8" t="str">
            <v>Beverly Development &amp; Realties Limited</v>
          </cell>
        </row>
      </sheetData>
      <sheetData sheetId="518">
        <row r="8">
          <cell r="B8" t="str">
            <v>Beverly Development &amp; Realties Limited</v>
          </cell>
        </row>
      </sheetData>
      <sheetData sheetId="519">
        <row r="8">
          <cell r="B8" t="str">
            <v>Beverly Development &amp; Realties Limited</v>
          </cell>
        </row>
      </sheetData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/>
      <sheetData sheetId="529" refreshError="1"/>
      <sheetData sheetId="530">
        <row r="8">
          <cell r="B8" t="str">
            <v>Beverly Development &amp; Realties Limited</v>
          </cell>
        </row>
      </sheetData>
      <sheetData sheetId="531"/>
      <sheetData sheetId="532">
        <row r="8">
          <cell r="B8" t="str">
            <v>Beverly Development &amp; Realties Limited</v>
          </cell>
        </row>
      </sheetData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>
        <row r="8">
          <cell r="B8" t="str">
            <v>Beverly Development &amp; Realties Limited</v>
          </cell>
        </row>
      </sheetData>
      <sheetData sheetId="544"/>
      <sheetData sheetId="545">
        <row r="8">
          <cell r="B8" t="str">
            <v>Beverly Development &amp; Realties Limited</v>
          </cell>
        </row>
      </sheetData>
      <sheetData sheetId="546"/>
      <sheetData sheetId="547">
        <row r="8">
          <cell r="B8" t="str">
            <v>Beverly Development &amp; Realties Limited</v>
          </cell>
        </row>
      </sheetData>
      <sheetData sheetId="548">
        <row r="8">
          <cell r="B8" t="str">
            <v>Beverly Development &amp; Realties Limited</v>
          </cell>
        </row>
      </sheetData>
      <sheetData sheetId="549">
        <row r="8">
          <cell r="B8" t="str">
            <v>Beverly Development &amp; Realties Limited</v>
          </cell>
        </row>
      </sheetData>
      <sheetData sheetId="550">
        <row r="8">
          <cell r="B8" t="str">
            <v>Beverly Development &amp; Realties Limited</v>
          </cell>
        </row>
      </sheetData>
      <sheetData sheetId="551">
        <row r="8">
          <cell r="B8" t="str">
            <v>Beverly Development &amp; Realties Limited</v>
          </cell>
        </row>
      </sheetData>
      <sheetData sheetId="552">
        <row r="8">
          <cell r="B8" t="str">
            <v>Beverly Development &amp; Realties Limited</v>
          </cell>
        </row>
      </sheetData>
      <sheetData sheetId="553">
        <row r="8">
          <cell r="B8" t="str">
            <v>Beverly Development &amp; Realties Limited</v>
          </cell>
        </row>
      </sheetData>
      <sheetData sheetId="554">
        <row r="8">
          <cell r="B8" t="str">
            <v>Beverly Development &amp; Realties Limited</v>
          </cell>
        </row>
      </sheetData>
      <sheetData sheetId="555">
        <row r="8">
          <cell r="B8" t="str">
            <v>Beverly Development &amp; Realties Limited</v>
          </cell>
        </row>
      </sheetData>
      <sheetData sheetId="556">
        <row r="8">
          <cell r="B8" t="str">
            <v>Beverly Development &amp; Realties Limited</v>
          </cell>
        </row>
      </sheetData>
      <sheetData sheetId="557"/>
      <sheetData sheetId="558">
        <row r="8">
          <cell r="B8" t="str">
            <v>Beverly Development &amp; Realties Limited</v>
          </cell>
        </row>
      </sheetData>
      <sheetData sheetId="559"/>
      <sheetData sheetId="560"/>
      <sheetData sheetId="561"/>
      <sheetData sheetId="562">
        <row r="8">
          <cell r="B8" t="str">
            <v>Beverly Development &amp; Realties Limited</v>
          </cell>
        </row>
      </sheetData>
      <sheetData sheetId="563">
        <row r="8">
          <cell r="B8" t="str">
            <v>Beverly Development &amp; Realties Limited</v>
          </cell>
        </row>
      </sheetData>
      <sheetData sheetId="564">
        <row r="8">
          <cell r="B8" t="str">
            <v>Beverly Development &amp; Realties Limited</v>
          </cell>
        </row>
      </sheetData>
      <sheetData sheetId="565">
        <row r="8">
          <cell r="B8" t="str">
            <v>Beverly Development &amp; Realties Limited</v>
          </cell>
        </row>
      </sheetData>
      <sheetData sheetId="566">
        <row r="8">
          <cell r="B8" t="str">
            <v>Beverly Development &amp; Realties Limited</v>
          </cell>
        </row>
      </sheetData>
      <sheetData sheetId="567">
        <row r="8">
          <cell r="B8" t="str">
            <v>Beverly Development &amp; Realties Limited</v>
          </cell>
        </row>
      </sheetData>
      <sheetData sheetId="568">
        <row r="8">
          <cell r="B8" t="str">
            <v>Beverly Development &amp; Realties Limited</v>
          </cell>
        </row>
      </sheetData>
      <sheetData sheetId="569">
        <row r="8">
          <cell r="B8" t="str">
            <v>Beverly Development &amp; Realties Limited</v>
          </cell>
        </row>
      </sheetData>
      <sheetData sheetId="570">
        <row r="8">
          <cell r="B8" t="str">
            <v>Beverly Development &amp; Realties Limited</v>
          </cell>
        </row>
      </sheetData>
      <sheetData sheetId="571">
        <row r="8">
          <cell r="B8" t="str">
            <v>Beverly Development &amp; Realties Limited</v>
          </cell>
        </row>
      </sheetData>
      <sheetData sheetId="572">
        <row r="8">
          <cell r="B8" t="str">
            <v>Beverly Development &amp; Realties Limited</v>
          </cell>
        </row>
      </sheetData>
      <sheetData sheetId="573">
        <row r="8">
          <cell r="B8" t="str">
            <v>Beverly Development &amp; Realties Limited</v>
          </cell>
        </row>
      </sheetData>
      <sheetData sheetId="574"/>
      <sheetData sheetId="575">
        <row r="8">
          <cell r="B8" t="str">
            <v>Beverly Development &amp; Realties Limited</v>
          </cell>
        </row>
      </sheetData>
      <sheetData sheetId="576">
        <row r="8">
          <cell r="B8" t="str">
            <v>Beverly Development &amp; Realties Limited</v>
          </cell>
        </row>
      </sheetData>
      <sheetData sheetId="577" refreshError="1"/>
      <sheetData sheetId="578"/>
      <sheetData sheetId="579"/>
      <sheetData sheetId="580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/>
      <sheetData sheetId="594"/>
      <sheetData sheetId="595"/>
      <sheetData sheetId="596"/>
      <sheetData sheetId="597"/>
      <sheetData sheetId="598"/>
      <sheetData sheetId="599"/>
      <sheetData sheetId="600" refreshError="1"/>
      <sheetData sheetId="601">
        <row r="8">
          <cell r="B8" t="str">
            <v>Beverly Development &amp; Realties Limited</v>
          </cell>
        </row>
      </sheetData>
      <sheetData sheetId="602"/>
      <sheetData sheetId="603">
        <row r="8">
          <cell r="B8" t="str">
            <v>Beverly Development &amp; Realties Limited</v>
          </cell>
        </row>
      </sheetData>
      <sheetData sheetId="604">
        <row r="8">
          <cell r="B8" t="str">
            <v>Beverly Development &amp; Realties Limited</v>
          </cell>
        </row>
      </sheetData>
      <sheetData sheetId="605">
        <row r="8">
          <cell r="B8" t="str">
            <v>Beverly Development &amp; Realties Limited</v>
          </cell>
        </row>
      </sheetData>
      <sheetData sheetId="606">
        <row r="8">
          <cell r="B8" t="str">
            <v>Beverly Development &amp; Realties Limited</v>
          </cell>
        </row>
      </sheetData>
      <sheetData sheetId="607"/>
      <sheetData sheetId="608"/>
      <sheetData sheetId="609">
        <row r="8">
          <cell r="B8" t="str">
            <v>Beverly Development &amp; Realties Limited</v>
          </cell>
        </row>
      </sheetData>
      <sheetData sheetId="610">
        <row r="8">
          <cell r="B8" t="str">
            <v>Beverly Development &amp; Realties Limited</v>
          </cell>
        </row>
      </sheetData>
      <sheetData sheetId="611">
        <row r="8">
          <cell r="B8" t="str">
            <v>Beverly Development &amp; Realties Limited</v>
          </cell>
        </row>
      </sheetData>
      <sheetData sheetId="612">
        <row r="8">
          <cell r="B8" t="str">
            <v>Beverly Development &amp; Realties Limited</v>
          </cell>
        </row>
      </sheetData>
      <sheetData sheetId="613">
        <row r="8">
          <cell r="B8" t="str">
            <v>Beverly Development &amp; Realties Limited</v>
          </cell>
        </row>
      </sheetData>
      <sheetData sheetId="614">
        <row r="8">
          <cell r="B8" t="str">
            <v>Beverly Development &amp; Realties Limited</v>
          </cell>
        </row>
      </sheetData>
      <sheetData sheetId="615">
        <row r="8">
          <cell r="B8" t="str">
            <v>Beverly Development &amp; Realties Limited</v>
          </cell>
        </row>
      </sheetData>
      <sheetData sheetId="616">
        <row r="8">
          <cell r="B8" t="str">
            <v>Beverly Development &amp; Realties Limited</v>
          </cell>
        </row>
      </sheetData>
      <sheetData sheetId="617">
        <row r="8">
          <cell r="B8" t="str">
            <v>Beverly Development &amp; Realties Limited</v>
          </cell>
        </row>
      </sheetData>
      <sheetData sheetId="618"/>
      <sheetData sheetId="619">
        <row r="8">
          <cell r="B8" t="str">
            <v>Beverly Development &amp; Realties Limited</v>
          </cell>
        </row>
      </sheetData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>
        <row r="8">
          <cell r="B8" t="str">
            <v>Beverly Development &amp; Realties Limited</v>
          </cell>
        </row>
      </sheetData>
      <sheetData sheetId="638">
        <row r="8">
          <cell r="B8" t="str">
            <v>Beverly Development &amp; Realties Limited</v>
          </cell>
        </row>
      </sheetData>
      <sheetData sheetId="639">
        <row r="8">
          <cell r="B8" t="str">
            <v>Beverly Development &amp; Realties Limited</v>
          </cell>
        </row>
      </sheetData>
      <sheetData sheetId="640"/>
      <sheetData sheetId="641"/>
      <sheetData sheetId="642">
        <row r="8">
          <cell r="B8" t="str">
            <v>Beverly Development &amp; Realties Limited</v>
          </cell>
        </row>
      </sheetData>
      <sheetData sheetId="643">
        <row r="8">
          <cell r="B8" t="str">
            <v>Beverly Development &amp; Realties Limited</v>
          </cell>
        </row>
      </sheetData>
      <sheetData sheetId="644">
        <row r="8">
          <cell r="B8" t="str">
            <v>Beverly Development &amp; Realties Limited</v>
          </cell>
        </row>
      </sheetData>
      <sheetData sheetId="645">
        <row r="8">
          <cell r="B8" t="str">
            <v>Beverly Development &amp; Realties Limited</v>
          </cell>
        </row>
      </sheetData>
      <sheetData sheetId="646">
        <row r="8">
          <cell r="B8" t="str">
            <v>Beverly Development &amp; Realties Limited</v>
          </cell>
        </row>
      </sheetData>
      <sheetData sheetId="647">
        <row r="8">
          <cell r="B8" t="str">
            <v>Beverly Development &amp; Realties Limited</v>
          </cell>
        </row>
      </sheetData>
      <sheetData sheetId="648">
        <row r="8">
          <cell r="B8" t="str">
            <v>Beverly Development &amp; Realties Limited</v>
          </cell>
        </row>
      </sheetData>
      <sheetData sheetId="649">
        <row r="8">
          <cell r="B8" t="str">
            <v>Beverly Development &amp; Realties Limited</v>
          </cell>
        </row>
      </sheetData>
      <sheetData sheetId="650">
        <row r="8">
          <cell r="B8" t="str">
            <v>Beverly Development &amp; Realties Limited</v>
          </cell>
        </row>
      </sheetData>
      <sheetData sheetId="651"/>
      <sheetData sheetId="652">
        <row r="8">
          <cell r="B8" t="str">
            <v>Beverly Development &amp; Realties Limited</v>
          </cell>
        </row>
      </sheetData>
      <sheetData sheetId="653">
        <row r="8">
          <cell r="B8" t="str">
            <v>Beverly Development &amp; Realties Limited</v>
          </cell>
        </row>
      </sheetData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>
        <row r="8">
          <cell r="B8" t="str">
            <v>Beverly Development &amp; Realties Limited</v>
          </cell>
        </row>
      </sheetData>
      <sheetData sheetId="680"/>
      <sheetData sheetId="681"/>
      <sheetData sheetId="682">
        <row r="8">
          <cell r="B8" t="str">
            <v>Beverly Development &amp; Realties Limited</v>
          </cell>
        </row>
      </sheetData>
      <sheetData sheetId="683">
        <row r="8">
          <cell r="B8" t="str">
            <v>Beverly Development &amp; Realties Limited</v>
          </cell>
        </row>
      </sheetData>
      <sheetData sheetId="684">
        <row r="8">
          <cell r="B8" t="str">
            <v>Beverly Development &amp; Realties Limited</v>
          </cell>
        </row>
      </sheetData>
      <sheetData sheetId="685">
        <row r="8">
          <cell r="B8" t="str">
            <v>Beverly Development &amp; Realties Limited</v>
          </cell>
        </row>
      </sheetData>
      <sheetData sheetId="686">
        <row r="8">
          <cell r="B8" t="str">
            <v>Beverly Development &amp; Realties Limited</v>
          </cell>
        </row>
      </sheetData>
      <sheetData sheetId="687">
        <row r="8">
          <cell r="B8" t="str">
            <v>Beverly Development &amp; Realties Limited</v>
          </cell>
        </row>
      </sheetData>
      <sheetData sheetId="688">
        <row r="8">
          <cell r="B8" t="str">
            <v>Beverly Development &amp; Realties Limited</v>
          </cell>
        </row>
      </sheetData>
      <sheetData sheetId="689">
        <row r="8">
          <cell r="B8" t="str">
            <v>Beverly Development &amp; Realties Limited</v>
          </cell>
        </row>
      </sheetData>
      <sheetData sheetId="690"/>
      <sheetData sheetId="691"/>
      <sheetData sheetId="692"/>
      <sheetData sheetId="693"/>
      <sheetData sheetId="694">
        <row r="8">
          <cell r="B8" t="str">
            <v>Beverly Development &amp; Realties Limited</v>
          </cell>
        </row>
      </sheetData>
      <sheetData sheetId="695">
        <row r="8">
          <cell r="B8" t="str">
            <v>Beverly Development &amp; Realties Limited</v>
          </cell>
        </row>
      </sheetData>
      <sheetData sheetId="696">
        <row r="8">
          <cell r="B8" t="str">
            <v>Beverly Development &amp; Realties Limited</v>
          </cell>
        </row>
      </sheetData>
      <sheetData sheetId="697"/>
      <sheetData sheetId="698">
        <row r="8">
          <cell r="B8" t="str">
            <v>Beverly Development &amp; Realties Limited</v>
          </cell>
        </row>
      </sheetData>
      <sheetData sheetId="699">
        <row r="8">
          <cell r="B8" t="str">
            <v>Beverly Development &amp; Realties Limited</v>
          </cell>
        </row>
      </sheetData>
      <sheetData sheetId="700">
        <row r="8">
          <cell r="B8" t="str">
            <v>Beverly Development &amp; Realties Limited</v>
          </cell>
        </row>
      </sheetData>
      <sheetData sheetId="701">
        <row r="8">
          <cell r="B8" t="str">
            <v>Beverly Development &amp; Realties Limited</v>
          </cell>
        </row>
      </sheetData>
      <sheetData sheetId="702">
        <row r="8">
          <cell r="B8" t="str">
            <v>Beverly Development &amp; Realties Limited</v>
          </cell>
        </row>
      </sheetData>
      <sheetData sheetId="703">
        <row r="8">
          <cell r="B8" t="str">
            <v>Beverly Development &amp; Realties Limited</v>
          </cell>
        </row>
      </sheetData>
      <sheetData sheetId="704">
        <row r="8">
          <cell r="B8" t="str">
            <v>Beverly Development &amp; Realties Limited</v>
          </cell>
        </row>
      </sheetData>
      <sheetData sheetId="705">
        <row r="8">
          <cell r="B8" t="str">
            <v>Beverly Development &amp; Realties Limited</v>
          </cell>
        </row>
      </sheetData>
      <sheetData sheetId="706">
        <row r="8">
          <cell r="B8" t="str">
            <v>Beverly Development &amp; Realties Limited</v>
          </cell>
        </row>
      </sheetData>
      <sheetData sheetId="707"/>
      <sheetData sheetId="708"/>
      <sheetData sheetId="709"/>
      <sheetData sheetId="710">
        <row r="8">
          <cell r="B8" t="str">
            <v>Beverly Development &amp; Realties Limited</v>
          </cell>
        </row>
      </sheetData>
      <sheetData sheetId="711">
        <row r="8">
          <cell r="B8" t="str">
            <v>Beverly Development &amp; Realties Limited</v>
          </cell>
        </row>
      </sheetData>
      <sheetData sheetId="712"/>
      <sheetData sheetId="713">
        <row r="8">
          <cell r="B8" t="str">
            <v>Beverly Development &amp; Realties Limited</v>
          </cell>
        </row>
      </sheetData>
      <sheetData sheetId="714"/>
      <sheetData sheetId="715"/>
      <sheetData sheetId="716">
        <row r="8">
          <cell r="B8" t="str">
            <v>Beverly Development &amp; Realties Limited</v>
          </cell>
        </row>
      </sheetData>
      <sheetData sheetId="717">
        <row r="8">
          <cell r="B8" t="str">
            <v>Beverly Development &amp; Realties Limited</v>
          </cell>
        </row>
      </sheetData>
      <sheetData sheetId="718">
        <row r="8">
          <cell r="B8" t="str">
            <v>Beverly Development &amp; Realties Limited</v>
          </cell>
        </row>
      </sheetData>
      <sheetData sheetId="719">
        <row r="8">
          <cell r="B8" t="str">
            <v>Beverly Development &amp; Realties Limited</v>
          </cell>
        </row>
      </sheetData>
      <sheetData sheetId="720">
        <row r="8">
          <cell r="B8" t="str">
            <v>Beverly Development &amp; Realties Limited</v>
          </cell>
        </row>
      </sheetData>
      <sheetData sheetId="721">
        <row r="8">
          <cell r="B8" t="str">
            <v>Beverly Development &amp; Realties Limited</v>
          </cell>
        </row>
      </sheetData>
      <sheetData sheetId="722">
        <row r="8">
          <cell r="B8" t="str">
            <v>Beverly Development &amp; Realties Limited</v>
          </cell>
        </row>
      </sheetData>
      <sheetData sheetId="723">
        <row r="8">
          <cell r="B8" t="str">
            <v>Beverly Development &amp; Realties Limited</v>
          </cell>
        </row>
      </sheetData>
      <sheetData sheetId="724">
        <row r="8">
          <cell r="B8" t="str">
            <v>Beverly Development &amp; Realties Limited</v>
          </cell>
        </row>
      </sheetData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8">
          <cell r="B8" t="str">
            <v>Beverly Development &amp; Realties Limited</v>
          </cell>
        </row>
      </sheetData>
      <sheetData sheetId="735">
        <row r="8">
          <cell r="B8" t="str">
            <v>Beverly Development &amp; Realties Limited</v>
          </cell>
        </row>
      </sheetData>
      <sheetData sheetId="736">
        <row r="8">
          <cell r="B8" t="str">
            <v>Beverly Development &amp; Realties Limited</v>
          </cell>
        </row>
      </sheetData>
      <sheetData sheetId="737">
        <row r="8">
          <cell r="B8" t="str">
            <v>Beverly Development &amp; Realties Limited</v>
          </cell>
        </row>
      </sheetData>
      <sheetData sheetId="738">
        <row r="8">
          <cell r="B8" t="str">
            <v>Beverly Development &amp; Realties Limited</v>
          </cell>
        </row>
      </sheetData>
      <sheetData sheetId="739">
        <row r="8">
          <cell r="B8" t="str">
            <v>Beverly Development &amp; Realties Limited</v>
          </cell>
        </row>
      </sheetData>
      <sheetData sheetId="740">
        <row r="8">
          <cell r="B8" t="str">
            <v>Beverly Development &amp; Realties Limited</v>
          </cell>
        </row>
      </sheetData>
      <sheetData sheetId="741">
        <row r="8">
          <cell r="B8" t="str">
            <v>Beverly Development &amp; Realties Limited</v>
          </cell>
        </row>
      </sheetData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>
        <row r="8">
          <cell r="B8" t="str">
            <v>Beverly Development &amp; Realties Limited</v>
          </cell>
        </row>
      </sheetData>
      <sheetData sheetId="753">
        <row r="8">
          <cell r="B8" t="str">
            <v>Beverly Development &amp; Realties Limited</v>
          </cell>
        </row>
      </sheetData>
      <sheetData sheetId="754">
        <row r="8">
          <cell r="B8" t="str">
            <v>Beverly Development &amp; Realties Limited</v>
          </cell>
        </row>
      </sheetData>
      <sheetData sheetId="755">
        <row r="8">
          <cell r="B8" t="str">
            <v>Beverly Development &amp; Realties Limited</v>
          </cell>
        </row>
      </sheetData>
      <sheetData sheetId="756">
        <row r="8">
          <cell r="B8" t="str">
            <v>Beverly Development &amp; Realties Limited</v>
          </cell>
        </row>
      </sheetData>
      <sheetData sheetId="757">
        <row r="8">
          <cell r="B8" t="str">
            <v>Beverly Development &amp; Realties Limited</v>
          </cell>
        </row>
      </sheetData>
      <sheetData sheetId="758">
        <row r="8">
          <cell r="B8" t="str">
            <v>Beverly Development &amp; Realties Limited</v>
          </cell>
        </row>
      </sheetData>
      <sheetData sheetId="759">
        <row r="8">
          <cell r="B8" t="str">
            <v>Beverly Development &amp; Realties Limited</v>
          </cell>
        </row>
      </sheetData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>
        <row r="8">
          <cell r="B8" t="str">
            <v>Beverly Development &amp; Realties Limited</v>
          </cell>
        </row>
      </sheetData>
      <sheetData sheetId="771">
        <row r="8">
          <cell r="B8" t="str">
            <v>Beverly Development &amp; Realties Limited</v>
          </cell>
        </row>
      </sheetData>
      <sheetData sheetId="772">
        <row r="8">
          <cell r="B8" t="str">
            <v>Beverly Development &amp; Realties Limited</v>
          </cell>
        </row>
      </sheetData>
      <sheetData sheetId="773">
        <row r="8">
          <cell r="B8" t="str">
            <v>Beverly Development &amp; Realties Limited</v>
          </cell>
        </row>
      </sheetData>
      <sheetData sheetId="774">
        <row r="8">
          <cell r="B8" t="str">
            <v>Beverly Development &amp; Realties Limited</v>
          </cell>
        </row>
      </sheetData>
      <sheetData sheetId="775">
        <row r="8">
          <cell r="B8" t="str">
            <v>Beverly Development &amp; Realties Limited</v>
          </cell>
        </row>
      </sheetData>
      <sheetData sheetId="776">
        <row r="8">
          <cell r="B8" t="str">
            <v>Beverly Development &amp; Realties Limited</v>
          </cell>
        </row>
      </sheetData>
      <sheetData sheetId="777">
        <row r="8">
          <cell r="B8" t="str">
            <v>Beverly Development &amp; Realties Limited</v>
          </cell>
        </row>
      </sheetData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>
        <row r="8">
          <cell r="B8" t="str">
            <v>Beverly Development &amp; Realties Limited</v>
          </cell>
        </row>
      </sheetData>
      <sheetData sheetId="791">
        <row r="8">
          <cell r="B8" t="str">
            <v>Beverly Development &amp; Realties Limited</v>
          </cell>
        </row>
      </sheetData>
      <sheetData sheetId="792">
        <row r="8">
          <cell r="B8" t="str">
            <v>Beverly Development &amp; Realties Limited</v>
          </cell>
        </row>
      </sheetData>
      <sheetData sheetId="793">
        <row r="8">
          <cell r="B8" t="str">
            <v>Beverly Development &amp; Realties Limited</v>
          </cell>
        </row>
      </sheetData>
      <sheetData sheetId="794">
        <row r="8">
          <cell r="B8" t="str">
            <v>Beverly Development &amp; Realties Limited</v>
          </cell>
        </row>
      </sheetData>
      <sheetData sheetId="795">
        <row r="8">
          <cell r="B8" t="str">
            <v>Beverly Development &amp; Realties Limited</v>
          </cell>
        </row>
      </sheetData>
      <sheetData sheetId="796">
        <row r="8">
          <cell r="B8" t="str">
            <v>Beverly Development &amp; Realties Limited</v>
          </cell>
        </row>
      </sheetData>
      <sheetData sheetId="797">
        <row r="8">
          <cell r="B8" t="str">
            <v>Beverly Development &amp; Realties Limited</v>
          </cell>
        </row>
      </sheetData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>
        <row r="8">
          <cell r="B8" t="str">
            <v>Beverly Development &amp; Realties Limited</v>
          </cell>
        </row>
      </sheetData>
      <sheetData sheetId="809">
        <row r="8">
          <cell r="B8" t="str">
            <v>Beverly Development &amp; Realties Limited</v>
          </cell>
        </row>
      </sheetData>
      <sheetData sheetId="810">
        <row r="8">
          <cell r="B8" t="str">
            <v>Beverly Development &amp; Realties Limited</v>
          </cell>
        </row>
      </sheetData>
      <sheetData sheetId="811">
        <row r="8">
          <cell r="B8" t="str">
            <v>Beverly Development &amp; Realties Limited</v>
          </cell>
        </row>
      </sheetData>
      <sheetData sheetId="812">
        <row r="8">
          <cell r="B8" t="str">
            <v>Beverly Development &amp; Realties Limited</v>
          </cell>
        </row>
      </sheetData>
      <sheetData sheetId="813">
        <row r="8">
          <cell r="B8" t="str">
            <v>Beverly Development &amp; Realties Limited</v>
          </cell>
        </row>
      </sheetData>
      <sheetData sheetId="814">
        <row r="8">
          <cell r="B8" t="str">
            <v>Beverly Development &amp; Realties Limited</v>
          </cell>
        </row>
      </sheetData>
      <sheetData sheetId="815">
        <row r="8">
          <cell r="B8" t="str">
            <v>Beverly Development &amp; Realties Limited</v>
          </cell>
        </row>
      </sheetData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>
        <row r="8">
          <cell r="B8" t="str">
            <v>Beverly Development &amp; Realties Limited</v>
          </cell>
        </row>
      </sheetData>
      <sheetData sheetId="828">
        <row r="8">
          <cell r="B8" t="str">
            <v>Beverly Development &amp; Realties Limited</v>
          </cell>
        </row>
      </sheetData>
      <sheetData sheetId="829">
        <row r="8">
          <cell r="B8" t="str">
            <v>Beverly Development &amp; Realties Limited</v>
          </cell>
        </row>
      </sheetData>
      <sheetData sheetId="830">
        <row r="8">
          <cell r="B8" t="str">
            <v>Beverly Development &amp; Realties Limited</v>
          </cell>
        </row>
      </sheetData>
      <sheetData sheetId="831">
        <row r="8">
          <cell r="B8" t="str">
            <v>Beverly Development &amp; Realties Limited</v>
          </cell>
        </row>
      </sheetData>
      <sheetData sheetId="832">
        <row r="8">
          <cell r="B8" t="str">
            <v>Beverly Development &amp; Realties Limited</v>
          </cell>
        </row>
      </sheetData>
      <sheetData sheetId="833">
        <row r="8">
          <cell r="B8" t="str">
            <v>Beverly Development &amp; Realties Limited</v>
          </cell>
        </row>
      </sheetData>
      <sheetData sheetId="834">
        <row r="8">
          <cell r="B8" t="str">
            <v>Beverly Development &amp; Realties Limited</v>
          </cell>
        </row>
      </sheetData>
      <sheetData sheetId="835"/>
      <sheetData sheetId="836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>
        <row r="8">
          <cell r="B8" t="str">
            <v>Beverly Development &amp; Realties Limited</v>
          </cell>
        </row>
      </sheetData>
      <sheetData sheetId="858">
        <row r="8">
          <cell r="B8" t="str">
            <v>Beverly Development &amp; Realties Limited</v>
          </cell>
        </row>
      </sheetData>
      <sheetData sheetId="859">
        <row r="8">
          <cell r="B8" t="str">
            <v>Beverly Development &amp; Realties Limited</v>
          </cell>
        </row>
      </sheetData>
      <sheetData sheetId="860">
        <row r="8">
          <cell r="B8" t="str">
            <v>Beverly Development &amp; Realties Limited</v>
          </cell>
        </row>
      </sheetData>
      <sheetData sheetId="861">
        <row r="8">
          <cell r="B8" t="str">
            <v>Beverly Development &amp; Realties Limited</v>
          </cell>
        </row>
      </sheetData>
      <sheetData sheetId="862">
        <row r="8">
          <cell r="B8" t="str">
            <v>Beverly Development &amp; Realties Limited</v>
          </cell>
        </row>
      </sheetData>
      <sheetData sheetId="863">
        <row r="8">
          <cell r="B8" t="str">
            <v>Beverly Development &amp; Realties Limited</v>
          </cell>
        </row>
      </sheetData>
      <sheetData sheetId="864">
        <row r="8">
          <cell r="B8" t="str">
            <v>Beverly Development &amp; Realties Limited</v>
          </cell>
        </row>
      </sheetData>
      <sheetData sheetId="865"/>
      <sheetData sheetId="866"/>
      <sheetData sheetId="867"/>
      <sheetData sheetId="868">
        <row r="8">
          <cell r="B8" t="str">
            <v>Beverly Development &amp; Realties Limited</v>
          </cell>
        </row>
      </sheetData>
      <sheetData sheetId="869"/>
      <sheetData sheetId="870"/>
      <sheetData sheetId="871"/>
      <sheetData sheetId="872">
        <row r="8">
          <cell r="B8" t="str">
            <v>Beverly Development &amp; Realties Limited</v>
          </cell>
        </row>
      </sheetData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/>
      <sheetData sheetId="934"/>
      <sheetData sheetId="935"/>
      <sheetData sheetId="936"/>
      <sheetData sheetId="937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>
        <row r="8">
          <cell r="B8" t="str">
            <v>Beverly Development &amp; Realties Limited</v>
          </cell>
        </row>
      </sheetData>
      <sheetData sheetId="979">
        <row r="8">
          <cell r="B8" t="str">
            <v>Beverly Development &amp; Realties Limited</v>
          </cell>
        </row>
      </sheetData>
      <sheetData sheetId="980">
        <row r="8">
          <cell r="B8" t="str">
            <v>Beverly Development &amp; Realties Limited</v>
          </cell>
        </row>
      </sheetData>
      <sheetData sheetId="981">
        <row r="8">
          <cell r="B8" t="str">
            <v>Beverly Development &amp; Realties Limited</v>
          </cell>
        </row>
      </sheetData>
      <sheetData sheetId="982">
        <row r="8">
          <cell r="B8" t="str">
            <v>Beverly Development &amp; Realties Limited</v>
          </cell>
        </row>
      </sheetData>
      <sheetData sheetId="983">
        <row r="8">
          <cell r="B8" t="str">
            <v>Beverly Development &amp; Realties Limited</v>
          </cell>
        </row>
      </sheetData>
      <sheetData sheetId="984">
        <row r="8">
          <cell r="B8" t="str">
            <v>Beverly Development &amp; Realties Limited</v>
          </cell>
        </row>
      </sheetData>
      <sheetData sheetId="985">
        <row r="8">
          <cell r="B8" t="str">
            <v>Beverly Development &amp; Realties Limited</v>
          </cell>
        </row>
      </sheetData>
      <sheetData sheetId="986"/>
      <sheetData sheetId="987"/>
      <sheetData sheetId="988">
        <row r="8">
          <cell r="B8" t="str">
            <v>Beverly Development &amp; Realties Limited</v>
          </cell>
        </row>
      </sheetData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>
        <row r="8">
          <cell r="B8" t="str">
            <v>Beverly Development &amp; Realties Limited</v>
          </cell>
        </row>
      </sheetData>
      <sheetData sheetId="1007">
        <row r="8">
          <cell r="B8" t="str">
            <v>Beverly Development &amp; Realties Limited</v>
          </cell>
        </row>
      </sheetData>
      <sheetData sheetId="1008">
        <row r="8">
          <cell r="B8" t="str">
            <v>Beverly Development &amp; Realties Limited</v>
          </cell>
        </row>
      </sheetData>
      <sheetData sheetId="1009">
        <row r="8">
          <cell r="B8" t="str">
            <v>Beverly Development &amp; Realties Limited</v>
          </cell>
        </row>
      </sheetData>
      <sheetData sheetId="1010">
        <row r="8">
          <cell r="B8" t="str">
            <v>Beverly Development &amp; Realties Limited</v>
          </cell>
        </row>
      </sheetData>
      <sheetData sheetId="1011">
        <row r="8">
          <cell r="B8" t="str">
            <v>Beverly Development &amp; Realties Limited</v>
          </cell>
        </row>
      </sheetData>
      <sheetData sheetId="1012">
        <row r="8">
          <cell r="B8" t="str">
            <v>Beverly Development &amp; Realties Limited</v>
          </cell>
        </row>
      </sheetData>
      <sheetData sheetId="1013">
        <row r="8">
          <cell r="B8" t="str">
            <v>Beverly Development &amp; Realties Limited</v>
          </cell>
        </row>
      </sheetData>
      <sheetData sheetId="1014">
        <row r="8">
          <cell r="B8" t="str">
            <v>Beverly Development &amp; Realties Limited</v>
          </cell>
        </row>
      </sheetData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/>
      <sheetData sheetId="1022"/>
      <sheetData sheetId="1023"/>
      <sheetData sheetId="1024"/>
      <sheetData sheetId="1025">
        <row r="8">
          <cell r="B8" t="str">
            <v>Beverly Development &amp; Realties Limited</v>
          </cell>
        </row>
      </sheetData>
      <sheetData sheetId="1026">
        <row r="8">
          <cell r="B8" t="str">
            <v>Beverly Development &amp; Realties Limited</v>
          </cell>
        </row>
      </sheetData>
      <sheetData sheetId="1027"/>
      <sheetData sheetId="1028">
        <row r="8">
          <cell r="B8" t="str">
            <v>Beverly Development &amp; Realties Limited</v>
          </cell>
        </row>
      </sheetData>
      <sheetData sheetId="1029">
        <row r="8">
          <cell r="B8" t="str">
            <v>Beverly Development &amp; Realties Limited</v>
          </cell>
        </row>
      </sheetData>
      <sheetData sheetId="1030">
        <row r="8">
          <cell r="B8" t="str">
            <v>Beverly Development &amp; Realties Limited</v>
          </cell>
        </row>
      </sheetData>
      <sheetData sheetId="1031">
        <row r="8">
          <cell r="B8" t="str">
            <v>Beverly Development &amp; Realties Limited</v>
          </cell>
        </row>
      </sheetData>
      <sheetData sheetId="1032">
        <row r="8">
          <cell r="B8" t="str">
            <v>Beverly Development &amp; Realties Limited</v>
          </cell>
        </row>
      </sheetData>
      <sheetData sheetId="1033">
        <row r="8">
          <cell r="B8" t="str">
            <v>Beverly Development &amp; Realties Limited</v>
          </cell>
        </row>
      </sheetData>
      <sheetData sheetId="1034">
        <row r="8">
          <cell r="B8" t="str">
            <v>Beverly Development &amp; Realties Limited</v>
          </cell>
        </row>
      </sheetData>
      <sheetData sheetId="1035">
        <row r="8">
          <cell r="B8" t="str">
            <v>Beverly Development &amp; Realties Limited</v>
          </cell>
        </row>
      </sheetData>
      <sheetData sheetId="1036"/>
      <sheetData sheetId="1037"/>
      <sheetData sheetId="1038"/>
      <sheetData sheetId="1039">
        <row r="8">
          <cell r="B8" t="str">
            <v>Beverly Development &amp; Realties Limited</v>
          </cell>
        </row>
      </sheetData>
      <sheetData sheetId="1040"/>
      <sheetData sheetId="1041">
        <row r="8">
          <cell r="B8" t="str">
            <v>Beverly Development &amp; Realties Limited</v>
          </cell>
        </row>
      </sheetData>
      <sheetData sheetId="1042"/>
      <sheetData sheetId="1043"/>
      <sheetData sheetId="1044"/>
      <sheetData sheetId="1045">
        <row r="8">
          <cell r="B8" t="str">
            <v>Beverly Development &amp; Realties Limited</v>
          </cell>
        </row>
      </sheetData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>
        <row r="8">
          <cell r="B8" t="str">
            <v>Beverly Development &amp; Realties Limited</v>
          </cell>
        </row>
      </sheetData>
      <sheetData sheetId="1080"/>
      <sheetData sheetId="1081">
        <row r="8">
          <cell r="B8" t="str">
            <v>Beverly Development &amp; Realties Limited</v>
          </cell>
        </row>
      </sheetData>
      <sheetData sheetId="1082">
        <row r="8">
          <cell r="B8" t="str">
            <v>Beverly Development &amp; Realties Limited</v>
          </cell>
        </row>
      </sheetData>
      <sheetData sheetId="1083">
        <row r="8">
          <cell r="B8" t="str">
            <v>Beverly Development &amp; Realties Limited</v>
          </cell>
        </row>
      </sheetData>
      <sheetData sheetId="1084">
        <row r="8">
          <cell r="B8" t="str">
            <v>Beverly Development &amp; Realties Limited</v>
          </cell>
        </row>
      </sheetData>
      <sheetData sheetId="1085">
        <row r="8">
          <cell r="B8" t="str">
            <v>Beverly Development &amp; Realties Limited</v>
          </cell>
        </row>
      </sheetData>
      <sheetData sheetId="1086">
        <row r="8">
          <cell r="B8" t="str">
            <v>Beverly Development &amp; Realties Limited</v>
          </cell>
        </row>
      </sheetData>
      <sheetData sheetId="1087">
        <row r="8">
          <cell r="B8" t="str">
            <v>Beverly Development &amp; Realties Limited</v>
          </cell>
        </row>
      </sheetData>
      <sheetData sheetId="1088">
        <row r="8">
          <cell r="B8" t="str">
            <v>Beverly Development &amp; Realties Limited</v>
          </cell>
        </row>
      </sheetData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>
        <row r="8">
          <cell r="B8" t="str">
            <v>Beverly Development &amp; Realties Limited</v>
          </cell>
        </row>
      </sheetData>
      <sheetData sheetId="1116"/>
      <sheetData sheetId="1117">
        <row r="8">
          <cell r="B8" t="str">
            <v>Beverly Development &amp; Realties Limited</v>
          </cell>
        </row>
      </sheetData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>
        <row r="8">
          <cell r="B8" t="str">
            <v>Beverly Development &amp; Realties Limited</v>
          </cell>
        </row>
      </sheetData>
      <sheetData sheetId="1135"/>
      <sheetData sheetId="1136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>
        <row r="8">
          <cell r="B8" t="str">
            <v>Beverly Development &amp; Realties Limited</v>
          </cell>
        </row>
      </sheetData>
      <sheetData sheetId="1175">
        <row r="8">
          <cell r="B8" t="str">
            <v>Beverly Development &amp; Realties Limited</v>
          </cell>
        </row>
      </sheetData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>
        <row r="8">
          <cell r="B8" t="str">
            <v>Beverly Development &amp; Realties Limited</v>
          </cell>
        </row>
      </sheetData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>
        <row r="8">
          <cell r="B8" t="str">
            <v>Beverly Development &amp; Realties Limited</v>
          </cell>
        </row>
      </sheetData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>
        <row r="8">
          <cell r="B8" t="str">
            <v>Beverly Development &amp; Realties Limited</v>
          </cell>
        </row>
      </sheetData>
      <sheetData sheetId="1224"/>
      <sheetData sheetId="1225">
        <row r="8">
          <cell r="B8" t="str">
            <v>Beverly Development &amp; Realties Limited</v>
          </cell>
        </row>
      </sheetData>
      <sheetData sheetId="1226">
        <row r="8">
          <cell r="B8" t="str">
            <v>Beverly Development &amp; Realties Limited</v>
          </cell>
        </row>
      </sheetData>
      <sheetData sheetId="1227">
        <row r="8">
          <cell r="B8" t="str">
            <v>Beverly Development &amp; Realties Limited</v>
          </cell>
        </row>
      </sheetData>
      <sheetData sheetId="1228">
        <row r="8">
          <cell r="B8" t="str">
            <v>Beverly Development &amp; Realties Limited</v>
          </cell>
        </row>
      </sheetData>
      <sheetData sheetId="1229">
        <row r="8">
          <cell r="B8" t="str">
            <v>Beverly Development &amp; Realties Limited</v>
          </cell>
        </row>
      </sheetData>
      <sheetData sheetId="1230">
        <row r="8">
          <cell r="B8" t="str">
            <v>Beverly Development &amp; Realties Limited</v>
          </cell>
        </row>
      </sheetData>
      <sheetData sheetId="1231">
        <row r="8">
          <cell r="B8" t="str">
            <v>Beverly Development &amp; Realties Limited</v>
          </cell>
        </row>
      </sheetData>
      <sheetData sheetId="1232">
        <row r="8">
          <cell r="B8" t="str">
            <v>Beverly Development &amp; Realties Limited</v>
          </cell>
        </row>
      </sheetData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 refreshError="1"/>
      <sheetData sheetId="1259" refreshError="1"/>
      <sheetData sheetId="1260" refreshError="1"/>
      <sheetData sheetId="1261" refreshError="1"/>
      <sheetData sheetId="1262"/>
      <sheetData sheetId="1263"/>
      <sheetData sheetId="1264">
        <row r="8">
          <cell r="B8" t="str">
            <v>Beverly Development &amp; Realties Limited</v>
          </cell>
        </row>
      </sheetData>
      <sheetData sheetId="1265"/>
      <sheetData sheetId="1266">
        <row r="8">
          <cell r="B8" t="str">
            <v>Beverly Development &amp; Realties Limited</v>
          </cell>
        </row>
      </sheetData>
      <sheetData sheetId="1267">
        <row r="8">
          <cell r="B8" t="str">
            <v>Beverly Development &amp; Realties Limited</v>
          </cell>
        </row>
      </sheetData>
      <sheetData sheetId="1268">
        <row r="8">
          <cell r="B8" t="str">
            <v>Beverly Development &amp; Realties Limited</v>
          </cell>
        </row>
      </sheetData>
      <sheetData sheetId="1269">
        <row r="8">
          <cell r="B8" t="str">
            <v>Beverly Development &amp; Realties Limited</v>
          </cell>
        </row>
      </sheetData>
      <sheetData sheetId="1270">
        <row r="8">
          <cell r="B8" t="str">
            <v>Beverly Development &amp; Realties Limited</v>
          </cell>
        </row>
      </sheetData>
      <sheetData sheetId="1271">
        <row r="8">
          <cell r="B8" t="str">
            <v>Beverly Development &amp; Realties Limited</v>
          </cell>
        </row>
      </sheetData>
      <sheetData sheetId="1272">
        <row r="8">
          <cell r="B8" t="str">
            <v>Beverly Development &amp; Realties Limited</v>
          </cell>
        </row>
      </sheetData>
      <sheetData sheetId="1273">
        <row r="8">
          <cell r="B8" t="str">
            <v>Beverly Development &amp; Realties Limited</v>
          </cell>
        </row>
      </sheetData>
      <sheetData sheetId="1274">
        <row r="8">
          <cell r="B8" t="str">
            <v>Beverly Development &amp; Realties Limited</v>
          </cell>
        </row>
      </sheetData>
      <sheetData sheetId="1275">
        <row r="8">
          <cell r="B8" t="str">
            <v>Beverly Development &amp; Realties Limited</v>
          </cell>
        </row>
      </sheetData>
      <sheetData sheetId="1276">
        <row r="8">
          <cell r="B8" t="str">
            <v>Beverly Development &amp; Realties Limited</v>
          </cell>
        </row>
      </sheetData>
      <sheetData sheetId="1277">
        <row r="8">
          <cell r="B8" t="str">
            <v>Beverly Development &amp; Realties Limited</v>
          </cell>
        </row>
      </sheetData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>
        <row r="8">
          <cell r="B8" t="str">
            <v>Beverly Development &amp; Realties Limited</v>
          </cell>
        </row>
      </sheetData>
      <sheetData sheetId="1294"/>
      <sheetData sheetId="1295"/>
      <sheetData sheetId="1296"/>
      <sheetData sheetId="1297">
        <row r="8">
          <cell r="B8" t="str">
            <v>Beverly Development &amp; Realties Limited</v>
          </cell>
        </row>
      </sheetData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>
        <row r="8">
          <cell r="B8" t="str">
            <v>Beverly Development &amp; Realties Limited</v>
          </cell>
        </row>
      </sheetData>
      <sheetData sheetId="1314"/>
      <sheetData sheetId="1315">
        <row r="8">
          <cell r="B8" t="str">
            <v>Beverly Development &amp; Realties Limited</v>
          </cell>
        </row>
      </sheetData>
      <sheetData sheetId="1316">
        <row r="8">
          <cell r="B8" t="str">
            <v>Beverly Development &amp; Realties Limited</v>
          </cell>
        </row>
      </sheetData>
      <sheetData sheetId="1317">
        <row r="8">
          <cell r="B8" t="str">
            <v>Beverly Development &amp; Realties Limited</v>
          </cell>
        </row>
      </sheetData>
      <sheetData sheetId="1318">
        <row r="8">
          <cell r="B8" t="str">
            <v>Beverly Development &amp; Realties Limited</v>
          </cell>
        </row>
      </sheetData>
      <sheetData sheetId="1319">
        <row r="8">
          <cell r="B8" t="str">
            <v>Beverly Development &amp; Realties Limited</v>
          </cell>
        </row>
      </sheetData>
      <sheetData sheetId="1320">
        <row r="8">
          <cell r="B8" t="str">
            <v>Beverly Development &amp; Realties Limited</v>
          </cell>
        </row>
      </sheetData>
      <sheetData sheetId="1321">
        <row r="8">
          <cell r="B8" t="str">
            <v>Beverly Development &amp; Realties Limited</v>
          </cell>
        </row>
      </sheetData>
      <sheetData sheetId="1322">
        <row r="8">
          <cell r="B8" t="str">
            <v>Beverly Development &amp; Realties Limited</v>
          </cell>
        </row>
      </sheetData>
      <sheetData sheetId="1323">
        <row r="8">
          <cell r="B8" t="str">
            <v>Beverly Development &amp; Realties Limited</v>
          </cell>
        </row>
      </sheetData>
      <sheetData sheetId="1324">
        <row r="8">
          <cell r="B8" t="str">
            <v>Beverly Development &amp; Realties Limited</v>
          </cell>
        </row>
      </sheetData>
      <sheetData sheetId="1325">
        <row r="8">
          <cell r="B8" t="str">
            <v>Beverly Development &amp; Realties Limited</v>
          </cell>
        </row>
      </sheetData>
      <sheetData sheetId="1326">
        <row r="8">
          <cell r="B8" t="str">
            <v>Beverly Development &amp; Realties Limited</v>
          </cell>
        </row>
      </sheetData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>
        <row r="8">
          <cell r="B8" t="str">
            <v>Beverly Development &amp; Realties Limited</v>
          </cell>
        </row>
      </sheetData>
      <sheetData sheetId="1343"/>
      <sheetData sheetId="1344"/>
      <sheetData sheetId="1345"/>
      <sheetData sheetId="1346">
        <row r="8">
          <cell r="B8" t="str">
            <v>Beverly Development &amp; Realties Limited</v>
          </cell>
        </row>
      </sheetData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>
        <row r="8">
          <cell r="B8" t="str">
            <v>Beverly Development &amp; Realties Limited</v>
          </cell>
        </row>
      </sheetData>
      <sheetData sheetId="1365">
        <row r="8">
          <cell r="B8" t="str">
            <v>Beverly Development &amp; Realties Limited</v>
          </cell>
        </row>
      </sheetData>
      <sheetData sheetId="1366">
        <row r="8">
          <cell r="B8" t="str">
            <v>Beverly Development &amp; Realties Limited</v>
          </cell>
        </row>
      </sheetData>
      <sheetData sheetId="1367">
        <row r="8">
          <cell r="B8" t="str">
            <v>Beverly Development &amp; Realties Limited</v>
          </cell>
        </row>
      </sheetData>
      <sheetData sheetId="1368">
        <row r="8">
          <cell r="B8" t="str">
            <v>Beverly Development &amp; Realties Limited</v>
          </cell>
        </row>
      </sheetData>
      <sheetData sheetId="1369">
        <row r="8">
          <cell r="B8" t="str">
            <v>Beverly Development &amp; Realties Limited</v>
          </cell>
        </row>
      </sheetData>
      <sheetData sheetId="1370">
        <row r="8">
          <cell r="B8" t="str">
            <v>Beverly Development &amp; Realties Limited</v>
          </cell>
        </row>
      </sheetData>
      <sheetData sheetId="1371">
        <row r="8">
          <cell r="B8" t="str">
            <v>Beverly Development &amp; Realties Limited</v>
          </cell>
        </row>
      </sheetData>
      <sheetData sheetId="1372">
        <row r="8">
          <cell r="B8" t="str">
            <v>Beverly Development &amp; Realties Limited</v>
          </cell>
        </row>
      </sheetData>
      <sheetData sheetId="1373">
        <row r="8">
          <cell r="B8" t="str">
            <v>Beverly Development &amp; Realties Limited</v>
          </cell>
        </row>
      </sheetData>
      <sheetData sheetId="1374">
        <row r="8">
          <cell r="B8" t="str">
            <v>Beverly Development &amp; Realties Limited</v>
          </cell>
        </row>
      </sheetData>
      <sheetData sheetId="1375">
        <row r="8">
          <cell r="B8" t="str">
            <v>Beverly Development &amp; Realties Limited</v>
          </cell>
        </row>
      </sheetData>
      <sheetData sheetId="1376"/>
      <sheetData sheetId="1377"/>
      <sheetData sheetId="1378"/>
      <sheetData sheetId="1379"/>
      <sheetData sheetId="1380"/>
      <sheetData sheetId="1381"/>
      <sheetData sheetId="1382">
        <row r="8">
          <cell r="B8" t="str">
            <v>Beverly Development &amp; Realties Limited</v>
          </cell>
        </row>
      </sheetData>
      <sheetData sheetId="1383">
        <row r="8">
          <cell r="B8" t="str">
            <v>Beverly Development &amp; Realties Limited</v>
          </cell>
        </row>
      </sheetData>
      <sheetData sheetId="1384">
        <row r="8">
          <cell r="B8" t="str">
            <v>Beverly Development &amp; Realties Limited</v>
          </cell>
        </row>
      </sheetData>
      <sheetData sheetId="1385">
        <row r="8">
          <cell r="B8" t="str">
            <v>Beverly Development &amp; Realties Limited</v>
          </cell>
        </row>
      </sheetData>
      <sheetData sheetId="1386">
        <row r="8">
          <cell r="B8" t="str">
            <v>Beverly Development &amp; Realties Limited</v>
          </cell>
        </row>
      </sheetData>
      <sheetData sheetId="1387">
        <row r="8">
          <cell r="B8" t="str">
            <v>Beverly Development &amp; Realties Limited</v>
          </cell>
        </row>
      </sheetData>
      <sheetData sheetId="1388">
        <row r="8">
          <cell r="B8" t="str">
            <v>Beverly Development &amp; Realties Limited</v>
          </cell>
        </row>
      </sheetData>
      <sheetData sheetId="1389">
        <row r="8">
          <cell r="B8" t="str">
            <v>Beverly Development &amp; Realties Limited</v>
          </cell>
        </row>
      </sheetData>
      <sheetData sheetId="1390">
        <row r="8">
          <cell r="B8" t="str">
            <v>Beverly Development &amp; Realties Limited</v>
          </cell>
        </row>
      </sheetData>
      <sheetData sheetId="1391">
        <row r="8">
          <cell r="B8" t="str">
            <v>Beverly Development &amp; Realties Limited</v>
          </cell>
        </row>
      </sheetData>
      <sheetData sheetId="1392">
        <row r="8">
          <cell r="B8" t="str">
            <v>Beverly Development &amp; Realties Limited</v>
          </cell>
        </row>
      </sheetData>
      <sheetData sheetId="1393">
        <row r="8">
          <cell r="B8" t="str">
            <v>Beverly Development &amp; Realties Limited</v>
          </cell>
        </row>
      </sheetData>
      <sheetData sheetId="1394"/>
      <sheetData sheetId="1395"/>
      <sheetData sheetId="1396"/>
      <sheetData sheetId="1397"/>
      <sheetData sheetId="1398"/>
      <sheetData sheetId="1399"/>
      <sheetData sheetId="1400">
        <row r="8">
          <cell r="B8" t="str">
            <v>Beverly Development &amp; Realties Limited</v>
          </cell>
        </row>
      </sheetData>
      <sheetData sheetId="1401">
        <row r="8">
          <cell r="B8" t="str">
            <v>Beverly Development &amp; Realties Limited</v>
          </cell>
        </row>
      </sheetData>
      <sheetData sheetId="1402">
        <row r="8">
          <cell r="B8" t="str">
            <v>Beverly Development &amp; Realties Limited</v>
          </cell>
        </row>
      </sheetData>
      <sheetData sheetId="1403">
        <row r="8">
          <cell r="B8" t="str">
            <v>Beverly Development &amp; Realties Limited</v>
          </cell>
        </row>
      </sheetData>
      <sheetData sheetId="1404">
        <row r="8">
          <cell r="B8" t="str">
            <v>Beverly Development &amp; Realties Limited</v>
          </cell>
        </row>
      </sheetData>
      <sheetData sheetId="1405">
        <row r="8">
          <cell r="B8" t="str">
            <v>Beverly Development &amp; Realties Limited</v>
          </cell>
        </row>
      </sheetData>
      <sheetData sheetId="1406">
        <row r="8">
          <cell r="B8" t="str">
            <v>Beverly Development &amp; Realties Limited</v>
          </cell>
        </row>
      </sheetData>
      <sheetData sheetId="1407">
        <row r="8">
          <cell r="B8" t="str">
            <v>Beverly Development &amp; Realties Limited</v>
          </cell>
        </row>
      </sheetData>
      <sheetData sheetId="1408">
        <row r="8">
          <cell r="B8" t="str">
            <v>Beverly Development &amp; Realties Limited</v>
          </cell>
        </row>
      </sheetData>
      <sheetData sheetId="1409">
        <row r="8">
          <cell r="B8" t="str">
            <v>Beverly Development &amp; Realties Limited</v>
          </cell>
        </row>
      </sheetData>
      <sheetData sheetId="1410">
        <row r="8">
          <cell r="B8" t="str">
            <v>Beverly Development &amp; Realties Limited</v>
          </cell>
        </row>
      </sheetData>
      <sheetData sheetId="1411">
        <row r="8">
          <cell r="B8" t="str">
            <v>Beverly Development &amp; Realties Limited</v>
          </cell>
        </row>
      </sheetData>
      <sheetData sheetId="1412"/>
      <sheetData sheetId="1413"/>
      <sheetData sheetId="1414"/>
      <sheetData sheetId="1415"/>
      <sheetData sheetId="1416"/>
      <sheetData sheetId="1417"/>
      <sheetData sheetId="1418">
        <row r="8">
          <cell r="B8" t="str">
            <v>Beverly Development &amp; Realties Limited</v>
          </cell>
        </row>
      </sheetData>
      <sheetData sheetId="1419">
        <row r="8">
          <cell r="B8" t="str">
            <v>Beverly Development &amp; Realties Limited</v>
          </cell>
        </row>
      </sheetData>
      <sheetData sheetId="1420">
        <row r="8">
          <cell r="B8" t="str">
            <v>Beverly Development &amp; Realties Limited</v>
          </cell>
        </row>
      </sheetData>
      <sheetData sheetId="1421">
        <row r="8">
          <cell r="B8" t="str">
            <v>Beverly Development &amp; Realties Limited</v>
          </cell>
        </row>
      </sheetData>
      <sheetData sheetId="1422">
        <row r="8">
          <cell r="B8" t="str">
            <v>Beverly Development &amp; Realties Limited</v>
          </cell>
        </row>
      </sheetData>
      <sheetData sheetId="1423">
        <row r="8">
          <cell r="B8" t="str">
            <v>Beverly Development &amp; Realties Limited</v>
          </cell>
        </row>
      </sheetData>
      <sheetData sheetId="1424">
        <row r="8">
          <cell r="B8" t="str">
            <v>Beverly Development &amp; Realties Limited</v>
          </cell>
        </row>
      </sheetData>
      <sheetData sheetId="1425">
        <row r="8">
          <cell r="B8" t="str">
            <v>Beverly Development &amp; Realties Limited</v>
          </cell>
        </row>
      </sheetData>
      <sheetData sheetId="1426">
        <row r="8">
          <cell r="B8" t="str">
            <v>Beverly Development &amp; Realties Limited</v>
          </cell>
        </row>
      </sheetData>
      <sheetData sheetId="1427">
        <row r="8">
          <cell r="B8" t="str">
            <v>Beverly Development &amp; Realties Limited</v>
          </cell>
        </row>
      </sheetData>
      <sheetData sheetId="1428">
        <row r="8">
          <cell r="B8" t="str">
            <v>Beverly Development &amp; Realties Limited</v>
          </cell>
        </row>
      </sheetData>
      <sheetData sheetId="1429">
        <row r="8">
          <cell r="B8" t="str">
            <v>Beverly Development &amp; Realties Limited</v>
          </cell>
        </row>
      </sheetData>
      <sheetData sheetId="1430"/>
      <sheetData sheetId="1431"/>
      <sheetData sheetId="1432"/>
      <sheetData sheetId="1433"/>
      <sheetData sheetId="1434"/>
      <sheetData sheetId="1435"/>
      <sheetData sheetId="1436">
        <row r="8">
          <cell r="B8" t="str">
            <v>Beverly Development &amp; Realties Limited</v>
          </cell>
        </row>
      </sheetData>
      <sheetData sheetId="1437">
        <row r="8">
          <cell r="B8" t="str">
            <v>Beverly Development &amp; Realties Limited</v>
          </cell>
        </row>
      </sheetData>
      <sheetData sheetId="1438">
        <row r="8">
          <cell r="B8" t="str">
            <v>Beverly Development &amp; Realties Limited</v>
          </cell>
        </row>
      </sheetData>
      <sheetData sheetId="1439">
        <row r="8">
          <cell r="B8" t="str">
            <v>Beverly Development &amp; Realties Limited</v>
          </cell>
        </row>
      </sheetData>
      <sheetData sheetId="1440">
        <row r="8">
          <cell r="B8" t="str">
            <v>Beverly Development &amp; Realties Limited</v>
          </cell>
        </row>
      </sheetData>
      <sheetData sheetId="1441">
        <row r="8">
          <cell r="B8" t="str">
            <v>Beverly Development &amp; Realties Limited</v>
          </cell>
        </row>
      </sheetData>
      <sheetData sheetId="1442">
        <row r="8">
          <cell r="B8" t="str">
            <v>Beverly Development &amp; Realties Limited</v>
          </cell>
        </row>
      </sheetData>
      <sheetData sheetId="1443">
        <row r="8">
          <cell r="B8" t="str">
            <v>Beverly Development &amp; Realties Limited</v>
          </cell>
        </row>
      </sheetData>
      <sheetData sheetId="1444">
        <row r="8">
          <cell r="B8" t="str">
            <v>Beverly Development &amp; Realties Limited</v>
          </cell>
        </row>
      </sheetData>
      <sheetData sheetId="1445">
        <row r="8">
          <cell r="B8" t="str">
            <v>Beverly Development &amp; Realties Limited</v>
          </cell>
        </row>
      </sheetData>
      <sheetData sheetId="1446">
        <row r="8">
          <cell r="B8" t="str">
            <v>Beverly Development &amp; Realties Limited</v>
          </cell>
        </row>
      </sheetData>
      <sheetData sheetId="1447">
        <row r="8">
          <cell r="B8" t="str">
            <v>Beverly Development &amp; Realties Limited</v>
          </cell>
        </row>
      </sheetData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>
        <row r="8">
          <cell r="B8" t="str">
            <v>Beverly Development &amp; Realties Limited</v>
          </cell>
        </row>
      </sheetData>
      <sheetData sheetId="1457">
        <row r="8">
          <cell r="B8" t="str">
            <v>Beverly Development &amp; Realties Limited</v>
          </cell>
        </row>
      </sheetData>
      <sheetData sheetId="1458">
        <row r="8">
          <cell r="B8" t="str">
            <v>Beverly Development &amp; Realties Limited</v>
          </cell>
        </row>
      </sheetData>
      <sheetData sheetId="1459">
        <row r="8">
          <cell r="B8" t="str">
            <v>Beverly Development &amp; Realties Limited</v>
          </cell>
        </row>
      </sheetData>
      <sheetData sheetId="1460">
        <row r="8">
          <cell r="B8" t="str">
            <v>Beverly Development &amp; Realties Limited</v>
          </cell>
        </row>
      </sheetData>
      <sheetData sheetId="1461">
        <row r="8">
          <cell r="B8" t="str">
            <v>Beverly Development &amp; Realties Limited</v>
          </cell>
        </row>
      </sheetData>
      <sheetData sheetId="1462">
        <row r="8">
          <cell r="B8" t="str">
            <v>Beverly Development &amp; Realties Limited</v>
          </cell>
        </row>
      </sheetData>
      <sheetData sheetId="1463">
        <row r="8">
          <cell r="B8" t="str">
            <v>Beverly Development &amp; Realties Limited</v>
          </cell>
        </row>
      </sheetData>
      <sheetData sheetId="1464">
        <row r="8">
          <cell r="B8" t="str">
            <v>Beverly Development &amp; Realties Limited</v>
          </cell>
        </row>
      </sheetData>
      <sheetData sheetId="1465">
        <row r="8">
          <cell r="B8" t="str">
            <v>Beverly Development &amp; Realties Limited</v>
          </cell>
        </row>
      </sheetData>
      <sheetData sheetId="1466">
        <row r="8">
          <cell r="B8" t="str">
            <v>Beverly Development &amp; Realties Limited</v>
          </cell>
        </row>
      </sheetData>
      <sheetData sheetId="1467">
        <row r="8">
          <cell r="B8" t="str">
            <v>Beverly Development &amp; Realties Limited</v>
          </cell>
        </row>
      </sheetData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>
        <row r="8">
          <cell r="B8" t="str">
            <v>Beverly Development &amp; Realties Limited</v>
          </cell>
        </row>
      </sheetData>
      <sheetData sheetId="1477">
        <row r="8">
          <cell r="B8" t="str">
            <v>Beverly Development &amp; Realties Limited</v>
          </cell>
        </row>
      </sheetData>
      <sheetData sheetId="1478">
        <row r="8">
          <cell r="B8" t="str">
            <v>Beverly Development &amp; Realties Limited</v>
          </cell>
        </row>
      </sheetData>
      <sheetData sheetId="1479">
        <row r="8">
          <cell r="B8" t="str">
            <v>Beverly Development &amp; Realties Limited</v>
          </cell>
        </row>
      </sheetData>
      <sheetData sheetId="1480">
        <row r="8">
          <cell r="B8" t="str">
            <v>Beverly Development &amp; Realties Limited</v>
          </cell>
        </row>
      </sheetData>
      <sheetData sheetId="1481">
        <row r="8">
          <cell r="B8" t="str">
            <v>Beverly Development &amp; Realties Limited</v>
          </cell>
        </row>
      </sheetData>
      <sheetData sheetId="1482">
        <row r="8">
          <cell r="B8" t="str">
            <v>Beverly Development &amp; Realties Limited</v>
          </cell>
        </row>
      </sheetData>
      <sheetData sheetId="1483">
        <row r="8">
          <cell r="B8" t="str">
            <v>Beverly Development &amp; Realties Limited</v>
          </cell>
        </row>
      </sheetData>
      <sheetData sheetId="1484">
        <row r="8">
          <cell r="B8" t="str">
            <v>Beverly Development &amp; Realties Limited</v>
          </cell>
        </row>
      </sheetData>
      <sheetData sheetId="1485">
        <row r="8">
          <cell r="B8" t="str">
            <v>Beverly Development &amp; Realties Limited</v>
          </cell>
        </row>
      </sheetData>
      <sheetData sheetId="1486">
        <row r="8">
          <cell r="B8" t="str">
            <v>Beverly Development &amp; Realties Limited</v>
          </cell>
        </row>
      </sheetData>
      <sheetData sheetId="1487">
        <row r="8">
          <cell r="B8" t="str">
            <v>Beverly Development &amp; Realties Limited</v>
          </cell>
        </row>
      </sheetData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>
        <row r="8">
          <cell r="B8" t="str">
            <v>Beverly Development &amp; Realties Limited</v>
          </cell>
        </row>
      </sheetData>
      <sheetData sheetId="1499">
        <row r="8">
          <cell r="B8" t="str">
            <v>Beverly Development &amp; Realties Limited</v>
          </cell>
        </row>
      </sheetData>
      <sheetData sheetId="1500">
        <row r="8">
          <cell r="B8" t="str">
            <v>Beverly Development &amp; Realties Limited</v>
          </cell>
        </row>
      </sheetData>
      <sheetData sheetId="1501">
        <row r="8">
          <cell r="B8" t="str">
            <v>Beverly Development &amp; Realties Limited</v>
          </cell>
        </row>
      </sheetData>
      <sheetData sheetId="1502">
        <row r="8">
          <cell r="B8" t="str">
            <v>Beverly Development &amp; Realties Limited</v>
          </cell>
        </row>
      </sheetData>
      <sheetData sheetId="1503">
        <row r="8">
          <cell r="B8" t="str">
            <v>Beverly Development &amp; Realties Limited</v>
          </cell>
        </row>
      </sheetData>
      <sheetData sheetId="1504">
        <row r="8">
          <cell r="B8" t="str">
            <v>Beverly Development &amp; Realties Limited</v>
          </cell>
        </row>
      </sheetData>
      <sheetData sheetId="1505">
        <row r="8">
          <cell r="B8" t="str">
            <v>Beverly Development &amp; Realties Limited</v>
          </cell>
        </row>
      </sheetData>
      <sheetData sheetId="1506">
        <row r="8">
          <cell r="B8" t="str">
            <v>Beverly Development &amp; Realties Limited</v>
          </cell>
        </row>
      </sheetData>
      <sheetData sheetId="1507">
        <row r="8">
          <cell r="B8" t="str">
            <v>Beverly Development &amp; Realties Limited</v>
          </cell>
        </row>
      </sheetData>
      <sheetData sheetId="1508">
        <row r="8">
          <cell r="B8" t="str">
            <v>Beverly Development &amp; Realties Limited</v>
          </cell>
        </row>
      </sheetData>
      <sheetData sheetId="1509">
        <row r="8">
          <cell r="B8" t="str">
            <v>Beverly Development &amp; Realties Limited</v>
          </cell>
        </row>
      </sheetData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>
        <row r="8">
          <cell r="B8" t="str">
            <v>Beverly Development &amp; Realties Limited</v>
          </cell>
        </row>
      </sheetData>
      <sheetData sheetId="1527">
        <row r="8">
          <cell r="B8" t="str">
            <v>Beverly Development &amp; Realties Limited</v>
          </cell>
        </row>
      </sheetData>
      <sheetData sheetId="1528">
        <row r="8">
          <cell r="B8" t="str">
            <v>Beverly Development &amp; Realties Limited</v>
          </cell>
        </row>
      </sheetData>
      <sheetData sheetId="1529">
        <row r="8">
          <cell r="B8" t="str">
            <v>Beverly Development &amp; Realties Limited</v>
          </cell>
        </row>
      </sheetData>
      <sheetData sheetId="1530">
        <row r="8">
          <cell r="B8" t="str">
            <v>Beverly Development &amp; Realties Limited</v>
          </cell>
        </row>
      </sheetData>
      <sheetData sheetId="1531">
        <row r="8">
          <cell r="B8" t="str">
            <v>Beverly Development &amp; Realties Limited</v>
          </cell>
        </row>
      </sheetData>
      <sheetData sheetId="1532">
        <row r="8">
          <cell r="B8" t="str">
            <v>Beverly Development &amp; Realties Limited</v>
          </cell>
        </row>
      </sheetData>
      <sheetData sheetId="1533">
        <row r="8">
          <cell r="B8" t="str">
            <v>Beverly Development &amp; Realties Limited</v>
          </cell>
        </row>
      </sheetData>
      <sheetData sheetId="1534">
        <row r="8">
          <cell r="B8" t="str">
            <v>Beverly Development &amp; Realties Limited</v>
          </cell>
        </row>
      </sheetData>
      <sheetData sheetId="1535">
        <row r="8">
          <cell r="B8" t="str">
            <v>Beverly Development &amp; Realties Limited</v>
          </cell>
        </row>
      </sheetData>
      <sheetData sheetId="1536">
        <row r="8">
          <cell r="B8" t="str">
            <v>Beverly Development &amp; Realties Limited</v>
          </cell>
        </row>
      </sheetData>
      <sheetData sheetId="1537">
        <row r="8">
          <cell r="B8" t="str">
            <v>Beverly Development &amp; Realties Limited</v>
          </cell>
        </row>
      </sheetData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>
        <row r="8">
          <cell r="B8" t="str">
            <v>Beverly Development &amp; Realties Limited</v>
          </cell>
        </row>
      </sheetData>
      <sheetData sheetId="1557">
        <row r="8">
          <cell r="B8" t="str">
            <v>Beverly Development &amp; Realties Limited</v>
          </cell>
        </row>
      </sheetData>
      <sheetData sheetId="1558">
        <row r="8">
          <cell r="B8" t="str">
            <v>Beverly Development &amp; Realties Limited</v>
          </cell>
        </row>
      </sheetData>
      <sheetData sheetId="1559">
        <row r="8">
          <cell r="B8" t="str">
            <v>Beverly Development &amp; Realties Limited</v>
          </cell>
        </row>
      </sheetData>
      <sheetData sheetId="1560">
        <row r="8">
          <cell r="B8" t="str">
            <v>Beverly Development &amp; Realties Limited</v>
          </cell>
        </row>
      </sheetData>
      <sheetData sheetId="1561">
        <row r="8">
          <cell r="B8" t="str">
            <v>Beverly Development &amp; Realties Limited</v>
          </cell>
        </row>
      </sheetData>
      <sheetData sheetId="1562">
        <row r="8">
          <cell r="B8" t="str">
            <v>Beverly Development &amp; Realties Limited</v>
          </cell>
        </row>
      </sheetData>
      <sheetData sheetId="1563">
        <row r="8">
          <cell r="B8" t="str">
            <v>Beverly Development &amp; Realties Limited</v>
          </cell>
        </row>
      </sheetData>
      <sheetData sheetId="1564">
        <row r="8">
          <cell r="B8" t="str">
            <v>Beverly Development &amp; Realties Limited</v>
          </cell>
        </row>
      </sheetData>
      <sheetData sheetId="1565">
        <row r="8">
          <cell r="B8" t="str">
            <v>Beverly Development &amp; Realties Limited</v>
          </cell>
        </row>
      </sheetData>
      <sheetData sheetId="1566">
        <row r="8">
          <cell r="B8" t="str">
            <v>Beverly Development &amp; Realties Limited</v>
          </cell>
        </row>
      </sheetData>
      <sheetData sheetId="1567">
        <row r="8">
          <cell r="B8" t="str">
            <v>Beverly Development &amp; Realties Limited</v>
          </cell>
        </row>
      </sheetData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 refreshError="1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 refreshError="1"/>
      <sheetData sheetId="1598" refreshError="1"/>
      <sheetData sheetId="1599" refreshError="1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/>
      <sheetData sheetId="1624" refreshError="1"/>
      <sheetData sheetId="1625" refreshError="1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/>
      <sheetData sheetId="1662"/>
      <sheetData sheetId="1663"/>
      <sheetData sheetId="1664"/>
      <sheetData sheetId="1665">
        <row r="8">
          <cell r="B8" t="str">
            <v>Beverly Development &amp; Realties Limited</v>
          </cell>
        </row>
      </sheetData>
      <sheetData sheetId="1666"/>
      <sheetData sheetId="1667"/>
      <sheetData sheetId="1668"/>
      <sheetData sheetId="1669"/>
      <sheetData sheetId="1670"/>
      <sheetData sheetId="1671"/>
      <sheetData sheetId="167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S1"/>
      <sheetName val="PDS2"/>
      <sheetName val="Control"/>
      <sheetName val="January"/>
      <sheetName val="February"/>
      <sheetName val="March"/>
      <sheetName val="April"/>
      <sheetName val="May"/>
      <sheetName val="Dialog90"/>
      <sheetName val="Module1"/>
      <sheetName val="Module2"/>
      <sheetName val="Dialog1"/>
      <sheetName val="Dialog8"/>
      <sheetName val="Dialog7"/>
      <sheetName val="Dialog6"/>
      <sheetName val="Dialog5"/>
      <sheetName val="Dialog4"/>
      <sheetName val="Dialog3"/>
      <sheetName val="Dialog2"/>
      <sheetName val="Module5"/>
      <sheetName val="Module10"/>
      <sheetName val="Module20"/>
      <sheetName val="Module3"/>
      <sheetName val="Module4"/>
      <sheetName val="Module6"/>
      <sheetName val="Module11"/>
      <sheetName val="Module17"/>
      <sheetName val="Module7"/>
      <sheetName val="OLDFILE"/>
      <sheetName val="NEWFILE"/>
      <sheetName val="June"/>
      <sheetName val="2006 FA SCHEDULE"/>
      <sheetName val="Report Summary"/>
      <sheetName val="Master"/>
      <sheetName val="Pension Report"/>
      <sheetName val="FEB1"/>
      <sheetName val="FEB2"/>
      <sheetName val="JAN2"/>
      <sheetName val="MAR1"/>
      <sheetName val="MAR2"/>
      <sheetName val="Index"/>
      <sheetName val="2006_FA_SCHEDULE"/>
      <sheetName val="Report_Summary"/>
      <sheetName val="Pension_Report"/>
      <sheetName val="nov"/>
      <sheetName val="July-99"/>
      <sheetName val="June-99"/>
      <sheetName val="Control Panel"/>
      <sheetName val="PAYROLL"/>
      <sheetName val="WNL (2)"/>
      <sheetName val="Consolidated"/>
      <sheetName val="List"/>
      <sheetName val="FORMS"/>
      <sheetName val="NEWTY"/>
      <sheetName val="Data"/>
      <sheetName val="TB Jun04"/>
      <sheetName val="May07"/>
      <sheetName val="Sheet15"/>
      <sheetName val="Projects numbers"/>
      <sheetName val="TOTAL Qtrly Incentive"/>
      <sheetName val="2006_FA_SCHEDULE1"/>
      <sheetName val="Report_Summary1"/>
      <sheetName val="Pension_Report1"/>
      <sheetName val="2006_FA_SCHEDULE2"/>
      <sheetName val="Report_Summary2"/>
      <sheetName val="Pension_Report2"/>
      <sheetName val="2006_FA_SCHEDULE3"/>
      <sheetName val="Report_Summary3"/>
      <sheetName val="Pension_Report3"/>
      <sheetName val="2006_FA_SCHEDULE4"/>
      <sheetName val="Report_Summary4"/>
      <sheetName val="Pension_Report4"/>
      <sheetName val="TOTAL_Qtrly_Incentive"/>
      <sheetName val="Jul-99(1)"/>
      <sheetName val="Sheet1"/>
      <sheetName val="POM-AFE"/>
      <sheetName val="ActivityData"/>
      <sheetName val="Economics"/>
      <sheetName val="AWARDED_(2)"/>
      <sheetName val="Mapping_Fields_to_AGG_node"/>
      <sheetName val="Budget_Data"/>
      <sheetName val="estgl81"/>
      <sheetName val="Budget,_LEE_&amp;_Commitments"/>
      <sheetName val="SetUp"/>
      <sheetName val="Sheet2"/>
      <sheetName val="2005"/>
      <sheetName val="Parameters"/>
      <sheetName val="Contract_Details"/>
      <sheetName val="AWARDED"/>
      <sheetName val="Overview"/>
      <sheetName val="CourseCOST"/>
      <sheetName val="Summary_Cash_Flow"/>
      <sheetName val="prodprof_1"/>
      <sheetName val="do_not_Delete"/>
      <sheetName val="Exp_List"/>
      <sheetName val="AFE"/>
      <sheetName val="flora"/>
      <sheetName val="WNL_(2)3"/>
      <sheetName val="Reservoir_Summary_Data"/>
      <sheetName val="Definitions"/>
      <sheetName val="List_of_Learning_Events"/>
      <sheetName val="BASE_DATA"/>
      <sheetName val="Budget_Data_SAP"/>
      <sheetName val="PSP"/>
      <sheetName val="Exercised_Stock_Options"/>
      <sheetName val="FEB_2000_FINAL"/>
      <sheetName val="NOV_1999_FINAL_REAL"/>
      <sheetName val="DATABANK"/>
      <sheetName val="AUGUST98FINAL"/>
      <sheetName val="DEC'99_DRAFT"/>
      <sheetName val="sma"/>
      <sheetName val="source"/>
      <sheetName val="TB_Jun04"/>
      <sheetName val="Jan_2000_-_Scr15"/>
      <sheetName val="_Stock_Options"/>
      <sheetName val="As_Is"/>
      <sheetName val="General_Inputs"/>
      <sheetName val="2006_FA_SCHEDULE5"/>
      <sheetName val="Report_Summary5"/>
      <sheetName val="Pension_Report5"/>
      <sheetName val="NGC-AGOT - FEB'18"/>
      <sheetName val="NPDC-FEB'18"/>
      <sheetName val="NPDC-December 2017"/>
      <sheetName val="TOTAL_Qtrly_Incentive2"/>
      <sheetName val="TOTAL_Qtrly_Incentive1"/>
      <sheetName val="TOTAL_Qtrly_Incentive3"/>
      <sheetName val="Control_Panel3"/>
      <sheetName val="TB_Jun043"/>
      <sheetName val="Projects_numbers3"/>
      <sheetName val="Control_Panel1"/>
      <sheetName val="WNL_(2)1"/>
      <sheetName val="TB_Jun041"/>
      <sheetName val="Projects_numbers1"/>
      <sheetName val="Control_Panel"/>
      <sheetName val="WNL_(2)"/>
      <sheetName val="Projects_numbers"/>
      <sheetName val="Control_Panel2"/>
      <sheetName val="WNL_(2)2"/>
      <sheetName val="TB_Jun042"/>
      <sheetName val="Projects_numbers2"/>
      <sheetName val="2006_FA_SCHEDULE13"/>
      <sheetName val="Report_Summary13"/>
      <sheetName val="Pension_Report13"/>
      <sheetName val="TOTAL_Qtrly_Incentive12"/>
      <sheetName val="Control_Panel12"/>
      <sheetName val="WNL_(2)12"/>
      <sheetName val="TB_Jun0412"/>
      <sheetName val="Projects_numbers12"/>
      <sheetName val="TOTAL_Qtrly_Incentive4"/>
      <sheetName val="Control_Panel4"/>
      <sheetName val="WNL_(2)4"/>
      <sheetName val="TB_Jun044"/>
      <sheetName val="Projects_numbers4"/>
      <sheetName val="2006_FA_SCHEDULE6"/>
      <sheetName val="Report_Summary6"/>
      <sheetName val="Pension_Report6"/>
      <sheetName val="TOTAL_Qtrly_Incentive5"/>
      <sheetName val="Control_Panel5"/>
      <sheetName val="WNL_(2)5"/>
      <sheetName val="TB_Jun045"/>
      <sheetName val="Projects_numbers5"/>
      <sheetName val="2006_FA_SCHEDULE7"/>
      <sheetName val="Report_Summary7"/>
      <sheetName val="Pension_Report7"/>
      <sheetName val="TOTAL_Qtrly_Incentive6"/>
      <sheetName val="Control_Panel6"/>
      <sheetName val="WNL_(2)6"/>
      <sheetName val="TB_Jun046"/>
      <sheetName val="Projects_numbers6"/>
      <sheetName val="2006_FA_SCHEDULE8"/>
      <sheetName val="Report_Summary8"/>
      <sheetName val="Pension_Report8"/>
      <sheetName val="TOTAL_Qtrly_Incentive7"/>
      <sheetName val="Control_Panel7"/>
      <sheetName val="WNL_(2)7"/>
      <sheetName val="TB_Jun047"/>
      <sheetName val="Projects_numbers7"/>
      <sheetName val="2006_FA_SCHEDULE11"/>
      <sheetName val="Report_Summary11"/>
      <sheetName val="Pension_Report11"/>
      <sheetName val="TOTAL_Qtrly_Incentive10"/>
      <sheetName val="Control_Panel10"/>
      <sheetName val="WNL_(2)10"/>
      <sheetName val="TB_Jun0410"/>
      <sheetName val="Projects_numbers10"/>
      <sheetName val="2006_FA_SCHEDULE9"/>
      <sheetName val="Report_Summary9"/>
      <sheetName val="Pension_Report9"/>
      <sheetName val="TOTAL_Qtrly_Incentive8"/>
      <sheetName val="Control_Panel8"/>
      <sheetName val="WNL_(2)8"/>
      <sheetName val="TB_Jun048"/>
      <sheetName val="Projects_numbers8"/>
      <sheetName val="2006_FA_SCHEDULE10"/>
      <sheetName val="Report_Summary10"/>
      <sheetName val="Pension_Report10"/>
      <sheetName val="TOTAL_Qtrly_Incentive9"/>
      <sheetName val="Control_Panel9"/>
      <sheetName val="WNL_(2)9"/>
      <sheetName val="TB_Jun049"/>
      <sheetName val="Projects_numbers9"/>
      <sheetName val="2006_FA_SCHEDULE12"/>
      <sheetName val="Report_Summary12"/>
      <sheetName val="Pension_Report12"/>
      <sheetName val="TOTAL_Qtrly_Incentive11"/>
      <sheetName val="Control_Panel11"/>
      <sheetName val="WNL_(2)11"/>
      <sheetName val="TB_Jun0411"/>
      <sheetName val="Projects_numbers11"/>
      <sheetName val="2006_FA_SCHEDULE14"/>
      <sheetName val="Report_Summary14"/>
      <sheetName val="Pension_Report14"/>
      <sheetName val="TOTAL_Qtrly_Incentive13"/>
      <sheetName val="Control_Panel13"/>
      <sheetName val="WNL_(2)13"/>
      <sheetName val="TB_Jun0413"/>
      <sheetName val="Projects_numbers13"/>
      <sheetName val="2006_FA_SCHEDULE15"/>
      <sheetName val="Report_Summary15"/>
      <sheetName val="Pension_Report15"/>
      <sheetName val="TOTAL_Qtrly_Incentive14"/>
      <sheetName val="Control_Panel14"/>
      <sheetName val="WNL_(2)14"/>
      <sheetName val="TB_Jun0414"/>
      <sheetName val="Projects_numbers14"/>
      <sheetName val="2006_FA_SCHEDULE16"/>
      <sheetName val="Report_Summary16"/>
      <sheetName val="Pension_Report16"/>
      <sheetName val="TOTAL_Qtrly_Incentive15"/>
      <sheetName val="Control_Panel15"/>
      <sheetName val="WNL_(2)15"/>
      <sheetName val="TB_Jun0415"/>
      <sheetName val="Projects_numbers15"/>
      <sheetName val="2006_FA_SCHEDULE17"/>
      <sheetName val="Report_Summary17"/>
      <sheetName val="Pension_Report17"/>
      <sheetName val="TOTAL_Qtrly_Incentive16"/>
      <sheetName val="Control_Panel16"/>
      <sheetName val="WNL_(2)16"/>
      <sheetName val="TB_Jun0416"/>
      <sheetName val="Projects_numbers16"/>
      <sheetName val="2006_FA_SCHEDULE31"/>
      <sheetName val="Report_Summary31"/>
      <sheetName val="Pension_Report31"/>
      <sheetName val="TOTAL_Qtrly_Incentive30"/>
      <sheetName val="Control_Panel30"/>
      <sheetName val="WNL_(2)30"/>
      <sheetName val="TB_Jun0430"/>
      <sheetName val="Projects_numbers30"/>
      <sheetName val="2006_FA_SCHEDULE18"/>
      <sheetName val="Report_Summary18"/>
      <sheetName val="Pension_Report18"/>
      <sheetName val="TOTAL_Qtrly_Incentive17"/>
      <sheetName val="Control_Panel17"/>
      <sheetName val="WNL_(2)17"/>
      <sheetName val="TB_Jun0417"/>
      <sheetName val="Projects_numbers17"/>
      <sheetName val="2006_FA_SCHEDULE21"/>
      <sheetName val="Report_Summary21"/>
      <sheetName val="Pension_Report21"/>
      <sheetName val="TOTAL_Qtrly_Incentive20"/>
      <sheetName val="Control_Panel20"/>
      <sheetName val="WNL_(2)20"/>
      <sheetName val="TB_Jun0420"/>
      <sheetName val="Projects_numbers20"/>
      <sheetName val="2006_FA_SCHEDULE20"/>
      <sheetName val="Report_Summary20"/>
      <sheetName val="Pension_Report20"/>
      <sheetName val="TOTAL_Qtrly_Incentive19"/>
      <sheetName val="Control_Panel19"/>
      <sheetName val="WNL_(2)19"/>
      <sheetName val="TB_Jun0419"/>
      <sheetName val="Projects_numbers19"/>
      <sheetName val="2006_FA_SCHEDULE19"/>
      <sheetName val="Report_Summary19"/>
      <sheetName val="Pension_Report19"/>
      <sheetName val="TOTAL_Qtrly_Incentive18"/>
      <sheetName val="Control_Panel18"/>
      <sheetName val="WNL_(2)18"/>
      <sheetName val="TB_Jun0418"/>
      <sheetName val="Projects_numbers18"/>
      <sheetName val="2006_FA_SCHEDULE22"/>
      <sheetName val="Report_Summary22"/>
      <sheetName val="Pension_Report22"/>
      <sheetName val="TOTAL_Qtrly_Incentive21"/>
      <sheetName val="Control_Panel21"/>
      <sheetName val="WNL_(2)21"/>
      <sheetName val="TB_Jun0421"/>
      <sheetName val="Projects_numbers21"/>
      <sheetName val="2006_FA_SCHEDULE28"/>
      <sheetName val="Report_Summary28"/>
      <sheetName val="Pension_Report28"/>
      <sheetName val="TOTAL_Qtrly_Incentive27"/>
      <sheetName val="Control_Panel27"/>
      <sheetName val="WNL_(2)27"/>
      <sheetName val="TB_Jun0427"/>
      <sheetName val="Projects_numbers27"/>
      <sheetName val="2006_FA_SCHEDULE23"/>
      <sheetName val="Report_Summary23"/>
      <sheetName val="Pension_Report23"/>
      <sheetName val="TOTAL_Qtrly_Incentive22"/>
      <sheetName val="Control_Panel22"/>
      <sheetName val="WNL_(2)22"/>
      <sheetName val="TB_Jun0422"/>
      <sheetName val="Projects_numbers22"/>
      <sheetName val="2006_FA_SCHEDULE24"/>
      <sheetName val="Report_Summary24"/>
      <sheetName val="Pension_Report24"/>
      <sheetName val="TOTAL_Qtrly_Incentive23"/>
      <sheetName val="Control_Panel23"/>
      <sheetName val="WNL_(2)23"/>
      <sheetName val="TB_Jun0423"/>
      <sheetName val="Projects_numbers23"/>
      <sheetName val="2006_FA_SCHEDULE25"/>
      <sheetName val="Report_Summary25"/>
      <sheetName val="Pension_Report25"/>
      <sheetName val="TOTAL_Qtrly_Incentive24"/>
      <sheetName val="Control_Panel24"/>
      <sheetName val="WNL_(2)24"/>
      <sheetName val="TB_Jun0424"/>
      <sheetName val="Projects_numbers24"/>
      <sheetName val="2006_FA_SCHEDULE26"/>
      <sheetName val="Report_Summary26"/>
      <sheetName val="Pension_Report26"/>
      <sheetName val="TOTAL_Qtrly_Incentive25"/>
      <sheetName val="Control_Panel25"/>
      <sheetName val="WNL_(2)25"/>
      <sheetName val="TB_Jun0425"/>
      <sheetName val="Projects_numbers25"/>
      <sheetName val="2006_FA_SCHEDULE27"/>
      <sheetName val="Report_Summary27"/>
      <sheetName val="Pension_Report27"/>
      <sheetName val="TOTAL_Qtrly_Incentive26"/>
      <sheetName val="Control_Panel26"/>
      <sheetName val="WNL_(2)26"/>
      <sheetName val="TB_Jun0426"/>
      <sheetName val="Projects_numbers26"/>
      <sheetName val="2006_FA_SCHEDULE29"/>
      <sheetName val="Report_Summary29"/>
      <sheetName val="Pension_Report29"/>
      <sheetName val="TOTAL_Qtrly_Incentive28"/>
      <sheetName val="Control_Panel28"/>
      <sheetName val="WNL_(2)28"/>
      <sheetName val="TB_Jun0428"/>
      <sheetName val="Projects_numbers28"/>
      <sheetName val="2006_FA_SCHEDULE30"/>
      <sheetName val="Report_Summary30"/>
      <sheetName val="Pension_Report30"/>
      <sheetName val="TOTAL_Qtrly_Incentive29"/>
      <sheetName val="Control_Panel29"/>
      <sheetName val="WNL_(2)29"/>
      <sheetName val="TB_Jun0429"/>
      <sheetName val="Projects_numbers29"/>
      <sheetName val="2006_FA_SCHEDULE32"/>
      <sheetName val="Report_Summary32"/>
      <sheetName val="Pension_Report32"/>
      <sheetName val="TOTAL_Qtrly_Incentive31"/>
      <sheetName val="Control_Panel31"/>
      <sheetName val="WNL_(2)31"/>
      <sheetName val="TB_Jun0431"/>
      <sheetName val="Projects_numbers31"/>
      <sheetName val="2006_FA_SCHEDULE33"/>
      <sheetName val="Report_Summary33"/>
      <sheetName val="Pension_Report33"/>
      <sheetName val="TOTAL_Qtrly_Incentive32"/>
      <sheetName val="Control_Panel32"/>
      <sheetName val="WNL_(2)32"/>
      <sheetName val="TB_Jun0432"/>
      <sheetName val="Projects_numbers32"/>
      <sheetName val="2006_FA_SCHEDULE36"/>
      <sheetName val="Report_Summary36"/>
      <sheetName val="Pension_Report36"/>
      <sheetName val="TOTAL_Qtrly_Incentive35"/>
      <sheetName val="Control_Panel35"/>
      <sheetName val="WNL_(2)35"/>
      <sheetName val="TB_Jun0435"/>
      <sheetName val="Projects_numbers35"/>
      <sheetName val="2006_FA_SCHEDULE34"/>
      <sheetName val="Report_Summary34"/>
      <sheetName val="Pension_Report34"/>
      <sheetName val="TOTAL_Qtrly_Incentive33"/>
      <sheetName val="Control_Panel33"/>
      <sheetName val="WNL_(2)33"/>
      <sheetName val="TB_Jun0433"/>
      <sheetName val="Projects_numbers33"/>
      <sheetName val="2006_FA_SCHEDULE35"/>
      <sheetName val="Report_Summary35"/>
      <sheetName val="Pension_Report35"/>
      <sheetName val="TOTAL_Qtrly_Incentive34"/>
      <sheetName val="Control_Panel34"/>
      <sheetName val="WNL_(2)34"/>
      <sheetName val="TB_Jun0434"/>
      <sheetName val="Projects_numbers34"/>
      <sheetName val="2006_FA_SCHEDULE37"/>
      <sheetName val="Report_Summary37"/>
      <sheetName val="Pension_Report37"/>
      <sheetName val="TOTAL_Qtrly_Incentive36"/>
      <sheetName val="Control_Panel36"/>
      <sheetName val="WNL_(2)36"/>
      <sheetName val="TB_Jun0436"/>
      <sheetName val="Projects_numbers36"/>
      <sheetName val="2006_FA_SCHEDULE38"/>
      <sheetName val="Report_Summary38"/>
      <sheetName val="Pension_Report38"/>
      <sheetName val="TOTAL_Qtrly_Incentive37"/>
      <sheetName val="Control_Panel37"/>
      <sheetName val="WNL_(2)37"/>
      <sheetName val="TB_Jun0437"/>
      <sheetName val="Projects_numbers37"/>
      <sheetName val="2006_FA_SCHEDULE39"/>
      <sheetName val="Report_Summary39"/>
      <sheetName val="Pension_Report39"/>
      <sheetName val="TOTAL_Qtrly_Incentive38"/>
      <sheetName val="Control_Panel38"/>
      <sheetName val="WNL_(2)38"/>
      <sheetName val="TB_Jun0438"/>
      <sheetName val="Projects_numbers38"/>
      <sheetName val="2006_FA_SCHEDULE40"/>
      <sheetName val="Report_Summary40"/>
      <sheetName val="Pension_Report40"/>
      <sheetName val="TOTAL_Qtrly_Incentive39"/>
      <sheetName val="Control_Panel39"/>
      <sheetName val="WNL_(2)39"/>
      <sheetName val="TB_Jun0439"/>
      <sheetName val="Projects_numbers39"/>
      <sheetName val="Module1\"/>
      <sheetName val="Nine02"/>
      <sheetName val="Nine01"/>
      <sheetName val="DATABASE"/>
      <sheetName val="Computer Stationery"/>
      <sheetName val="2006_FA_SCHEDULE41"/>
      <sheetName val="Report_Summary41"/>
      <sheetName val="Pension_Report41"/>
      <sheetName val="TOTAL_Qtrly_Incentive40"/>
      <sheetName val="Control_Panel40"/>
      <sheetName val="WNL_(2)40"/>
      <sheetName val="TB_Jun0440"/>
      <sheetName val="Projects_numbers40"/>
      <sheetName val="2006_FA_SCHEDULE43"/>
      <sheetName val="Report_Summary43"/>
      <sheetName val="Pension_Report43"/>
      <sheetName val="TOTAL_Qtrly_Incentive42"/>
      <sheetName val="Control_Panel42"/>
      <sheetName val="WNL_(2)42"/>
      <sheetName val="TB_Jun0442"/>
      <sheetName val="Projects_numbers42"/>
      <sheetName val="2006_FA_SCHEDULE42"/>
      <sheetName val="Report_Summary42"/>
      <sheetName val="Pension_Report42"/>
      <sheetName val="TOTAL_Qtrly_Incentive41"/>
      <sheetName val="Control_Panel41"/>
      <sheetName val="WNL_(2)41"/>
      <sheetName val="TB_Jun0441"/>
      <sheetName val="Projects_numbers41"/>
      <sheetName val="2006_FA_SCHEDULE44"/>
      <sheetName val="Report_Summary44"/>
      <sheetName val="Pension_Report44"/>
      <sheetName val="TOTAL_Qtrly_Incentive43"/>
      <sheetName val="Control_Panel43"/>
      <sheetName val="WNL_(2)43"/>
      <sheetName val="TB_Jun0443"/>
      <sheetName val="Projects_numbers43"/>
      <sheetName val="2006_FA_SCHEDULE45"/>
      <sheetName val="Report_Summary45"/>
      <sheetName val="Pension_Report45"/>
      <sheetName val="TOTAL_Qtrly_Incentive44"/>
      <sheetName val="Control_Panel44"/>
      <sheetName val="WNL_(2)44"/>
      <sheetName val="TB_Jun0444"/>
      <sheetName val="Projects_numbers44"/>
      <sheetName val="2006_FA_SCHEDULE46"/>
      <sheetName val="Report_Summary46"/>
      <sheetName val="Pension_Report46"/>
      <sheetName val="TOTAL_Qtrly_Incentive45"/>
      <sheetName val="Control_Panel45"/>
      <sheetName val="WNL_(2)45"/>
      <sheetName val="TB_Jun0445"/>
      <sheetName val="Projects_numbers45"/>
      <sheetName val="2006_FA_SCHEDULE47"/>
      <sheetName val="Report_Summary47"/>
      <sheetName val="Pension_Report47"/>
      <sheetName val="TOTAL_Qtrly_Incentive46"/>
      <sheetName val="Control_Panel46"/>
      <sheetName val="WNL_(2)46"/>
      <sheetName val="TB_Jun0446"/>
      <sheetName val="Projects_numbers46"/>
      <sheetName val="2006_FA_SCHEDULE48"/>
      <sheetName val="Report_Summary48"/>
      <sheetName val="Pension_Report48"/>
      <sheetName val="TOTAL_Qtrly_Incentive47"/>
      <sheetName val="Control_Panel47"/>
      <sheetName val="WNL_(2)47"/>
      <sheetName val="TB_Jun0447"/>
      <sheetName val="Projects_numbers47"/>
      <sheetName val="2006_FA_SCHEDULE49"/>
      <sheetName val="Report_Summary49"/>
      <sheetName val="Pension_Report49"/>
      <sheetName val="TOTAL_Qtrly_Incentive48"/>
      <sheetName val="Control_Panel48"/>
      <sheetName val="WNL_(2)48"/>
      <sheetName val="TB_Jun0448"/>
      <sheetName val="Projects_numbers48"/>
      <sheetName val="2006_FA_SCHEDULE50"/>
      <sheetName val="Report_Summary50"/>
      <sheetName val="Pension_Report50"/>
      <sheetName val="TOTAL_Qtrly_Incentive49"/>
      <sheetName val="Control_Panel49"/>
      <sheetName val="WNL_(2)49"/>
      <sheetName val="TB_Jun0449"/>
      <sheetName val="Projects_numbers49"/>
      <sheetName val="Dbase - Spv"/>
      <sheetName val="D"/>
      <sheetName val="PRICES"/>
      <sheetName val="BEACH"/>
      <sheetName val="Jan 17 (Invoice)"/>
      <sheetName val="Feb 17 (Invoice)"/>
      <sheetName val="Mar 17 (Invoice)"/>
      <sheetName val="Apr 17 (Invoice)"/>
      <sheetName val="May 17 (Invoice)"/>
      <sheetName val="Jun 17 (Invoice)"/>
      <sheetName val="Jul 17(Invoice)"/>
      <sheetName val="Aug 17(Invoice)"/>
      <sheetName val="#REF"/>
      <sheetName val="TREND PAL"/>
      <sheetName val="[NEWTY.XLS][NEWTY.XLS]_NEWTY__2"/>
      <sheetName val="2006_FA_SCHEDULE51"/>
      <sheetName val="Report_Summary51"/>
      <sheetName val="Pension_Report51"/>
      <sheetName val="TOTAL_Qtrly_Incentive50"/>
      <sheetName val="Control_Panel50"/>
      <sheetName val="WNL_(2)50"/>
      <sheetName val="TB_Jun0450"/>
      <sheetName val="Projects_numbers50"/>
      <sheetName val="Jan_17_(Invoice)"/>
      <sheetName val="Feb_17_(Invoice)"/>
      <sheetName val="Mar_17_(Invoice)"/>
      <sheetName val="Apr_17_(Invoice)"/>
      <sheetName val="May_17_(Invoice)"/>
      <sheetName val="Jun_17_(Invoice)"/>
      <sheetName val="Jul_17(Invoice)"/>
      <sheetName val="Aug_17(Invoice)"/>
      <sheetName val="Dbase_-_Spv"/>
      <sheetName val="NGC-AGOT_-_FEB'18"/>
      <sheetName val="NPDC-December_2017"/>
      <sheetName val="Computer_Stationery"/>
      <sheetName val="2006_FA_SCHEDULE52"/>
      <sheetName val="Report_Summary52"/>
      <sheetName val="Pension_Report52"/>
      <sheetName val="TOTAL_Qtrly_Incentive51"/>
      <sheetName val="Control_Panel51"/>
      <sheetName val="WNL_(2)51"/>
      <sheetName val="TB_Jun0451"/>
      <sheetName val="Projects_numbers51"/>
      <sheetName val="Jan_17_(Invoice)1"/>
      <sheetName val="Feb_17_(Invoice)1"/>
      <sheetName val="Mar_17_(Invoice)1"/>
      <sheetName val="Apr_17_(Invoice)1"/>
      <sheetName val="May_17_(Invoice)1"/>
      <sheetName val="Jun_17_(Invoice)1"/>
      <sheetName val="Jul_17(Invoice)1"/>
      <sheetName val="Aug_17(Invoice)1"/>
      <sheetName val="Dbase_-_Spv1"/>
      <sheetName val="NGC-AGOT_-_FEB'181"/>
      <sheetName val="NPDC-December_20171"/>
      <sheetName val="Computer_Stationery1"/>
      <sheetName val="[NEWTY.XLS][NEWTY.XLS]Module1\"/>
      <sheetName val="[NEWTY.XLS]Module1\"/>
      <sheetName val="200506"/>
      <sheetName val="OS"/>
      <sheetName val="Configs"/>
      <sheetName val="With Accom (2)"/>
      <sheetName val="AnnualTax 11"/>
      <sheetName val="Std Annual"/>
      <sheetName val="conversion cost YTD 2018 (2)"/>
      <sheetName val="MONTHLY"/>
      <sheetName val="Cashflow"/>
      <sheetName val="CC - Dec. 2017 YTD"/>
      <sheetName val="DSR K"/>
      <sheetName val="MAJOR ACTIVITIES"/>
      <sheetName val="P&amp;L"/>
      <sheetName val="Q3 P &amp; L"/>
      <sheetName val="Profit Recon"/>
      <sheetName val="Graphs"/>
      <sheetName val="SAP SFP"/>
      <sheetName val="CF"/>
      <sheetName val="PPE"/>
      <sheetName val="TB Asset"/>
      <sheetName val="Mar"/>
      <sheetName val="Appendics_NOTES"/>
      <sheetName val="KEY RATIO"/>
      <sheetName val="cost per unit"/>
      <sheetName val="Direct Expenses"/>
      <sheetName val="CONSO K"/>
      <sheetName val="P&amp; L  Analysis"/>
      <sheetName val="TPT Inc"/>
      <sheetName val="Direct over head"/>
      <sheetName val="INCOME TB"/>
      <sheetName val="2017 bud"/>
      <sheetName val="SSC K"/>
      <sheetName val="Profit Rec Worksheet"/>
      <sheetName val="yeild2"/>
      <sheetName val="Sales Analysis"/>
      <sheetName val="interco"/>
      <sheetName val="OCT  2016-TB"/>
      <sheetName val="2015A"/>
      <sheetName val="2015note"/>
      <sheetName val="note workings"/>
      <sheetName val="Inventory"/>
      <sheetName val="PBT Analysis"/>
      <sheetName val="Dec14FS"/>
      <sheetName val="Ratios"/>
      <sheetName val="pre"/>
      <sheetName val="Nov2014 MPR"/>
      <sheetName val="NOV2014 Note"/>
      <sheetName val="YTD 2014"/>
      <sheetName val="ckm3"/>
      <sheetName val="2014interco"/>
      <sheetName val="OCT 2014 FS"/>
      <sheetName val="2014 prod"/>
      <sheetName val="2015 Bud Ass"/>
      <sheetName val="2015 Bud2"/>
      <sheetName val="prepayment"/>
      <sheetName val="conversion cost sum"/>
      <sheetName val="conversion cost2"/>
      <sheetName val="Admin"/>
      <sheetName val="August 2015"/>
      <sheetName val="parameter2"/>
      <sheetName val="yeild"/>
      <sheetName val="issued"/>
      <sheetName val="FOB"/>
      <sheetName val="Feb'18 TB"/>
      <sheetName val="TRIAL BALANCE  2019 YTD"/>
      <sheetName val="August 2019 TB"/>
      <sheetName val="conversion cost YTD 2019"/>
      <sheetName val="Conversion cost August 2019"/>
      <sheetName val="50KG INCENTIVES"/>
      <sheetName val="Retail Incentives "/>
      <sheetName val="Omitted 3rd quater"/>
      <sheetName val="CC - JUNE 2018 Month"/>
      <sheetName val="Report Header Dates"/>
      <sheetName val="DIRECT LABOUR"/>
      <sheetName val="DIRECT OVERHEAD"/>
      <sheetName val="S AND D"/>
      <sheetName val="ADMIN (2)"/>
      <sheetName val="Non-oper. cost"/>
      <sheetName val="President DB - Cost per T "/>
      <sheetName val="Conversion cost MaY 2019"/>
      <sheetName val="President DB- Rev &amp; Prod"/>
      <sheetName val="allowance"/>
      <sheetName val="GB Intang P12"/>
      <sheetName val="KFI"/>
      <sheetName val="Trial balance - raw"/>
      <sheetName val="FR"/>
      <sheetName val="GL"/>
      <sheetName val="SCOA"/>
      <sheetName val="Reason"/>
      <sheetName val="Inputs"/>
      <sheetName val="Input"/>
      <sheetName val="Others (3)"/>
      <sheetName val="summary"/>
      <sheetName val="YTD"/>
      <sheetName val="TREND_PAL"/>
      <sheetName val="TREND_PAL1"/>
      <sheetName val="TREND_PAL2"/>
      <sheetName val="price05"/>
      <sheetName val="Computer_Stationery2"/>
      <sheetName val="Computer_Stationery3"/>
      <sheetName val="Computer_Stationery4"/>
      <sheetName val="Wef 17Jun05"/>
      <sheetName val="Company"/>
      <sheetName val="PDS3"/>
      <sheetName val="conversion_cost_YTD_2018_(2)"/>
      <sheetName val="CC_-_Dec__2017_YTD"/>
      <sheetName val="DSR_K"/>
      <sheetName val="MAJOR_ACTIVITIES"/>
      <sheetName val="Q3_P_&amp;_L"/>
      <sheetName val="Profit_Recon"/>
      <sheetName val="SAP_SFP"/>
      <sheetName val="TB_Asset"/>
      <sheetName val="KEY_RATIO"/>
      <sheetName val="cost_per_unit"/>
      <sheetName val="Direct_Expenses"/>
      <sheetName val="CONSO_K"/>
      <sheetName val="P&amp;_L__Analysis"/>
      <sheetName val="TPT_Inc"/>
      <sheetName val="Direct_over_head"/>
      <sheetName val="INCOME_TB"/>
      <sheetName val="2017_bud"/>
      <sheetName val="SSC_K"/>
      <sheetName val="Profit_Rec_Worksheet"/>
      <sheetName val="Sales_Analysis"/>
      <sheetName val="OCT__2016-TB"/>
      <sheetName val="note_workings"/>
      <sheetName val="PBT_Analysis"/>
      <sheetName val="Nov2014_MPR"/>
      <sheetName val="NOV2014_Note"/>
      <sheetName val="YTD_2014"/>
      <sheetName val="OCT_2014_FS"/>
      <sheetName val="2014_prod"/>
      <sheetName val="2015_Bud_Ass"/>
      <sheetName val="2015_Bud2"/>
      <sheetName val="conversion_cost_sum"/>
      <sheetName val="conversion_cost2"/>
      <sheetName val="August_2015"/>
      <sheetName val="Feb'18_TB"/>
      <sheetName val="TRIAL_BALANCE__2019_YTD"/>
      <sheetName val="August_2019_TB"/>
      <sheetName val="conversion_cost_YTD_2019"/>
      <sheetName val="Conversion_cost_August_2019"/>
      <sheetName val="50KG_INCENTIVES"/>
      <sheetName val="Retail_Incentives_"/>
      <sheetName val="Omitted_3rd_quater"/>
      <sheetName val="CC_-_JUNE_2018_Month"/>
      <sheetName val="Report_Header_Dates"/>
      <sheetName val="DIRECT_LABOUR"/>
      <sheetName val="DIRECT_OVERHEAD"/>
      <sheetName val="S_AND_D"/>
      <sheetName val="ADMIN_(2)"/>
      <sheetName val="Non-oper__cost"/>
      <sheetName val="President_DB_-_Cost_per_T_"/>
      <sheetName val="Conversion_cost_MaY_2019"/>
      <sheetName val="President_DB-_Rev_&amp;_Prod"/>
      <sheetName val="With_Accom_(2)"/>
      <sheetName val="AnnualTax_11"/>
      <sheetName val="Std_Annual"/>
      <sheetName val="Computer_Stationery5"/>
      <sheetName val="GB_Intang_P12"/>
      <sheetName val="Trial_balance_-_raw"/>
      <sheetName val="[NEWTY_XLS]Module1\"/>
      <sheetName val="[NEWTY_XLS][NEWTY_XLS]Module1\"/>
      <sheetName val="Others_(3)"/>
      <sheetName val="OPS MECHANICAL BUDGET"/>
      <sheetName val="HSE OMOKU"/>
      <sheetName val="OPS_MECHANICAL_BUDGET"/>
      <sheetName val="HSE_OMOKU"/>
      <sheetName val="OPS_MECHANICAL_BUDGET1"/>
      <sheetName val="HSE_OMOKU1"/>
      <sheetName val="Source data"/>
      <sheetName val="2006_FA_SCHEDULE53"/>
      <sheetName val="Report_Summary53"/>
      <sheetName val="Pension_Report53"/>
      <sheetName val="Control_Panel52"/>
      <sheetName val="WNL_(2)52"/>
      <sheetName val="TB_Jun0452"/>
      <sheetName val="Projects_numbers52"/>
      <sheetName val="Jan_17_(Invoice)3"/>
      <sheetName val="Feb_17_(Invoice)3"/>
      <sheetName val="Mar_17_(Invoice)3"/>
      <sheetName val="Apr_17_(Invoice)3"/>
      <sheetName val="May_17_(Invoice)3"/>
      <sheetName val="Jun_17_(Invoice)3"/>
      <sheetName val="Jul_17(Invoice)3"/>
      <sheetName val="Aug_17(Invoice)3"/>
      <sheetName val="TOTAL_Qtrly_Incentive52"/>
      <sheetName val="TREND_PAL4"/>
      <sheetName val="With_Accom_(2)1"/>
      <sheetName val="AnnualTax_111"/>
      <sheetName val="Std_Annual1"/>
      <sheetName val="Dbase_-_Spv3"/>
      <sheetName val="conversion_cost_YTD_2018_(2)1"/>
      <sheetName val="CC_-_Dec__2017_YTD1"/>
      <sheetName val="DSR_K1"/>
      <sheetName val="MAJOR_ACTIVITIES1"/>
      <sheetName val="Q3_P_&amp;_L1"/>
      <sheetName val="Profit_Recon1"/>
      <sheetName val="SAP_SFP1"/>
      <sheetName val="TB_Asset1"/>
      <sheetName val="KEY_RATIO1"/>
      <sheetName val="cost_per_unit1"/>
      <sheetName val="Direct_Expenses1"/>
      <sheetName val="CONSO_K1"/>
      <sheetName val="P&amp;_L__Analysis1"/>
      <sheetName val="TPT_Inc1"/>
      <sheetName val="Direct_over_head1"/>
      <sheetName val="INCOME_TB1"/>
      <sheetName val="2017_bud1"/>
      <sheetName val="SSC_K1"/>
      <sheetName val="Profit_Rec_Worksheet1"/>
      <sheetName val="Sales_Analysis1"/>
      <sheetName val="OCT__2016-TB1"/>
      <sheetName val="note_workings1"/>
      <sheetName val="PBT_Analysis1"/>
      <sheetName val="Nov2014_MPR1"/>
      <sheetName val="NOV2014_Note1"/>
      <sheetName val="YTD_20141"/>
      <sheetName val="OCT_2014_FS1"/>
      <sheetName val="2014_prod1"/>
      <sheetName val="2015_Bud_Ass1"/>
      <sheetName val="2015_Bud21"/>
      <sheetName val="conversion_cost_sum1"/>
      <sheetName val="conversion_cost21"/>
      <sheetName val="August_20151"/>
      <sheetName val="Feb'18_TB1"/>
      <sheetName val="TRIAL_BALANCE__2019_YTD1"/>
      <sheetName val="August_2019_TB1"/>
      <sheetName val="conversion_cost_YTD_20191"/>
      <sheetName val="Conversion_cost_August_20191"/>
      <sheetName val="50KG_INCENTIVES1"/>
      <sheetName val="Retail_Incentives_1"/>
      <sheetName val="Omitted_3rd_quater1"/>
      <sheetName val="CC_-_JUNE_2018_Month1"/>
      <sheetName val="Report_Header_Dates1"/>
      <sheetName val="DIRECT_LABOUR1"/>
      <sheetName val="DIRECT_OVERHEAD1"/>
      <sheetName val="S_AND_D1"/>
      <sheetName val="ADMIN_(2)1"/>
      <sheetName val="Non-oper__cost1"/>
      <sheetName val="President_DB_-_Cost_per_T_1"/>
      <sheetName val="Conversion_cost_MaY_20191"/>
      <sheetName val="President_DB-_Rev_&amp;_Prod1"/>
      <sheetName val="NGC-AGOT_-_FEB'182"/>
      <sheetName val="NPDC-December_20172"/>
      <sheetName val="Computer_Stationery6"/>
      <sheetName val="GB_Intang_P121"/>
      <sheetName val="Trial_balance_-_raw1"/>
      <sheetName val="[NEWTY_XLS]Module1\1"/>
      <sheetName val="[NEWTY_XLS][NEWTY_XLS]Module1\1"/>
      <sheetName val="Others_(3)1"/>
      <sheetName val="Wef_17Jun051"/>
      <sheetName val="Jan_17_(Invoice)2"/>
      <sheetName val="Feb_17_(Invoice)2"/>
      <sheetName val="Mar_17_(Invoice)2"/>
      <sheetName val="Apr_17_(Invoice)2"/>
      <sheetName val="May_17_(Invoice)2"/>
      <sheetName val="Jun_17_(Invoice)2"/>
      <sheetName val="Jul_17(Invoice)2"/>
      <sheetName val="Aug_17(Invoice)2"/>
      <sheetName val="TREND_PAL3"/>
      <sheetName val="Dbase_-_Spv2"/>
      <sheetName val="Wef_17Jun05"/>
      <sheetName val="2006_FA_SCHEDULE56"/>
      <sheetName val="Report_Summary56"/>
      <sheetName val="Pension_Report56"/>
      <sheetName val="Control_Panel55"/>
      <sheetName val="WNL_(2)55"/>
      <sheetName val="TB_Jun0455"/>
      <sheetName val="Projects_numbers55"/>
      <sheetName val="TOTAL_Qtrly_Incentive55"/>
      <sheetName val="Jan_17_(Invoice)6"/>
      <sheetName val="Feb_17_(Invoice)6"/>
      <sheetName val="Mar_17_(Invoice)6"/>
      <sheetName val="Apr_17_(Invoice)6"/>
      <sheetName val="May_17_(Invoice)6"/>
      <sheetName val="Jun_17_(Invoice)6"/>
      <sheetName val="Jul_17(Invoice)6"/>
      <sheetName val="Aug_17(Invoice)6"/>
      <sheetName val="TREND_PAL7"/>
      <sheetName val="With_Accom_(2)4"/>
      <sheetName val="AnnualTax_114"/>
      <sheetName val="Std_Annual4"/>
      <sheetName val="Dbase_-_Spv6"/>
      <sheetName val="conversion_cost_YTD_2018_(2)4"/>
      <sheetName val="CC_-_Dec__2017_YTD4"/>
      <sheetName val="DSR_K4"/>
      <sheetName val="MAJOR_ACTIVITIES4"/>
      <sheetName val="Q3_P_&amp;_L4"/>
      <sheetName val="Profit_Recon4"/>
      <sheetName val="SAP_SFP4"/>
      <sheetName val="TB_Asset4"/>
      <sheetName val="KEY_RATIO4"/>
      <sheetName val="cost_per_unit4"/>
      <sheetName val="Direct_Expenses4"/>
      <sheetName val="CONSO_K4"/>
      <sheetName val="P&amp;_L__Analysis4"/>
      <sheetName val="TPT_Inc4"/>
      <sheetName val="Direct_over_head4"/>
      <sheetName val="INCOME_TB4"/>
      <sheetName val="2017_bud4"/>
      <sheetName val="SSC_K4"/>
      <sheetName val="Profit_Rec_Worksheet4"/>
      <sheetName val="Sales_Analysis4"/>
      <sheetName val="OCT__2016-TB4"/>
      <sheetName val="note_workings4"/>
      <sheetName val="PBT_Analysis4"/>
      <sheetName val="Nov2014_MPR4"/>
      <sheetName val="NOV2014_Note4"/>
      <sheetName val="YTD_20144"/>
      <sheetName val="OCT_2014_FS4"/>
      <sheetName val="2014_prod4"/>
      <sheetName val="2015_Bud_Ass4"/>
      <sheetName val="2015_Bud24"/>
      <sheetName val="conversion_cost_sum4"/>
      <sheetName val="conversion_cost24"/>
      <sheetName val="August_20154"/>
      <sheetName val="Feb'18_TB4"/>
      <sheetName val="TRIAL_BALANCE__2019_YTD4"/>
      <sheetName val="August_2019_TB4"/>
      <sheetName val="conversion_cost_YTD_20194"/>
      <sheetName val="Conversion_cost_August_20194"/>
      <sheetName val="50KG_INCENTIVES4"/>
      <sheetName val="Retail_Incentives_4"/>
      <sheetName val="Omitted_3rd_quater4"/>
      <sheetName val="CC_-_JUNE_2018_Month4"/>
      <sheetName val="Report_Header_Dates4"/>
      <sheetName val="DIRECT_LABOUR4"/>
      <sheetName val="DIRECT_OVERHEAD4"/>
      <sheetName val="S_AND_D4"/>
      <sheetName val="ADMIN_(2)4"/>
      <sheetName val="Non-oper__cost4"/>
      <sheetName val="President_DB_-_Cost_per_T_4"/>
      <sheetName val="Conversion_cost_MaY_20194"/>
      <sheetName val="President_DB-_Rev_&amp;_Prod4"/>
      <sheetName val="NGC-AGOT_-_FEB'185"/>
      <sheetName val="NPDC-December_20175"/>
      <sheetName val="Computer_Stationery9"/>
      <sheetName val="GB_Intang_P124"/>
      <sheetName val="Trial_balance_-_raw4"/>
      <sheetName val="[NEWTY_XLS]Module1\4"/>
      <sheetName val="[NEWTY_XLS][NEWTY_XLS]Module1\4"/>
      <sheetName val="Others_(3)4"/>
      <sheetName val="Wef_17Jun054"/>
      <sheetName val="2006_FA_SCHEDULE55"/>
      <sheetName val="Report_Summary55"/>
      <sheetName val="Pension_Report55"/>
      <sheetName val="Control_Panel54"/>
      <sheetName val="WNL_(2)54"/>
      <sheetName val="TB_Jun0454"/>
      <sheetName val="Projects_numbers54"/>
      <sheetName val="Jan_17_(Invoice)5"/>
      <sheetName val="Feb_17_(Invoice)5"/>
      <sheetName val="Mar_17_(Invoice)5"/>
      <sheetName val="Apr_17_(Invoice)5"/>
      <sheetName val="May_17_(Invoice)5"/>
      <sheetName val="Jun_17_(Invoice)5"/>
      <sheetName val="Jul_17(Invoice)5"/>
      <sheetName val="Aug_17(Invoice)5"/>
      <sheetName val="TOTAL_Qtrly_Incentive54"/>
      <sheetName val="TREND_PAL6"/>
      <sheetName val="With_Accom_(2)3"/>
      <sheetName val="AnnualTax_113"/>
      <sheetName val="Std_Annual3"/>
      <sheetName val="Dbase_-_Spv5"/>
      <sheetName val="conversion_cost_YTD_2018_(2)3"/>
      <sheetName val="CC_-_Dec__2017_YTD3"/>
      <sheetName val="DSR_K3"/>
      <sheetName val="MAJOR_ACTIVITIES3"/>
      <sheetName val="Q3_P_&amp;_L3"/>
      <sheetName val="Profit_Recon3"/>
      <sheetName val="SAP_SFP3"/>
      <sheetName val="TB_Asset3"/>
      <sheetName val="KEY_RATIO3"/>
      <sheetName val="cost_per_unit3"/>
      <sheetName val="Direct_Expenses3"/>
      <sheetName val="CONSO_K3"/>
      <sheetName val="P&amp;_L__Analysis3"/>
      <sheetName val="TPT_Inc3"/>
      <sheetName val="Direct_over_head3"/>
      <sheetName val="INCOME_TB3"/>
      <sheetName val="2017_bud3"/>
      <sheetName val="SSC_K3"/>
      <sheetName val="Profit_Rec_Worksheet3"/>
      <sheetName val="Sales_Analysis3"/>
      <sheetName val="OCT__2016-TB3"/>
      <sheetName val="note_workings3"/>
      <sheetName val="PBT_Analysis3"/>
      <sheetName val="Nov2014_MPR3"/>
      <sheetName val="NOV2014_Note3"/>
      <sheetName val="YTD_20143"/>
      <sheetName val="OCT_2014_FS3"/>
      <sheetName val="2014_prod3"/>
      <sheetName val="2015_Bud_Ass3"/>
      <sheetName val="2015_Bud23"/>
      <sheetName val="conversion_cost_sum3"/>
      <sheetName val="conversion_cost23"/>
      <sheetName val="August_20153"/>
      <sheetName val="Feb'18_TB3"/>
      <sheetName val="TRIAL_BALANCE__2019_YTD3"/>
      <sheetName val="August_2019_TB3"/>
      <sheetName val="conversion_cost_YTD_20193"/>
      <sheetName val="Conversion_cost_August_20193"/>
      <sheetName val="50KG_INCENTIVES3"/>
      <sheetName val="Retail_Incentives_3"/>
      <sheetName val="Omitted_3rd_quater3"/>
      <sheetName val="CC_-_JUNE_2018_Month3"/>
      <sheetName val="Report_Header_Dates3"/>
      <sheetName val="DIRECT_LABOUR3"/>
      <sheetName val="DIRECT_OVERHEAD3"/>
      <sheetName val="S_AND_D3"/>
      <sheetName val="ADMIN_(2)3"/>
      <sheetName val="Non-oper__cost3"/>
      <sheetName val="President_DB_-_Cost_per_T_3"/>
      <sheetName val="Conversion_cost_MaY_20193"/>
      <sheetName val="President_DB-_Rev_&amp;_Prod3"/>
      <sheetName val="NGC-AGOT_-_FEB'184"/>
      <sheetName val="NPDC-December_20174"/>
      <sheetName val="Computer_Stationery8"/>
      <sheetName val="GB_Intang_P123"/>
      <sheetName val="Trial_balance_-_raw3"/>
      <sheetName val="[NEWTY_XLS]Module1\3"/>
      <sheetName val="[NEWTY_XLS][NEWTY_XLS]Module1\3"/>
      <sheetName val="Others_(3)3"/>
      <sheetName val="Wef_17Jun053"/>
      <sheetName val="2006_FA_SCHEDULE54"/>
      <sheetName val="Report_Summary54"/>
      <sheetName val="Pension_Report54"/>
      <sheetName val="Control_Panel53"/>
      <sheetName val="WNL_(2)53"/>
      <sheetName val="TB_Jun0453"/>
      <sheetName val="Projects_numbers53"/>
      <sheetName val="Jan_17_(Invoice)4"/>
      <sheetName val="Feb_17_(Invoice)4"/>
      <sheetName val="Mar_17_(Invoice)4"/>
      <sheetName val="Apr_17_(Invoice)4"/>
      <sheetName val="May_17_(Invoice)4"/>
      <sheetName val="Jun_17_(Invoice)4"/>
      <sheetName val="Jul_17(Invoice)4"/>
      <sheetName val="Aug_17(Invoice)4"/>
      <sheetName val="TOTAL_Qtrly_Incentive53"/>
      <sheetName val="TREND_PAL5"/>
      <sheetName val="With_Accom_(2)2"/>
      <sheetName val="AnnualTax_112"/>
      <sheetName val="Std_Annual2"/>
      <sheetName val="Dbase_-_Spv4"/>
      <sheetName val="conversion_cost_YTD_2018_(2)2"/>
      <sheetName val="CC_-_Dec__2017_YTD2"/>
      <sheetName val="DSR_K2"/>
      <sheetName val="MAJOR_ACTIVITIES2"/>
      <sheetName val="Q3_P_&amp;_L2"/>
      <sheetName val="Profit_Recon2"/>
      <sheetName val="SAP_SFP2"/>
      <sheetName val="TB_Asset2"/>
      <sheetName val="KEY_RATIO2"/>
      <sheetName val="cost_per_unit2"/>
      <sheetName val="Direct_Expenses2"/>
      <sheetName val="CONSO_K2"/>
      <sheetName val="P&amp;_L__Analysis2"/>
      <sheetName val="TPT_Inc2"/>
      <sheetName val="Direct_over_head2"/>
      <sheetName val="INCOME_TB2"/>
      <sheetName val="2017_bud2"/>
      <sheetName val="SSC_K2"/>
      <sheetName val="Profit_Rec_Worksheet2"/>
      <sheetName val="Sales_Analysis2"/>
      <sheetName val="OCT__2016-TB2"/>
      <sheetName val="note_workings2"/>
      <sheetName val="PBT_Analysis2"/>
      <sheetName val="Nov2014_MPR2"/>
      <sheetName val="NOV2014_Note2"/>
      <sheetName val="YTD_20142"/>
      <sheetName val="OCT_2014_FS2"/>
      <sheetName val="2014_prod2"/>
      <sheetName val="2015_Bud_Ass2"/>
      <sheetName val="2015_Bud22"/>
      <sheetName val="conversion_cost_sum2"/>
      <sheetName val="conversion_cost22"/>
      <sheetName val="August_20152"/>
      <sheetName val="Feb'18_TB2"/>
      <sheetName val="TRIAL_BALANCE__2019_YTD2"/>
      <sheetName val="August_2019_TB2"/>
      <sheetName val="conversion_cost_YTD_20192"/>
      <sheetName val="Conversion_cost_August_20192"/>
      <sheetName val="50KG_INCENTIVES2"/>
      <sheetName val="Retail_Incentives_2"/>
      <sheetName val="Omitted_3rd_quater2"/>
      <sheetName val="CC_-_JUNE_2018_Month2"/>
      <sheetName val="Report_Header_Dates2"/>
      <sheetName val="DIRECT_LABOUR2"/>
      <sheetName val="DIRECT_OVERHEAD2"/>
      <sheetName val="S_AND_D2"/>
      <sheetName val="ADMIN_(2)2"/>
      <sheetName val="Non-oper__cost2"/>
      <sheetName val="President_DB_-_Cost_per_T_2"/>
      <sheetName val="Conversion_cost_MaY_20192"/>
      <sheetName val="President_DB-_Rev_&amp;_Prod2"/>
      <sheetName val="NGC-AGOT_-_FEB'183"/>
      <sheetName val="NPDC-December_20173"/>
      <sheetName val="Computer_Stationery7"/>
      <sheetName val="GB_Intang_P122"/>
      <sheetName val="Trial_balance_-_raw2"/>
      <sheetName val="[NEWTY_XLS]Module1\2"/>
      <sheetName val="[NEWTY_XLS][NEWTY_XLS]Module1\2"/>
      <sheetName val="Others_(3)2"/>
      <sheetName val="Wef_17Jun052"/>
      <sheetName val="TB"/>
      <sheetName val="2006_FA_SCHEDULE57"/>
      <sheetName val="Report_Summary57"/>
      <sheetName val="Pension_Report57"/>
      <sheetName val="GB_Intang_P125"/>
      <sheetName val="Trial_balance_-_raw5"/>
      <sheetName val="[NEWTY_XLS]Module1\5"/>
      <sheetName val="[NEWTY_XLS][NEWTY_XLS]Module1\5"/>
      <sheetName val="AnnualTax_115"/>
      <sheetName val="Std_Annual5"/>
      <sheetName val="With_Accom_(2)5"/>
      <sheetName val="2006_FA_SCHEDULE61"/>
      <sheetName val="Report_Summary61"/>
      <sheetName val="Pension_Report61"/>
      <sheetName val="TOTAL_Qtrly_Incentive59"/>
      <sheetName val="Control_Panel59"/>
      <sheetName val="WNL_(2)59"/>
      <sheetName val="TB_Jun0459"/>
      <sheetName val="Projects_numbers59"/>
      <sheetName val="NGC-AGOT_-_FEB'189"/>
      <sheetName val="NPDC-December_20179"/>
      <sheetName val="Computer_Stationery12"/>
      <sheetName val="GB_Intang_P129"/>
      <sheetName val="Trial_balance_-_raw9"/>
      <sheetName val="[NEWTY_XLS]Module1\9"/>
      <sheetName val="[NEWTY_XLS][NEWTY_XLS]Module1\9"/>
      <sheetName val="AnnualTax_119"/>
      <sheetName val="Std_Annual9"/>
      <sheetName val="With_Accom_(2)9"/>
      <sheetName val="Dbase_-_Spv9"/>
      <sheetName val="TREND_PAL10"/>
      <sheetName val="Others_(3)7"/>
      <sheetName val="Wef_17Jun057"/>
      <sheetName val="2006_FA_SCHEDULE58"/>
      <sheetName val="Report_Summary58"/>
      <sheetName val="Pension_Report58"/>
      <sheetName val="TOTAL_Qtrly_Incentive56"/>
      <sheetName val="Control_Panel56"/>
      <sheetName val="WNL_(2)56"/>
      <sheetName val="TB_Jun0456"/>
      <sheetName val="Projects_numbers56"/>
      <sheetName val="NGC-AGOT_-_FEB'186"/>
      <sheetName val="NPDC-December_20176"/>
      <sheetName val="GB_Intang_P126"/>
      <sheetName val="Trial_balance_-_raw6"/>
      <sheetName val="[NEWTY_XLS]Module1\6"/>
      <sheetName val="[NEWTY_XLS][NEWTY_XLS]Module1\6"/>
      <sheetName val="AnnualTax_116"/>
      <sheetName val="Std_Annual6"/>
      <sheetName val="With_Accom_(2)6"/>
      <sheetName val="2006_FA_SCHEDULE59"/>
      <sheetName val="Report_Summary59"/>
      <sheetName val="Pension_Report59"/>
      <sheetName val="TOTAL_Qtrly_Incentive57"/>
      <sheetName val="Control_Panel57"/>
      <sheetName val="WNL_(2)57"/>
      <sheetName val="TB_Jun0457"/>
      <sheetName val="Projects_numbers57"/>
      <sheetName val="NGC-AGOT_-_FEB'187"/>
      <sheetName val="NPDC-December_20177"/>
      <sheetName val="Computer_Stationery10"/>
      <sheetName val="GB_Intang_P127"/>
      <sheetName val="Trial_balance_-_raw7"/>
      <sheetName val="[NEWTY_XLS]Module1\7"/>
      <sheetName val="[NEWTY_XLS][NEWTY_XLS]Module1\7"/>
      <sheetName val="AnnualTax_117"/>
      <sheetName val="Std_Annual7"/>
      <sheetName val="With_Accom_(2)7"/>
      <sheetName val="Dbase_-_Spv7"/>
      <sheetName val="TREND_PAL8"/>
      <sheetName val="Others_(3)5"/>
      <sheetName val="Wef_17Jun055"/>
      <sheetName val="2006_FA_SCHEDULE60"/>
      <sheetName val="Report_Summary60"/>
      <sheetName val="Pension_Report60"/>
      <sheetName val="TOTAL_Qtrly_Incentive58"/>
      <sheetName val="Control_Panel58"/>
      <sheetName val="WNL_(2)58"/>
      <sheetName val="TB_Jun0458"/>
      <sheetName val="Projects_numbers58"/>
      <sheetName val="NGC-AGOT_-_FEB'188"/>
      <sheetName val="NPDC-December_20178"/>
      <sheetName val="Computer_Stationery11"/>
      <sheetName val="GB_Intang_P128"/>
      <sheetName val="Trial_balance_-_raw8"/>
      <sheetName val="[NEWTY_XLS]Module1\8"/>
      <sheetName val="[NEWTY_XLS][NEWTY_XLS]Module1\8"/>
      <sheetName val="AnnualTax_118"/>
      <sheetName val="Std_Annual8"/>
      <sheetName val="With_Accom_(2)8"/>
      <sheetName val="Dbase_-_Spv8"/>
      <sheetName val="TREND_PAL9"/>
      <sheetName val="Others_(3)6"/>
      <sheetName val="Wef_17Jun056"/>
      <sheetName val="2006_FA_SCHEDULE62"/>
      <sheetName val="Report_Summary62"/>
      <sheetName val="Pension_Report62"/>
      <sheetName val="TOTAL_Qtrly_Incentive60"/>
      <sheetName val="Control_Panel60"/>
      <sheetName val="WNL_(2)60"/>
      <sheetName val="TB_Jun0460"/>
      <sheetName val="Projects_numbers60"/>
      <sheetName val="NGC-AGOT_-_FEB'1810"/>
      <sheetName val="NPDC-December_201710"/>
      <sheetName val="Computer_Stationery13"/>
      <sheetName val="GB_Intang_P1210"/>
      <sheetName val="Trial_balance_-_raw10"/>
      <sheetName val="[NEWTY_XLS]Module1\10"/>
      <sheetName val="[NEWTY_XLS][NEWTY_XLS]Module110"/>
      <sheetName val="AnnualTax_1110"/>
      <sheetName val="Std_Annual10"/>
      <sheetName val="With_Accom_(2)10"/>
      <sheetName val="Dbase_-_Spv10"/>
      <sheetName val="TREND_PAL11"/>
      <sheetName val="Others_(3)8"/>
      <sheetName val="Wef_17Jun058"/>
      <sheetName val="2006_FA_SCHEDULE63"/>
      <sheetName val="Report_Summary63"/>
      <sheetName val="Pension_Report63"/>
      <sheetName val="TOTAL_Qtrly_Incentive61"/>
      <sheetName val="Control_Panel61"/>
      <sheetName val="WNL_(2)61"/>
      <sheetName val="TB_Jun0461"/>
      <sheetName val="Projects_numbers61"/>
      <sheetName val="NGC-AGOT_-_FEB'1811"/>
      <sheetName val="NPDC-December_201711"/>
      <sheetName val="Computer_Stationery14"/>
      <sheetName val="GB_Intang_P1211"/>
      <sheetName val="Trial_balance_-_raw11"/>
      <sheetName val="[NEWTY_XLS]Module1\11"/>
      <sheetName val="[NEWTY_XLS][NEWTY_XLS]Module111"/>
      <sheetName val="AnnualTax_1111"/>
      <sheetName val="Std_Annual11"/>
      <sheetName val="With_Accom_(2)11"/>
      <sheetName val="Dbase_-_Spv11"/>
      <sheetName val="TREND_PAL12"/>
      <sheetName val="Others_(3)9"/>
      <sheetName val="Wef_17Jun059"/>
      <sheetName val="Gratuity DBase"/>
      <sheetName val="mov"/>
      <sheetName val="1403"/>
      <sheetName val="Overt"/>
      <sheetName val="BTM Up Monthly"/>
      <sheetName val="Title Page "/>
      <sheetName val="Cover Sheet"/>
      <sheetName val="Hist"/>
      <sheetName val="Inp &amp; Assumptions"/>
      <sheetName val="Calc"/>
      <sheetName val="FA"/>
      <sheetName val="BS"/>
      <sheetName val="Ctrl"/>
      <sheetName val="Analysis"/>
      <sheetName val="jan.01"/>
      <sheetName val="RE 2"/>
      <sheetName val="Fixed Assets"/>
      <sheetName val="RefData"/>
      <sheetName val="CCdata"/>
      <sheetName val="MasterData"/>
      <sheetName val="AG+SF"/>
      <sheetName val="Partner Rep"/>
      <sheetName val="RE_2"/>
      <sheetName val="RE_21"/>
      <sheetName val="[NEWTY_XLS][NEWTY_XLS]_NEWTY__2"/>
      <sheetName val="Title_Page_"/>
      <sheetName val="Cover_Sheet"/>
      <sheetName val="Inp_&amp;_Assumptions"/>
      <sheetName val="jan_01"/>
      <sheetName val="Gratuity_DBase"/>
      <sheetName val="RE_22"/>
      <sheetName val="A"/>
      <sheetName val="Input Templates"/>
      <sheetName val="Other Allowances"/>
      <sheetName val="Pension"/>
      <sheetName val="WIP"/>
      <sheetName val="TREND_PAL13"/>
      <sheetName val="Others_(3)10"/>
      <sheetName val="Computer_Stationery15"/>
      <sheetName val="TOTAL_Qtrly_Incentive62"/>
      <sheetName val="Control_Panel62"/>
      <sheetName val="WNL_(2)62"/>
      <sheetName val="TB_Jun0462"/>
      <sheetName val="Projects_numbers62"/>
      <sheetName val="NGC-AGOT_-_FEB'1812"/>
      <sheetName val="NPDC-December_201712"/>
      <sheetName val="TREND_PAL14"/>
      <sheetName val="Others_(3)11"/>
      <sheetName val="Computer_Stationery16"/>
      <sheetName val="2006_FA_SCHEDULE64"/>
      <sheetName val="Report_Summary64"/>
      <sheetName val="Pension_Report64"/>
      <sheetName val="TOTAL_Qtrly_Incentive63"/>
      <sheetName val="Control_Panel63"/>
      <sheetName val="WNL_(2)63"/>
      <sheetName val="TB_Jun0463"/>
      <sheetName val="Projects_numbers63"/>
      <sheetName val="NGC-AGOT_-_FEB'1813"/>
      <sheetName val="NPDC-December_201713"/>
      <sheetName val="[NEWTY_XLS]Module1\12"/>
      <sheetName val="[NEWTY_XLS][NEWTY_XLS]Module112"/>
      <sheetName val="With_Accom_(2)12"/>
      <sheetName val="TREND_PAL15"/>
      <sheetName val="Others_(3)12"/>
      <sheetName val="AnnualTax_1112"/>
      <sheetName val="Std_Annual12"/>
      <sheetName val="Computer_Stationery17"/>
      <sheetName val="GB_Intang_P1212"/>
      <sheetName val="Trial_balance_-_raw12"/>
      <sheetName val="Module1_"/>
      <sheetName val="Other_Allowances1"/>
      <sheetName val="Other_Allowances"/>
      <sheetName val="Jan_17_(Invoice)8"/>
      <sheetName val="Feb_17_(Invoice)8"/>
      <sheetName val="Mar_17_(Invoice)8"/>
      <sheetName val="Apr_17_(Invoice)8"/>
      <sheetName val="May_17_(Invoice)8"/>
      <sheetName val="Jun_17_(Invoice)8"/>
      <sheetName val="Jul_17(Invoice)8"/>
      <sheetName val="Aug_17(Invoice)8"/>
      <sheetName val="Other_Allowances5"/>
      <sheetName val="Other_Allowances2"/>
      <sheetName val="Other_Allowances3"/>
      <sheetName val="Jan_17_(Invoice)7"/>
      <sheetName val="Feb_17_(Invoice)7"/>
      <sheetName val="Mar_17_(Invoice)7"/>
      <sheetName val="Apr_17_(Invoice)7"/>
      <sheetName val="May_17_(Invoice)7"/>
      <sheetName val="Jun_17_(Invoice)7"/>
      <sheetName val="Jul_17(Invoice)7"/>
      <sheetName val="Aug_17(Invoice)7"/>
      <sheetName val="Other_Allowances4"/>
      <sheetName val="Jan_17_(Invoice)9"/>
      <sheetName val="Feb_17_(Invoice)9"/>
      <sheetName val="Mar_17_(Invoice)9"/>
      <sheetName val="Apr_17_(Invoice)9"/>
      <sheetName val="May_17_(Invoice)9"/>
      <sheetName val="Jun_17_(Invoice)9"/>
      <sheetName val="Jul_17(Invoice)9"/>
      <sheetName val="Aug_17(Invoice)9"/>
      <sheetName val="Other_Allowances6"/>
      <sheetName val="PPT format HY PBET"/>
      <sheetName val="GAS_GRP"/>
      <sheetName val="LOCAL"/>
      <sheetName val="Budget"/>
      <sheetName val="Per Plant"/>
      <sheetName val="June30CLR"/>
      <sheetName val=".xls)FICreditBorrowers_List_04-"/>
      <sheetName val="_NEWTY.XLS_Module1_"/>
      <sheetName val="_NEWTY.XLS__NEWTY.XLS_Module1_"/>
      <sheetName val="[NEWTY.XLS][NEWTY.XLS][NEWTY.XL"/>
      <sheetName val="[NEWTY_XLS][NEWTY_XLS][NEWTY_X1"/>
      <sheetName val="[NEWTY_XLS][NEWTY_XLS][NEWTY_XL"/>
      <sheetName val="capex_unit_cost_infra_2001"/>
      <sheetName val="Fixed Assets Schedule"/>
      <sheetName val="Per_Plant"/>
      <sheetName val="_xls)FICreditBorrowers_List_04-"/>
      <sheetName val="Provision for bad debt"/>
      <sheetName val="Dbase_-_Spv12"/>
      <sheetName val="Computer_Stationery18"/>
      <sheetName val="Dbase_-_Spv13"/>
      <sheetName val="GB_Intang_P1213"/>
      <sheetName val="Trial_balance_-_raw13"/>
      <sheetName val="[NEWTY_XLS]Module1\13"/>
      <sheetName val="[NEWTY_XLS][NEWTY_XLS]Module113"/>
      <sheetName val="Others_(3)13"/>
      <sheetName val="With_Accom_(2)13"/>
      <sheetName val="AnnualTax_1113"/>
      <sheetName val="Std_Annual13"/>
      <sheetName val="2006_FA_SCHEDULE65"/>
      <sheetName val="Report_Summary65"/>
      <sheetName val="Pension_Report65"/>
      <sheetName val="Control_Panel64"/>
      <sheetName val="WNL_(2)64"/>
      <sheetName val="TB_Jun0464"/>
      <sheetName val="Projects_numbers64"/>
      <sheetName val="TOTAL_Qtrly_Incentive64"/>
      <sheetName val="NGC-AGOT_-_FEB'1814"/>
      <sheetName val="NPDC-December_201714"/>
      <sheetName val="Computer_Stationery19"/>
      <sheetName val="Dbase_-_Spv14"/>
      <sheetName val="GB_Intang_P1214"/>
      <sheetName val="Trial_balance_-_raw14"/>
      <sheetName val="[NEWTY_XLS]Module1\14"/>
      <sheetName val="[NEWTY_XLS][NEWTY_XLS]Module114"/>
      <sheetName val="Others_(3)14"/>
      <sheetName val="With_Accom_(2)14"/>
      <sheetName val="AnnualTax_1114"/>
      <sheetName val="Std_Annual14"/>
      <sheetName val="P&amp;T Dbase-Jnr Ewe"/>
      <sheetName val="P&amp;T Dbase-Jnr Shg"/>
      <sheetName val="P&amp;T Dbase-Jnr HQ"/>
      <sheetName val="BTM_Up_Monthly"/>
      <sheetName val="[NEWTY_XLS][NEWTY_XLS]_NEWTY__1"/>
      <sheetName val="Title_Page_1"/>
      <sheetName val="Cover_Sheet1"/>
      <sheetName val="Inp_&amp;_Assumptions1"/>
      <sheetName val="jan_011"/>
      <sheetName val="Gratuity_DBase1"/>
      <sheetName val="RE_23"/>
      <sheetName val="Fixed_Assets"/>
      <sheetName val="Partner_Rep"/>
      <sheetName val="BTM_Up_Monthly1"/>
      <sheetName val="[NEWTY_XLS][NEWTY_XLS]_NEWTY__3"/>
      <sheetName val="Title_Page_2"/>
      <sheetName val="Cover_Sheet2"/>
      <sheetName val="Inp_&amp;_Assumptions2"/>
      <sheetName val="jan_012"/>
      <sheetName val="Gratuity_DBase2"/>
      <sheetName val="RE_24"/>
      <sheetName val="Fixed_Assets1"/>
      <sheetName val="Partner_Rep1"/>
      <sheetName val="TREND_PAL16"/>
      <sheetName val="conversion_cost_YTD_2018_(2)5"/>
      <sheetName val="CC_-_Dec__2017_YTD5"/>
      <sheetName val="DSR_K5"/>
      <sheetName val="MAJOR_ACTIVITIES5"/>
      <sheetName val="Q3_P_&amp;_L5"/>
      <sheetName val="Profit_Recon5"/>
      <sheetName val="SAP_SFP5"/>
      <sheetName val="TB_Asset5"/>
      <sheetName val="KEY_RATIO5"/>
      <sheetName val="cost_per_unit5"/>
      <sheetName val="Direct_Expenses5"/>
      <sheetName val="CONSO_K5"/>
      <sheetName val="P&amp;_L__Analysis5"/>
      <sheetName val="TPT_Inc5"/>
      <sheetName val="Direct_over_head5"/>
      <sheetName val="INCOME_TB5"/>
      <sheetName val="2017_bud5"/>
      <sheetName val="SSC_K5"/>
      <sheetName val="Profit_Rec_Worksheet5"/>
      <sheetName val="Sales_Analysis5"/>
      <sheetName val="OCT__2016-TB5"/>
      <sheetName val="note_workings5"/>
      <sheetName val="PBT_Analysis5"/>
      <sheetName val="Nov2014_MPR5"/>
      <sheetName val="NOV2014_Note5"/>
      <sheetName val="YTD_20145"/>
      <sheetName val="OCT_2014_FS5"/>
      <sheetName val="2014_prod5"/>
      <sheetName val="2015_Bud_Ass5"/>
      <sheetName val="2015_Bud25"/>
      <sheetName val="conversion_cost_sum5"/>
      <sheetName val="conversion_cost25"/>
      <sheetName val="August_20155"/>
      <sheetName val="Feb'18_TB5"/>
      <sheetName val="TRIAL_BALANCE__2019_YTD5"/>
      <sheetName val="August_2019_TB5"/>
      <sheetName val="conversion_cost_YTD_20195"/>
      <sheetName val="Conversion_cost_August_20195"/>
      <sheetName val="50KG_INCENTIVES5"/>
      <sheetName val="Retail_Incentives_5"/>
      <sheetName val="Omitted_3rd_quater5"/>
      <sheetName val="CC_-_JUNE_2018_Month5"/>
      <sheetName val="Report_Header_Dates5"/>
      <sheetName val="DIRECT_LABOUR5"/>
      <sheetName val="DIRECT_OVERHEAD5"/>
      <sheetName val="S_AND_D5"/>
      <sheetName val="ADMIN_(2)5"/>
      <sheetName val="Non-oper__cost5"/>
      <sheetName val="President_DB_-_Cost_per_T_5"/>
      <sheetName val="Conversion_cost_MaY_20195"/>
      <sheetName val="President_DB-_Rev_&amp;_Prod5"/>
      <sheetName val="Jan_17_(Invoice)10"/>
      <sheetName val="Feb_17_(Invoice)10"/>
      <sheetName val="Mar_17_(Invoice)10"/>
      <sheetName val="Apr_17_(Invoice)10"/>
      <sheetName val="May_17_(Invoice)10"/>
      <sheetName val="Jun_17_(Invoice)10"/>
      <sheetName val="Jul_17(Invoice)10"/>
      <sheetName val="Aug_17(Invoice)10"/>
      <sheetName val="[NEWTY_XLS][NEWTY_XLS]_NEWTY__4"/>
      <sheetName val="Wef_17Jun0510"/>
      <sheetName val="jan_013"/>
      <sheetName val="OPS_MECHANICAL_BUDGET2"/>
      <sheetName val="HSE_OMOKU2"/>
      <sheetName val="BTM_Up_Monthly2"/>
      <sheetName val="Title_Page_3"/>
      <sheetName val="Cover_Sheet3"/>
      <sheetName val="Inp_&amp;_Assumptions3"/>
      <sheetName val="Gratuity_DBase3"/>
      <sheetName val="RE_25"/>
      <sheetName val="Fixed_Assets2"/>
      <sheetName val="Partner_Rep2"/>
      <sheetName val="Other_Allowances7"/>
      <sheetName val="Input_Templates"/>
      <sheetName val="Source_data"/>
      <sheetName val="P&amp;T_Dbase-Jnr_Ewe"/>
      <sheetName val="P&amp;T_Dbase-Jnr_Shg"/>
      <sheetName val="P&amp;T_Dbase-Jnr_HQ"/>
      <sheetName val="PPT_format_HY_PBET"/>
      <sheetName val="HARD SOAPS_Existing"/>
      <sheetName val="conversion_cost_YTD_2018_(2)6"/>
      <sheetName val="CC_-_Dec__2017_YTD6"/>
      <sheetName val="DSR_K6"/>
      <sheetName val="MAJOR_ACTIVITIES6"/>
      <sheetName val="Q3_P_&amp;_L6"/>
      <sheetName val="Profit_Recon6"/>
      <sheetName val="SAP_SFP6"/>
      <sheetName val="TB_Asset6"/>
      <sheetName val="KEY_RATIO6"/>
      <sheetName val="cost_per_unit6"/>
      <sheetName val="Direct_Expenses6"/>
      <sheetName val="CONSO_K6"/>
      <sheetName val="P&amp;_L__Analysis6"/>
      <sheetName val="TPT_Inc6"/>
      <sheetName val="Direct_over_head6"/>
      <sheetName val="INCOME_TB6"/>
      <sheetName val="2017_bud6"/>
      <sheetName val="SSC_K6"/>
      <sheetName val="Profit_Rec_Worksheet6"/>
      <sheetName val="Sales_Analysis6"/>
      <sheetName val="OCT__2016-TB6"/>
      <sheetName val="note_workings6"/>
      <sheetName val="PBT_Analysis6"/>
      <sheetName val="Nov2014_MPR6"/>
      <sheetName val="NOV2014_Note6"/>
      <sheetName val="YTD_20146"/>
      <sheetName val="OCT_2014_FS6"/>
      <sheetName val="2014_prod6"/>
      <sheetName val="2015_Bud_Ass6"/>
      <sheetName val="2015_Bud26"/>
      <sheetName val="conversion_cost_sum6"/>
      <sheetName val="conversion_cost26"/>
      <sheetName val="August_20156"/>
      <sheetName val="Feb'18_TB6"/>
      <sheetName val="TRIAL_BALANCE__2019_YTD6"/>
      <sheetName val="August_2019_TB6"/>
      <sheetName val="conversion_cost_YTD_20196"/>
      <sheetName val="Conversion_cost_August_20196"/>
      <sheetName val="50KG_INCENTIVES6"/>
      <sheetName val="Retail_Incentives_6"/>
      <sheetName val="Omitted_3rd_quater6"/>
      <sheetName val="CC_-_JUNE_2018_Month6"/>
      <sheetName val="Report_Header_Dates6"/>
      <sheetName val="DIRECT_LABOUR6"/>
      <sheetName val="DIRECT_OVERHEAD6"/>
      <sheetName val="S_AND_D6"/>
      <sheetName val="ADMIN_(2)6"/>
      <sheetName val="Non-oper__cost6"/>
      <sheetName val="President_DB_-_Cost_per_T_6"/>
      <sheetName val="Conversion_cost_MaY_20196"/>
      <sheetName val="President_DB-_Rev_&amp;_Prod6"/>
      <sheetName val="BTM_Up_Monthly3"/>
      <sheetName val="[NEWTY_XLS][NEWTY_XLS]_NEWTY__5"/>
      <sheetName val="Title_Page_4"/>
      <sheetName val="Cover_Sheet4"/>
      <sheetName val="Inp_&amp;_Assumptions4"/>
      <sheetName val="jan_014"/>
      <sheetName val="Gratuity_DBase4"/>
      <sheetName val="RE_26"/>
      <sheetName val="Fixed_Assets3"/>
      <sheetName val="Partner_Rep3"/>
      <sheetName val="Input_Templates1"/>
      <sheetName val="Source_data1"/>
      <sheetName val="conversion_cost_YTD_2018_(2)7"/>
      <sheetName val="CC_-_Dec__2017_YTD7"/>
      <sheetName val="DSR_K7"/>
      <sheetName val="MAJOR_ACTIVITIES7"/>
      <sheetName val="Q3_P_&amp;_L7"/>
      <sheetName val="Profit_Recon7"/>
      <sheetName val="SAP_SFP7"/>
      <sheetName val="TB_Asset7"/>
      <sheetName val="KEY_RATIO7"/>
      <sheetName val="cost_per_unit7"/>
      <sheetName val="Direct_Expenses7"/>
      <sheetName val="CONSO_K7"/>
      <sheetName val="P&amp;_L__Analysis7"/>
      <sheetName val="TPT_Inc7"/>
      <sheetName val="Direct_over_head7"/>
      <sheetName val="INCOME_TB7"/>
      <sheetName val="2017_bud7"/>
      <sheetName val="SSC_K7"/>
      <sheetName val="Profit_Rec_Worksheet7"/>
      <sheetName val="Sales_Analysis7"/>
      <sheetName val="OCT__2016-TB7"/>
      <sheetName val="note_workings7"/>
      <sheetName val="PBT_Analysis7"/>
      <sheetName val="Nov2014_MPR7"/>
      <sheetName val="NOV2014_Note7"/>
      <sheetName val="YTD_20147"/>
      <sheetName val="OCT_2014_FS7"/>
      <sheetName val="2014_prod7"/>
      <sheetName val="2015_Bud_Ass7"/>
      <sheetName val="2015_Bud27"/>
      <sheetName val="conversion_cost_sum7"/>
      <sheetName val="conversion_cost27"/>
      <sheetName val="August_20157"/>
      <sheetName val="Feb'18_TB7"/>
      <sheetName val="TRIAL_BALANCE__2019_YTD7"/>
      <sheetName val="August_2019_TB7"/>
      <sheetName val="conversion_cost_YTD_20197"/>
      <sheetName val="Conversion_cost_August_20197"/>
      <sheetName val="50KG_INCENTIVES7"/>
      <sheetName val="Retail_Incentives_7"/>
      <sheetName val="Omitted_3rd_quater7"/>
      <sheetName val="CC_-_JUNE_2018_Month7"/>
      <sheetName val="Report_Header_Dates7"/>
      <sheetName val="DIRECT_LABOUR7"/>
      <sheetName val="DIRECT_OVERHEAD7"/>
      <sheetName val="S_AND_D7"/>
      <sheetName val="ADMIN_(2)7"/>
      <sheetName val="Non-oper__cost7"/>
      <sheetName val="President_DB_-_Cost_per_T_7"/>
      <sheetName val="Conversion_cost_MaY_20197"/>
      <sheetName val="President_DB-_Rev_&amp;_Prod7"/>
      <sheetName val="BTM_Up_Monthly4"/>
      <sheetName val="[NEWTY_XLS][NEWTY_XLS]_NEWTY__6"/>
      <sheetName val="Title_Page_5"/>
      <sheetName val="Cover_Sheet5"/>
      <sheetName val="Inp_&amp;_Assumptions5"/>
      <sheetName val="jan_015"/>
      <sheetName val="Gratuity_DBase5"/>
      <sheetName val="RE_27"/>
      <sheetName val="Fixed_Assets4"/>
      <sheetName val="Partner_Rep4"/>
      <sheetName val="Input_Templates2"/>
      <sheetName val="Source_data2"/>
      <sheetName val="P&amp;T_Dbase-Jnr_Ewe1"/>
      <sheetName val="P&amp;T_Dbase-Jnr_Shg1"/>
      <sheetName val="P&amp;T_Dbase-Jnr_HQ1"/>
      <sheetName val="conversion_cost_YTD_2018_(2)8"/>
      <sheetName val="CC_-_Dec__2017_YTD8"/>
      <sheetName val="DSR_K8"/>
      <sheetName val="MAJOR_ACTIVITIES8"/>
      <sheetName val="Q3_P_&amp;_L8"/>
      <sheetName val="Profit_Recon8"/>
      <sheetName val="SAP_SFP8"/>
      <sheetName val="TB_Asset8"/>
      <sheetName val="KEY_RATIO8"/>
      <sheetName val="cost_per_unit8"/>
      <sheetName val="Direct_Expenses8"/>
      <sheetName val="CONSO_K8"/>
      <sheetName val="P&amp;_L__Analysis8"/>
      <sheetName val="TPT_Inc8"/>
      <sheetName val="Direct_over_head8"/>
      <sheetName val="INCOME_TB8"/>
      <sheetName val="2017_bud8"/>
      <sheetName val="SSC_K8"/>
      <sheetName val="Profit_Rec_Worksheet8"/>
      <sheetName val="Sales_Analysis8"/>
      <sheetName val="OCT__2016-TB8"/>
      <sheetName val="note_workings8"/>
      <sheetName val="PBT_Analysis8"/>
      <sheetName val="Nov2014_MPR8"/>
      <sheetName val="NOV2014_Note8"/>
      <sheetName val="YTD_20148"/>
      <sheetName val="OCT_2014_FS8"/>
      <sheetName val="2014_prod8"/>
      <sheetName val="2015_Bud_Ass8"/>
      <sheetName val="2015_Bud28"/>
      <sheetName val="conversion_cost_sum8"/>
      <sheetName val="conversion_cost28"/>
      <sheetName val="August_20158"/>
      <sheetName val="Feb'18_TB8"/>
      <sheetName val="TRIAL_BALANCE__2019_YTD8"/>
      <sheetName val="August_2019_TB8"/>
      <sheetName val="conversion_cost_YTD_20198"/>
      <sheetName val="Conversion_cost_August_20198"/>
      <sheetName val="50KG_INCENTIVES8"/>
      <sheetName val="Retail_Incentives_8"/>
      <sheetName val="Omitted_3rd_quater8"/>
      <sheetName val="CC_-_JUNE_2018_Month8"/>
      <sheetName val="Report_Header_Dates8"/>
      <sheetName val="DIRECT_LABOUR8"/>
      <sheetName val="DIRECT_OVERHEAD8"/>
      <sheetName val="S_AND_D8"/>
      <sheetName val="ADMIN_(2)8"/>
      <sheetName val="Non-oper__cost8"/>
      <sheetName val="President_DB_-_Cost_per_T_8"/>
      <sheetName val="Conversion_cost_MaY_20198"/>
      <sheetName val="President_DB-_Rev_&amp;_Prod8"/>
      <sheetName val="BTM_Up_Monthly5"/>
      <sheetName val="[NEWTY_XLS][NEWTY_XLS]_NEWTY__7"/>
      <sheetName val="Title_Page_6"/>
      <sheetName val="Cover_Sheet6"/>
      <sheetName val="Inp_&amp;_Assumptions6"/>
      <sheetName val="jan_016"/>
      <sheetName val="Gratuity_DBase6"/>
      <sheetName val="RE_28"/>
      <sheetName val="Fixed_Assets5"/>
      <sheetName val="Partner_Rep5"/>
      <sheetName val="Input_Templates3"/>
      <sheetName val="Source_data3"/>
      <sheetName val="P&amp;T_Dbase-Jnr_Ewe2"/>
      <sheetName val="P&amp;T_Dbase-Jnr_Shg2"/>
      <sheetName val="P&amp;T_Dbase-Jnr_HQ2"/>
      <sheetName val="conversion_cost_YTD_2018_(2)9"/>
      <sheetName val="CC_-_Dec__2017_YTD9"/>
      <sheetName val="DSR_K9"/>
      <sheetName val="MAJOR_ACTIVITIES9"/>
      <sheetName val="Q3_P_&amp;_L9"/>
      <sheetName val="Profit_Recon9"/>
      <sheetName val="SAP_SFP9"/>
      <sheetName val="TB_Asset9"/>
      <sheetName val="KEY_RATIO9"/>
      <sheetName val="cost_per_unit9"/>
      <sheetName val="Direct_Expenses9"/>
      <sheetName val="CONSO_K9"/>
      <sheetName val="P&amp;_L__Analysis9"/>
      <sheetName val="TPT_Inc9"/>
      <sheetName val="Direct_over_head9"/>
      <sheetName val="INCOME_TB9"/>
      <sheetName val="2017_bud9"/>
      <sheetName val="SSC_K9"/>
      <sheetName val="Profit_Rec_Worksheet9"/>
      <sheetName val="Sales_Analysis9"/>
      <sheetName val="OCT__2016-TB9"/>
      <sheetName val="note_workings9"/>
      <sheetName val="PBT_Analysis9"/>
      <sheetName val="Nov2014_MPR9"/>
      <sheetName val="NOV2014_Note9"/>
      <sheetName val="YTD_20149"/>
      <sheetName val="OCT_2014_FS9"/>
      <sheetName val="2014_prod9"/>
      <sheetName val="2015_Bud_Ass9"/>
      <sheetName val="2015_Bud29"/>
      <sheetName val="conversion_cost_sum9"/>
      <sheetName val="conversion_cost29"/>
      <sheetName val="August_20159"/>
      <sheetName val="Feb'18_TB9"/>
      <sheetName val="TRIAL_BALANCE__2019_YTD9"/>
      <sheetName val="August_2019_TB9"/>
      <sheetName val="conversion_cost_YTD_20199"/>
      <sheetName val="Conversion_cost_August_20199"/>
      <sheetName val="50KG_INCENTIVES9"/>
      <sheetName val="Retail_Incentives_9"/>
      <sheetName val="Omitted_3rd_quater9"/>
      <sheetName val="CC_-_JUNE_2018_Month9"/>
      <sheetName val="Report_Header_Dates9"/>
      <sheetName val="DIRECT_LABOUR9"/>
      <sheetName val="DIRECT_OVERHEAD9"/>
      <sheetName val="S_AND_D9"/>
      <sheetName val="ADMIN_(2)9"/>
      <sheetName val="Non-oper__cost9"/>
      <sheetName val="President_DB_-_Cost_per_T_9"/>
      <sheetName val="Conversion_cost_MaY_20199"/>
      <sheetName val="President_DB-_Rev_&amp;_Prod9"/>
      <sheetName val="BTM_Up_Monthly6"/>
      <sheetName val="[NEWTY_XLS][NEWTY_XLS]_NEWTY__8"/>
      <sheetName val="Title_Page_7"/>
      <sheetName val="Cover_Sheet7"/>
      <sheetName val="Inp_&amp;_Assumptions7"/>
      <sheetName val="jan_017"/>
      <sheetName val="Gratuity_DBase7"/>
      <sheetName val="RE_29"/>
      <sheetName val="Fixed_Assets6"/>
      <sheetName val="Partner_Rep6"/>
      <sheetName val="Input_Templates4"/>
      <sheetName val="Source_data4"/>
      <sheetName val="P&amp;T_Dbase-Jnr_Ewe3"/>
      <sheetName val="P&amp;T_Dbase-Jnr_Shg3"/>
      <sheetName val="P&amp;T_Dbase-Jnr_HQ3"/>
      <sheetName val="MA"/>
      <sheetName val="conversion_cost_YTD_2018_(2)10"/>
      <sheetName val="CC_-_Dec__2017_YTD10"/>
      <sheetName val="DSR_K10"/>
      <sheetName val="MAJOR_ACTIVITIES10"/>
      <sheetName val="Q3_P_&amp;_L10"/>
      <sheetName val="Profit_Recon10"/>
      <sheetName val="SAP_SFP10"/>
      <sheetName val="TB_Asset10"/>
      <sheetName val="KEY_RATIO10"/>
      <sheetName val="cost_per_unit10"/>
      <sheetName val="Direct_Expenses10"/>
      <sheetName val="CONSO_K10"/>
      <sheetName val="P&amp;_L__Analysis10"/>
      <sheetName val="TPT_Inc10"/>
      <sheetName val="Direct_over_head10"/>
      <sheetName val="INCOME_TB10"/>
      <sheetName val="2017_bud10"/>
      <sheetName val="SSC_K10"/>
      <sheetName val="Profit_Rec_Worksheet10"/>
      <sheetName val="Sales_Analysis10"/>
      <sheetName val="OCT__2016-TB10"/>
      <sheetName val="note_workings10"/>
      <sheetName val="PBT_Analysis10"/>
      <sheetName val="Nov2014_MPR10"/>
      <sheetName val="NOV2014_Note10"/>
      <sheetName val="YTD_201410"/>
      <sheetName val="OCT_2014_FS10"/>
      <sheetName val="2014_prod10"/>
      <sheetName val="2015_Bud_Ass10"/>
      <sheetName val="2015_Bud210"/>
      <sheetName val="conversion_cost_sum10"/>
      <sheetName val="conversion_cost210"/>
      <sheetName val="August_201510"/>
      <sheetName val="Feb'18_TB10"/>
      <sheetName val="TRIAL_BALANCE__2019_YTD10"/>
      <sheetName val="August_2019_TB10"/>
      <sheetName val="conversion_cost_YTD_201910"/>
      <sheetName val="Conversion_cost_August_201910"/>
      <sheetName val="50KG_INCENTIVES10"/>
      <sheetName val="Retail_Incentives_10"/>
      <sheetName val="Omitted_3rd_quater10"/>
      <sheetName val="CC_-_JUNE_2018_Month10"/>
      <sheetName val="Report_Header_Dates10"/>
      <sheetName val="DIRECT_LABOUR10"/>
      <sheetName val="DIRECT_OVERHEAD10"/>
      <sheetName val="S_AND_D10"/>
      <sheetName val="ADMIN_(2)10"/>
      <sheetName val="Non-oper__cost10"/>
      <sheetName val="President_DB_-_Cost_per_T_10"/>
      <sheetName val="Conversion_cost_MaY_201910"/>
      <sheetName val="President_DB-_Rev_&amp;_Prod10"/>
      <sheetName val="conversion_cost_YTD_2018_(2)11"/>
      <sheetName val="CC_-_Dec__2017_YTD11"/>
      <sheetName val="DSR_K11"/>
      <sheetName val="MAJOR_ACTIVITIES11"/>
      <sheetName val="Q3_P_&amp;_L11"/>
      <sheetName val="Profit_Recon11"/>
      <sheetName val="SAP_SFP11"/>
      <sheetName val="TB_Asset11"/>
      <sheetName val="KEY_RATIO11"/>
      <sheetName val="cost_per_unit11"/>
      <sheetName val="Direct_Expenses11"/>
      <sheetName val="CONSO_K11"/>
      <sheetName val="P&amp;_L__Analysis11"/>
      <sheetName val="TPT_Inc11"/>
      <sheetName val="Direct_over_head11"/>
      <sheetName val="INCOME_TB11"/>
      <sheetName val="2017_bud11"/>
      <sheetName val="SSC_K11"/>
      <sheetName val="Profit_Rec_Worksheet11"/>
      <sheetName val="Sales_Analysis11"/>
      <sheetName val="OCT__2016-TB11"/>
      <sheetName val="note_workings11"/>
      <sheetName val="PBT_Analysis11"/>
      <sheetName val="Nov2014_MPR11"/>
      <sheetName val="NOV2014_Note11"/>
      <sheetName val="YTD_201411"/>
      <sheetName val="OCT_2014_FS11"/>
      <sheetName val="2014_prod11"/>
      <sheetName val="2015_Bud_Ass11"/>
      <sheetName val="2015_Bud211"/>
      <sheetName val="conversion_cost_sum11"/>
      <sheetName val="conversion_cost211"/>
      <sheetName val="August_201511"/>
      <sheetName val="Feb'18_TB11"/>
      <sheetName val="TRIAL_BALANCE__2019_YTD11"/>
      <sheetName val="August_2019_TB11"/>
      <sheetName val="conversion_cost_YTD_201911"/>
      <sheetName val="Conversion_cost_August_201911"/>
      <sheetName val="50KG_INCENTIVES11"/>
      <sheetName val="Retail_Incentives_11"/>
      <sheetName val="Omitted_3rd_quater11"/>
      <sheetName val="CC_-_JUNE_2018_Month11"/>
      <sheetName val="Report_Header_Dates11"/>
      <sheetName val="DIRECT_LABOUR11"/>
      <sheetName val="DIRECT_OVERHEAD11"/>
      <sheetName val="S_AND_D11"/>
      <sheetName val="ADMIN_(2)11"/>
      <sheetName val="Non-oper__cost11"/>
      <sheetName val="President_DB_-_Cost_per_T_11"/>
      <sheetName val="Conversion_cost_MaY_201911"/>
      <sheetName val="President_DB-_Rev_&amp;_Prod11"/>
      <sheetName val="Jan_17_(Invoice)11"/>
      <sheetName val="Feb_17_(Invoice)11"/>
      <sheetName val="Mar_17_(Invoice)11"/>
      <sheetName val="Apr_17_(Invoice)11"/>
      <sheetName val="May_17_(Invoice)11"/>
      <sheetName val="Jun_17_(Invoice)11"/>
      <sheetName val="Jul_17(Invoice)11"/>
      <sheetName val="Aug_17(Invoice)11"/>
      <sheetName val="conversion_cost_YTD_2018_(2)12"/>
      <sheetName val="CC_-_Dec__2017_YTD12"/>
      <sheetName val="DSR_K12"/>
      <sheetName val="MAJOR_ACTIVITIES12"/>
      <sheetName val="Q3_P_&amp;_L12"/>
      <sheetName val="Profit_Recon12"/>
      <sheetName val="SAP_SFP12"/>
      <sheetName val="TB_Asset12"/>
      <sheetName val="KEY_RATIO12"/>
      <sheetName val="cost_per_unit12"/>
      <sheetName val="Direct_Expenses12"/>
      <sheetName val="CONSO_K12"/>
      <sheetName val="P&amp;_L__Analysis12"/>
      <sheetName val="TPT_Inc12"/>
      <sheetName val="Direct_over_head12"/>
      <sheetName val="INCOME_TB12"/>
      <sheetName val="2017_bud12"/>
      <sheetName val="SSC_K12"/>
      <sheetName val="Profit_Rec_Worksheet12"/>
      <sheetName val="Sales_Analysis12"/>
      <sheetName val="OCT__2016-TB12"/>
      <sheetName val="note_workings12"/>
      <sheetName val="PBT_Analysis12"/>
      <sheetName val="Nov2014_MPR12"/>
      <sheetName val="NOV2014_Note12"/>
      <sheetName val="YTD_201412"/>
      <sheetName val="OCT_2014_FS12"/>
      <sheetName val="2014_prod12"/>
      <sheetName val="2015_Bud_Ass12"/>
      <sheetName val="2015_Bud212"/>
      <sheetName val="conversion_cost_sum12"/>
      <sheetName val="conversion_cost212"/>
      <sheetName val="August_201512"/>
      <sheetName val="Feb'18_TB12"/>
      <sheetName val="TRIAL_BALANCE__2019_YTD12"/>
      <sheetName val="August_2019_TB12"/>
      <sheetName val="conversion_cost_YTD_201912"/>
      <sheetName val="Conversion_cost_August_201912"/>
      <sheetName val="50KG_INCENTIVES12"/>
      <sheetName val="Retail_Incentives_12"/>
      <sheetName val="Omitted_3rd_quater12"/>
      <sheetName val="CC_-_JUNE_2018_Month12"/>
      <sheetName val="Report_Header_Dates12"/>
      <sheetName val="DIRECT_LABOUR12"/>
      <sheetName val="DIRECT_OVERHEAD12"/>
      <sheetName val="S_AND_D12"/>
      <sheetName val="ADMIN_(2)12"/>
      <sheetName val="Non-oper__cost12"/>
      <sheetName val="President_DB_-_Cost_per_T_12"/>
      <sheetName val="Conversion_cost_MaY_201912"/>
      <sheetName val="President_DB-_Rev_&amp;_Prod12"/>
      <sheetName val="Jan_17_(Invoice)12"/>
      <sheetName val="Feb_17_(Invoice)12"/>
      <sheetName val="Mar_17_(Invoice)12"/>
      <sheetName val="Apr_17_(Invoice)12"/>
      <sheetName val="May_17_(Invoice)12"/>
      <sheetName val="Jun_17_(Invoice)12"/>
      <sheetName val="Jul_17(Invoice)12"/>
      <sheetName val="Aug_17(Invoice)12"/>
      <sheetName val="conversion_cost_YTD_2018_(2)13"/>
      <sheetName val="CC_-_Dec__2017_YTD13"/>
      <sheetName val="DSR_K13"/>
      <sheetName val="MAJOR_ACTIVITIES13"/>
      <sheetName val="Q3_P_&amp;_L13"/>
      <sheetName val="Profit_Recon13"/>
      <sheetName val="SAP_SFP13"/>
      <sheetName val="TB_Asset13"/>
      <sheetName val="KEY_RATIO13"/>
      <sheetName val="cost_per_unit13"/>
      <sheetName val="Direct_Expenses13"/>
      <sheetName val="CONSO_K13"/>
      <sheetName val="P&amp;_L__Analysis13"/>
      <sheetName val="TPT_Inc13"/>
      <sheetName val="Direct_over_head13"/>
      <sheetName val="INCOME_TB13"/>
      <sheetName val="2017_bud13"/>
      <sheetName val="SSC_K13"/>
      <sheetName val="Profit_Rec_Worksheet13"/>
      <sheetName val="Sales_Analysis13"/>
      <sheetName val="OCT__2016-TB13"/>
      <sheetName val="note_workings13"/>
      <sheetName val="PBT_Analysis13"/>
      <sheetName val="Nov2014_MPR13"/>
      <sheetName val="NOV2014_Note13"/>
      <sheetName val="YTD_201413"/>
      <sheetName val="OCT_2014_FS13"/>
      <sheetName val="2014_prod13"/>
      <sheetName val="2015_Bud_Ass13"/>
      <sheetName val="2015_Bud213"/>
      <sheetName val="conversion_cost_sum13"/>
      <sheetName val="conversion_cost213"/>
      <sheetName val="August_201513"/>
      <sheetName val="Feb'18_TB13"/>
      <sheetName val="TRIAL_BALANCE__2019_YTD13"/>
      <sheetName val="August_2019_TB13"/>
      <sheetName val="conversion_cost_YTD_201913"/>
      <sheetName val="Conversion_cost_August_201913"/>
      <sheetName val="50KG_INCENTIVES13"/>
      <sheetName val="Retail_Incentives_13"/>
      <sheetName val="Omitted_3rd_quater13"/>
      <sheetName val="CC_-_JUNE_2018_Month13"/>
      <sheetName val="Report_Header_Dates13"/>
      <sheetName val="DIRECT_LABOUR13"/>
      <sheetName val="DIRECT_OVERHEAD13"/>
      <sheetName val="S_AND_D13"/>
      <sheetName val="ADMIN_(2)13"/>
      <sheetName val="Non-oper__cost13"/>
      <sheetName val="President_DB_-_Cost_per_T_13"/>
      <sheetName val="Conversion_cost_MaY_201913"/>
      <sheetName val="President_DB-_Rev_&amp;_Prod13"/>
      <sheetName val="Jan_17_(Invoice)13"/>
      <sheetName val="Feb_17_(Invoice)13"/>
      <sheetName val="Mar_17_(Invoice)13"/>
      <sheetName val="Apr_17_(Invoice)13"/>
      <sheetName val="May_17_(Invoice)13"/>
      <sheetName val="Jun_17_(Invoice)13"/>
      <sheetName val="Jul_17(Invoice)13"/>
      <sheetName val="Aug_17(Invoice)13"/>
      <sheetName val="conversion_cost_YTD_2018_(2)14"/>
      <sheetName val="CC_-_Dec__2017_YTD14"/>
      <sheetName val="DSR_K14"/>
      <sheetName val="MAJOR_ACTIVITIES14"/>
      <sheetName val="Q3_P_&amp;_L14"/>
      <sheetName val="Profit_Recon14"/>
      <sheetName val="SAP_SFP14"/>
      <sheetName val="TB_Asset14"/>
      <sheetName val="KEY_RATIO14"/>
      <sheetName val="cost_per_unit14"/>
      <sheetName val="Direct_Expenses14"/>
      <sheetName val="CONSO_K14"/>
      <sheetName val="P&amp;_L__Analysis14"/>
      <sheetName val="TPT_Inc14"/>
      <sheetName val="Direct_over_head14"/>
      <sheetName val="INCOME_TB14"/>
      <sheetName val="2017_bud14"/>
      <sheetName val="SSC_K14"/>
      <sheetName val="Profit_Rec_Worksheet14"/>
      <sheetName val="Sales_Analysis14"/>
      <sheetName val="OCT__2016-TB14"/>
      <sheetName val="note_workings14"/>
      <sheetName val="PBT_Analysis14"/>
      <sheetName val="Nov2014_MPR14"/>
      <sheetName val="NOV2014_Note14"/>
      <sheetName val="YTD_201414"/>
      <sheetName val="OCT_2014_FS14"/>
      <sheetName val="2014_prod14"/>
      <sheetName val="2015_Bud_Ass14"/>
      <sheetName val="2015_Bud214"/>
      <sheetName val="conversion_cost_sum14"/>
      <sheetName val="conversion_cost214"/>
      <sheetName val="August_201514"/>
      <sheetName val="Feb'18_TB14"/>
      <sheetName val="TRIAL_BALANCE__2019_YTD14"/>
      <sheetName val="August_2019_TB14"/>
      <sheetName val="conversion_cost_YTD_201914"/>
      <sheetName val="Conversion_cost_August_201914"/>
      <sheetName val="50KG_INCENTIVES14"/>
      <sheetName val="Retail_Incentives_14"/>
      <sheetName val="Omitted_3rd_quater14"/>
      <sheetName val="CC_-_JUNE_2018_Month14"/>
      <sheetName val="Report_Header_Dates14"/>
      <sheetName val="DIRECT_LABOUR14"/>
      <sheetName val="DIRECT_OVERHEAD14"/>
      <sheetName val="S_AND_D14"/>
      <sheetName val="ADMIN_(2)14"/>
      <sheetName val="Non-oper__cost14"/>
      <sheetName val="President_DB_-_Cost_per_T_14"/>
      <sheetName val="Conversion_cost_MaY_201914"/>
      <sheetName val="President_DB-_Rev_&amp;_Prod14"/>
      <sheetName val="Jan_17_(Invoice)14"/>
      <sheetName val="Feb_17_(Invoice)14"/>
      <sheetName val="Mar_17_(Invoice)14"/>
      <sheetName val="Apr_17_(Invoice)14"/>
      <sheetName val="May_17_(Invoice)14"/>
      <sheetName val="Jun_17_(Invoice)14"/>
      <sheetName val="Jul_17(Invoice)14"/>
      <sheetName val="Aug_17(Invoice)14"/>
      <sheetName val="2006_FA_SCHEDULE66"/>
      <sheetName val="Report_Summary66"/>
      <sheetName val="Pension_Report66"/>
      <sheetName val="TOTAL_Qtrly_Incentive65"/>
      <sheetName val="Control_Panel65"/>
      <sheetName val="WNL_(2)65"/>
      <sheetName val="TB_Jun0465"/>
      <sheetName val="Projects_numbers65"/>
      <sheetName val="Dbase_-_Spv15"/>
      <sheetName val="Jan_17_(Invoice)15"/>
      <sheetName val="Feb_17_(Invoice)15"/>
      <sheetName val="Mar_17_(Invoice)15"/>
      <sheetName val="Apr_17_(Invoice)15"/>
      <sheetName val="May_17_(Invoice)15"/>
      <sheetName val="Jun_17_(Invoice)15"/>
      <sheetName val="Jul_17(Invoice)15"/>
      <sheetName val="Aug_17(Invoice)15"/>
      <sheetName val="TREND_PAL17"/>
      <sheetName val="NGC-AGOT_-_FEB'1815"/>
      <sheetName val="NPDC-December_201715"/>
      <sheetName val="[NEWTY_XLS][NEWTY_XLS]_NEWTY__9"/>
      <sheetName val="Computer_Stationery20"/>
      <sheetName val="[NEWTY_XLS][NEWTY_XLS]Module115"/>
      <sheetName val="[NEWTY_XLS]Module1\15"/>
      <sheetName val="With_Accom_(2)15"/>
      <sheetName val="AnnualTax_1115"/>
      <sheetName val="Std_Annual15"/>
      <sheetName val="conversion_cost_YTD_2018_(2)15"/>
      <sheetName val="CC_-_Dec__2017_YTD15"/>
      <sheetName val="DSR_K15"/>
      <sheetName val="MAJOR_ACTIVITIES15"/>
      <sheetName val="Q3_P_&amp;_L15"/>
      <sheetName val="Profit_Recon15"/>
      <sheetName val="SAP_SFP15"/>
      <sheetName val="TB_Asset15"/>
      <sheetName val="KEY_RATIO15"/>
      <sheetName val="cost_per_unit15"/>
      <sheetName val="Direct_Expenses15"/>
      <sheetName val="CONSO_K15"/>
      <sheetName val="P&amp;_L__Analysis15"/>
      <sheetName val="TPT_Inc15"/>
      <sheetName val="Direct_over_head15"/>
      <sheetName val="INCOME_TB15"/>
      <sheetName val="2017_bud15"/>
      <sheetName val="SSC_K15"/>
      <sheetName val="Profit_Rec_Worksheet15"/>
      <sheetName val="Sales_Analysis15"/>
      <sheetName val="OCT__2016-TB15"/>
      <sheetName val="note_workings15"/>
      <sheetName val="PBT_Analysis15"/>
      <sheetName val="Nov2014_MPR15"/>
      <sheetName val="NOV2014_Note15"/>
      <sheetName val="YTD_201415"/>
      <sheetName val="OCT_2014_FS15"/>
      <sheetName val="2014_prod15"/>
      <sheetName val="2015_Bud_Ass15"/>
      <sheetName val="2015_Bud215"/>
      <sheetName val="conversion_cost_sum15"/>
      <sheetName val="conversion_cost215"/>
      <sheetName val="August_201515"/>
      <sheetName val="Feb'18_TB15"/>
      <sheetName val="TRIAL_BALANCE__2019_YTD15"/>
      <sheetName val="August_2019_TB15"/>
      <sheetName val="conversion_cost_YTD_201915"/>
      <sheetName val="Conversion_cost_August_201915"/>
      <sheetName val="50KG_INCENTIVES15"/>
      <sheetName val="Retail_Incentives_15"/>
      <sheetName val="Omitted_3rd_quater15"/>
      <sheetName val="CC_-_JUNE_2018_Month15"/>
      <sheetName val="Report_Header_Dates15"/>
      <sheetName val="DIRECT_LABOUR15"/>
      <sheetName val="DIRECT_OVERHEAD15"/>
      <sheetName val="S_AND_D15"/>
      <sheetName val="ADMIN_(2)15"/>
      <sheetName val="Non-oper__cost15"/>
      <sheetName val="President_DB_-_Cost_per_T_15"/>
      <sheetName val="Conversion_cost_MaY_201915"/>
      <sheetName val="President_DB-_Rev_&amp;_Prod15"/>
      <sheetName val="GB_Intang_P1215"/>
      <sheetName val="Trial_balance_-_raw15"/>
      <sheetName val="Others_(3)15"/>
      <sheetName val="Wef_17Jun0511"/>
      <sheetName val="OPS_MECHANICAL_BUDGET3"/>
      <sheetName val="HSE_OMOKU3"/>
      <sheetName val="Source_data5"/>
      <sheetName val="Gratuity_DBase8"/>
      <sheetName val="BTM_Up_Monthly7"/>
      <sheetName val="Title_Page_8"/>
      <sheetName val="Cover_Sheet8"/>
      <sheetName val="Inp_&amp;_Assumptions8"/>
      <sheetName val="jan_018"/>
      <sheetName val="RE_210"/>
      <sheetName val="Fixed_Assets7"/>
      <sheetName val="Partner_Rep7"/>
      <sheetName val="Input_Templates5"/>
      <sheetName val="Other_Allowances8"/>
      <sheetName val="PPT_format_HY_PBET1"/>
      <sheetName val="Per_Plant1"/>
      <sheetName val="_xls)FICreditBorrowers_List_041"/>
      <sheetName val="_NEWTY_XLS_Module1_"/>
      <sheetName val="_NEWTY_XLS__NEWTY_XLS_Module1_"/>
      <sheetName val="[NEWTY_XLS][NEWTY_XLS][NEWTY_X2"/>
      <sheetName val="Fixed_Assets_Schedule"/>
      <sheetName val="Provision_for_bad_debt"/>
      <sheetName val="P&amp;T_Dbase-Jnr_Ewe4"/>
      <sheetName val="P&amp;T_Dbase-Jnr_Shg4"/>
      <sheetName val="P&amp;T_Dbase-Jnr_HQ4"/>
      <sheetName val="HARD_SOAPS_Existing"/>
      <sheetName val="2006_FA_SCHEDULE68"/>
      <sheetName val="Report_Summary68"/>
      <sheetName val="Pension_Report68"/>
      <sheetName val="Control_Panel67"/>
      <sheetName val="WNL_(2)67"/>
      <sheetName val="TB_Jun0467"/>
      <sheetName val="Projects_numbers67"/>
      <sheetName val="TOTAL_Qtrly_Incentive67"/>
      <sheetName val="Dbase_-_Spv17"/>
      <sheetName val="NGC-AGOT_-_FEB'1817"/>
      <sheetName val="NPDC-December_201717"/>
      <sheetName val="Computer_Stationery22"/>
      <sheetName val="TREND_PAL18"/>
      <sheetName val="With_Accom_(2)17"/>
      <sheetName val="AnnualTax_1117"/>
      <sheetName val="Std_Annual17"/>
      <sheetName val="GB_Intang_P1217"/>
      <sheetName val="Trial_balance_-_raw17"/>
      <sheetName val="[NEWTY_XLS]Module1\17"/>
      <sheetName val="[NEWTY_XLS][NEWTY_XLS]Module117"/>
      <sheetName val="OPS_MECHANICAL_BUDGET4"/>
      <sheetName val="HSE_OMOKU4"/>
      <sheetName val="Others_(3)17"/>
      <sheetName val="Wef_17Jun0512"/>
      <sheetName val="Other_Allowances9"/>
      <sheetName val="PPT_format_HY_PBET2"/>
      <sheetName val="Per_Plant3"/>
      <sheetName val="_xls)FICreditBorrowers_List_043"/>
      <sheetName val="_NEWTY_XLS_Module1_2"/>
      <sheetName val="_NEWTY_XLS__NEWTY_XLS_Module1_2"/>
      <sheetName val="[NEWTY_XLS][NEWTY_XLS][NEWTY_X4"/>
      <sheetName val="Fixed_Assets_Schedule2"/>
      <sheetName val="Provision_for_bad_debt2"/>
      <sheetName val="2006_FA_SCHEDULE67"/>
      <sheetName val="Report_Summary67"/>
      <sheetName val="Pension_Report67"/>
      <sheetName val="Control_Panel66"/>
      <sheetName val="WNL_(2)66"/>
      <sheetName val="TB_Jun0466"/>
      <sheetName val="Projects_numbers66"/>
      <sheetName val="TOTAL_Qtrly_Incentive66"/>
      <sheetName val="Dbase_-_Spv16"/>
      <sheetName val="NGC-AGOT_-_FEB'1816"/>
      <sheetName val="NPDC-December_201716"/>
      <sheetName val="Computer_Stationery21"/>
      <sheetName val="With_Accom_(2)16"/>
      <sheetName val="AnnualTax_1116"/>
      <sheetName val="Std_Annual16"/>
      <sheetName val="GB_Intang_P1216"/>
      <sheetName val="Trial_balance_-_raw16"/>
      <sheetName val="[NEWTY_XLS]Module1\16"/>
      <sheetName val="[NEWTY_XLS][NEWTY_XLS]Module116"/>
      <sheetName val="Others_(3)16"/>
      <sheetName val="Per_Plant2"/>
      <sheetName val="_xls)FICreditBorrowers_List_042"/>
      <sheetName val="_NEWTY_XLS_Module1_1"/>
      <sheetName val="_NEWTY_XLS__NEWTY_XLS_Module1_1"/>
      <sheetName val="[NEWTY_XLS][NEWTY_XLS][NEWTY_X3"/>
      <sheetName val="Fixed_Assets_Schedule1"/>
      <sheetName val="Provision_for_bad_debt1"/>
      <sheetName val="2006_FA_SCHEDULE69"/>
      <sheetName val="Report_Summary69"/>
      <sheetName val="Pension_Report69"/>
      <sheetName val="Control_Panel68"/>
      <sheetName val="WNL_(2)68"/>
      <sheetName val="TB_Jun0468"/>
      <sheetName val="Projects_numbers68"/>
      <sheetName val="TOTAL_Qtrly_Incentive68"/>
      <sheetName val="Dbase_-_Spv18"/>
      <sheetName val="NGC-AGOT_-_FEB'1818"/>
      <sheetName val="NPDC-December_201718"/>
      <sheetName val="Computer_Stationery23"/>
      <sheetName val="TREND_PAL19"/>
      <sheetName val="With_Accom_(2)18"/>
      <sheetName val="AnnualTax_1118"/>
      <sheetName val="Std_Annual18"/>
      <sheetName val="GB_Intang_P1218"/>
      <sheetName val="Trial_balance_-_raw18"/>
      <sheetName val="[NEWTY_XLS]Module1\18"/>
      <sheetName val="[NEWTY_XLS][NEWTY_XLS]Module118"/>
      <sheetName val="OPS_MECHANICAL_BUDGET5"/>
      <sheetName val="HSE_OMOKU5"/>
      <sheetName val="Others_(3)18"/>
      <sheetName val="Wef_17Jun0513"/>
      <sheetName val="Other_Allowances10"/>
      <sheetName val="PPT_format_HY_PBET3"/>
      <sheetName val="Per_Plant4"/>
      <sheetName val="_xls)FICreditBorrowers_List_044"/>
      <sheetName val="_NEWTY_XLS_Module1_3"/>
      <sheetName val="_NEWTY_XLS__NEWTY_XLS_Module1_3"/>
      <sheetName val="[NEWTY_XLS][NEWTY_XLS][NEWTY_X5"/>
      <sheetName val="Fixed_Assets_Schedule3"/>
      <sheetName val="Provision_for_bad_debt3"/>
    </sheetNames>
    <sheetDataSet>
      <sheetData sheetId="0" refreshError="1">
        <row r="5">
          <cell r="B5" t="str">
            <v>Unique</v>
          </cell>
          <cell r="C5" t="str">
            <v>Staff Name</v>
          </cell>
          <cell r="D5" t="str">
            <v>Basic</v>
          </cell>
          <cell r="E5" t="str">
            <v>Housing</v>
          </cell>
          <cell r="F5" t="str">
            <v>End-of-Year</v>
          </cell>
          <cell r="G5" t="str">
            <v xml:space="preserve">Leave </v>
          </cell>
          <cell r="H5" t="str">
            <v xml:space="preserve">Start </v>
          </cell>
          <cell r="I5" t="str">
            <v>Dependent</v>
          </cell>
          <cell r="J5" t="str">
            <v>Children</v>
          </cell>
          <cell r="K5" t="str">
            <v>Life</v>
          </cell>
          <cell r="L5" t="str">
            <v>Housing Allow.</v>
          </cell>
          <cell r="M5" t="str">
            <v>Trans. Loan</v>
          </cell>
          <cell r="N5" t="str">
            <v>Regular</v>
          </cell>
          <cell r="O5" t="str">
            <v>Annual</v>
          </cell>
        </row>
        <row r="6">
          <cell r="B6" t="str">
            <v>Serial No</v>
          </cell>
          <cell r="C6">
            <v>0</v>
          </cell>
          <cell r="D6" t="str">
            <v>Pay</v>
          </cell>
          <cell r="E6" t="str">
            <v>Allowance</v>
          </cell>
          <cell r="F6" t="str">
            <v>Bonus</v>
          </cell>
          <cell r="G6" t="str">
            <v>Allowance</v>
          </cell>
          <cell r="H6" t="str">
            <v>Date</v>
          </cell>
          <cell r="I6" t="str">
            <v>Relative</v>
          </cell>
          <cell r="J6" t="str">
            <v>Allowance</v>
          </cell>
          <cell r="K6" t="str">
            <v>Assurance</v>
          </cell>
          <cell r="L6" t="str">
            <v xml:space="preserve"> Up-Front</v>
          </cell>
          <cell r="M6" t="str">
            <v>Last Noted Amt.</v>
          </cell>
          <cell r="N6" t="str">
            <v>Repayment</v>
          </cell>
          <cell r="O6" t="str">
            <v xml:space="preserve"> Bonus</v>
          </cell>
        </row>
        <row r="8">
          <cell r="B8">
            <v>1</v>
          </cell>
          <cell r="C8" t="str">
            <v>Anihuvi Ayeni</v>
          </cell>
          <cell r="D8">
            <v>790656</v>
          </cell>
          <cell r="E8">
            <v>124000</v>
          </cell>
          <cell r="F8">
            <v>65888</v>
          </cell>
          <cell r="G8">
            <v>79066</v>
          </cell>
          <cell r="H8">
            <v>34456</v>
          </cell>
          <cell r="I8">
            <v>4000</v>
          </cell>
          <cell r="J8">
            <v>0</v>
          </cell>
          <cell r="K8">
            <v>0</v>
          </cell>
          <cell r="L8">
            <v>124000</v>
          </cell>
          <cell r="M8">
            <v>317750</v>
          </cell>
          <cell r="N8">
            <v>7750</v>
          </cell>
        </row>
        <row r="9">
          <cell r="B9">
            <v>2</v>
          </cell>
          <cell r="C9" t="str">
            <v>Fidelia Osueke</v>
          </cell>
          <cell r="D9">
            <v>843132</v>
          </cell>
          <cell r="E9">
            <v>140000</v>
          </cell>
          <cell r="F9">
            <v>70261</v>
          </cell>
          <cell r="G9">
            <v>84313</v>
          </cell>
          <cell r="H9">
            <v>34456</v>
          </cell>
          <cell r="I9">
            <v>4000</v>
          </cell>
          <cell r="J9">
            <v>0</v>
          </cell>
          <cell r="K9">
            <v>0</v>
          </cell>
          <cell r="L9">
            <v>140000</v>
          </cell>
          <cell r="M9">
            <v>294500</v>
          </cell>
          <cell r="N9">
            <v>7750</v>
          </cell>
        </row>
        <row r="10">
          <cell r="B10">
            <v>3</v>
          </cell>
          <cell r="C10" t="str">
            <v>Stella Eze</v>
          </cell>
          <cell r="D10">
            <v>766920</v>
          </cell>
          <cell r="E10">
            <v>124000</v>
          </cell>
          <cell r="F10">
            <v>63910</v>
          </cell>
          <cell r="G10">
            <v>76692</v>
          </cell>
          <cell r="H10">
            <v>34456</v>
          </cell>
          <cell r="I10">
            <v>4000</v>
          </cell>
          <cell r="J10">
            <v>0</v>
          </cell>
          <cell r="K10">
            <v>0</v>
          </cell>
          <cell r="L10">
            <v>124000</v>
          </cell>
          <cell r="M10">
            <v>294500</v>
          </cell>
          <cell r="N10">
            <v>7750</v>
          </cell>
        </row>
        <row r="11">
          <cell r="B11">
            <v>4</v>
          </cell>
          <cell r="C11" t="str">
            <v>Mosunmola Abudu</v>
          </cell>
          <cell r="D11">
            <v>1326720</v>
          </cell>
          <cell r="E11">
            <v>200000</v>
          </cell>
          <cell r="F11">
            <v>110560</v>
          </cell>
          <cell r="G11">
            <v>132672</v>
          </cell>
          <cell r="H11">
            <v>34442</v>
          </cell>
          <cell r="I11">
            <v>4000</v>
          </cell>
          <cell r="J11">
            <v>5000</v>
          </cell>
          <cell r="K11">
            <v>0</v>
          </cell>
          <cell r="L11">
            <v>200000</v>
          </cell>
          <cell r="M11">
            <v>574166.49</v>
          </cell>
          <cell r="N11">
            <v>10833.33</v>
          </cell>
        </row>
        <row r="12">
          <cell r="B12">
            <v>5</v>
          </cell>
          <cell r="C12" t="str">
            <v>Charles Ochonogor</v>
          </cell>
          <cell r="D12">
            <v>1372188</v>
          </cell>
          <cell r="E12">
            <v>200000</v>
          </cell>
          <cell r="F12">
            <v>114349</v>
          </cell>
          <cell r="G12">
            <v>137218</v>
          </cell>
          <cell r="H12">
            <v>34335</v>
          </cell>
          <cell r="I12">
            <v>4000</v>
          </cell>
          <cell r="J12">
            <v>10000</v>
          </cell>
          <cell r="K12">
            <v>0</v>
          </cell>
          <cell r="L12">
            <v>200000</v>
          </cell>
          <cell r="M12">
            <v>422500.07</v>
          </cell>
          <cell r="N12">
            <v>10833.33</v>
          </cell>
        </row>
        <row r="13">
          <cell r="B13">
            <v>6</v>
          </cell>
          <cell r="C13" t="str">
            <v>Olufunke Banjoko</v>
          </cell>
          <cell r="D13">
            <v>592164</v>
          </cell>
          <cell r="E13">
            <v>99000</v>
          </cell>
          <cell r="F13">
            <v>49347</v>
          </cell>
          <cell r="G13">
            <v>59216</v>
          </cell>
          <cell r="H13">
            <v>34624</v>
          </cell>
          <cell r="I13">
            <v>4000</v>
          </cell>
          <cell r="J13">
            <v>0</v>
          </cell>
          <cell r="K13">
            <v>0</v>
          </cell>
          <cell r="L13">
            <v>99000</v>
          </cell>
          <cell r="M13">
            <v>302250</v>
          </cell>
          <cell r="N13">
            <v>7750</v>
          </cell>
        </row>
        <row r="14">
          <cell r="B14">
            <v>7</v>
          </cell>
          <cell r="C14" t="str">
            <v>Omolara Semowo</v>
          </cell>
          <cell r="D14">
            <v>786744</v>
          </cell>
          <cell r="E14">
            <v>158000</v>
          </cell>
          <cell r="F14">
            <v>65562</v>
          </cell>
          <cell r="G14">
            <v>78674</v>
          </cell>
          <cell r="H14">
            <v>34669</v>
          </cell>
          <cell r="I14">
            <v>4000</v>
          </cell>
          <cell r="J14">
            <v>0</v>
          </cell>
          <cell r="K14">
            <v>0</v>
          </cell>
          <cell r="L14">
            <v>158000</v>
          </cell>
          <cell r="M14">
            <v>317750</v>
          </cell>
          <cell r="N14">
            <v>7750</v>
          </cell>
        </row>
        <row r="15">
          <cell r="B15">
            <v>8</v>
          </cell>
          <cell r="C15" t="str">
            <v>Johnson Adesola</v>
          </cell>
          <cell r="D15">
            <v>661800</v>
          </cell>
          <cell r="E15">
            <v>112000</v>
          </cell>
          <cell r="F15">
            <v>55150</v>
          </cell>
          <cell r="G15">
            <v>66180</v>
          </cell>
          <cell r="H15">
            <v>34698</v>
          </cell>
          <cell r="I15">
            <v>4000</v>
          </cell>
          <cell r="J15">
            <v>0</v>
          </cell>
          <cell r="K15">
            <v>0</v>
          </cell>
          <cell r="L15">
            <v>112000</v>
          </cell>
          <cell r="M15">
            <v>317750</v>
          </cell>
          <cell r="N15">
            <v>7750</v>
          </cell>
        </row>
        <row r="16">
          <cell r="B16">
            <v>9</v>
          </cell>
          <cell r="C16" t="str">
            <v>Olayinka Solola</v>
          </cell>
          <cell r="D16">
            <v>729312</v>
          </cell>
          <cell r="E16">
            <v>124000</v>
          </cell>
          <cell r="F16">
            <v>60776</v>
          </cell>
          <cell r="G16">
            <v>72931</v>
          </cell>
          <cell r="H16">
            <v>0</v>
          </cell>
          <cell r="I16">
            <v>4000</v>
          </cell>
          <cell r="J16">
            <v>0</v>
          </cell>
          <cell r="K16">
            <v>0</v>
          </cell>
          <cell r="L16">
            <v>124000</v>
          </cell>
          <cell r="M16">
            <v>294500</v>
          </cell>
          <cell r="N16">
            <v>7750</v>
          </cell>
        </row>
        <row r="17">
          <cell r="B17">
            <v>10</v>
          </cell>
          <cell r="C17" t="str">
            <v>Adebomi Onisile</v>
          </cell>
          <cell r="D17">
            <v>698292</v>
          </cell>
          <cell r="E17">
            <v>124000</v>
          </cell>
          <cell r="F17">
            <v>58191</v>
          </cell>
          <cell r="G17">
            <v>69829</v>
          </cell>
          <cell r="H17">
            <v>34988</v>
          </cell>
          <cell r="I17">
            <v>4000</v>
          </cell>
          <cell r="J17">
            <v>0</v>
          </cell>
          <cell r="K17">
            <v>0</v>
          </cell>
          <cell r="L17">
            <v>124000</v>
          </cell>
          <cell r="M17">
            <v>294500</v>
          </cell>
          <cell r="N17">
            <v>7750</v>
          </cell>
        </row>
        <row r="18">
          <cell r="B18">
            <v>11</v>
          </cell>
          <cell r="C18" t="str">
            <v>Julie Udoh</v>
          </cell>
          <cell r="D18">
            <v>722724</v>
          </cell>
          <cell r="E18">
            <v>124000</v>
          </cell>
          <cell r="F18">
            <v>60227</v>
          </cell>
          <cell r="G18">
            <v>72272</v>
          </cell>
          <cell r="H18">
            <v>35004</v>
          </cell>
          <cell r="I18">
            <v>4000</v>
          </cell>
          <cell r="J18">
            <v>0</v>
          </cell>
          <cell r="K18">
            <v>0</v>
          </cell>
          <cell r="L18">
            <v>124000</v>
          </cell>
          <cell r="M18">
            <v>302250</v>
          </cell>
          <cell r="N18">
            <v>7750</v>
          </cell>
        </row>
        <row r="19">
          <cell r="B19">
            <v>12</v>
          </cell>
          <cell r="C19" t="str">
            <v>Hudson Okoh</v>
          </cell>
          <cell r="D19">
            <v>825624</v>
          </cell>
          <cell r="E19">
            <v>140000</v>
          </cell>
          <cell r="F19">
            <v>68802</v>
          </cell>
          <cell r="G19">
            <v>82562</v>
          </cell>
          <cell r="H19">
            <v>35086</v>
          </cell>
          <cell r="I19">
            <v>4000</v>
          </cell>
          <cell r="J19">
            <v>0</v>
          </cell>
          <cell r="K19">
            <v>0</v>
          </cell>
          <cell r="L19">
            <v>140000</v>
          </cell>
          <cell r="M19">
            <v>294500</v>
          </cell>
          <cell r="N19">
            <v>7750</v>
          </cell>
        </row>
        <row r="20">
          <cell r="B20">
            <v>13</v>
          </cell>
          <cell r="C20" t="str">
            <v>Taiwo Akinlawon</v>
          </cell>
          <cell r="D20">
            <v>1115004</v>
          </cell>
          <cell r="E20">
            <v>200000</v>
          </cell>
          <cell r="F20">
            <v>92917</v>
          </cell>
          <cell r="G20">
            <v>111500</v>
          </cell>
          <cell r="H20">
            <v>35612</v>
          </cell>
          <cell r="I20">
            <v>4000</v>
          </cell>
          <cell r="J20">
            <v>0</v>
          </cell>
          <cell r="K20">
            <v>0</v>
          </cell>
          <cell r="L20">
            <v>200000</v>
          </cell>
          <cell r="M20">
            <v>325500</v>
          </cell>
          <cell r="N20">
            <v>7750</v>
          </cell>
        </row>
        <row r="21">
          <cell r="B21">
            <v>14</v>
          </cell>
          <cell r="C21" t="str">
            <v>Olugbenga Ajenifuja</v>
          </cell>
          <cell r="D21">
            <v>137544</v>
          </cell>
          <cell r="E21">
            <v>0</v>
          </cell>
          <cell r="F21">
            <v>0</v>
          </cell>
          <cell r="G21">
            <v>0</v>
          </cell>
          <cell r="H21">
            <v>35878</v>
          </cell>
          <cell r="I21">
            <v>4000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B22">
            <v>15</v>
          </cell>
          <cell r="C22" t="str">
            <v>Atuora Ugbizi</v>
          </cell>
          <cell r="D22">
            <v>137544</v>
          </cell>
          <cell r="E22">
            <v>0</v>
          </cell>
          <cell r="F22">
            <v>0</v>
          </cell>
          <cell r="G22">
            <v>0</v>
          </cell>
          <cell r="H22">
            <v>35926</v>
          </cell>
          <cell r="I22">
            <v>4000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B23">
            <v>16</v>
          </cell>
          <cell r="C23" t="str">
            <v>Doyin Ajenipa</v>
          </cell>
          <cell r="D23">
            <v>137544</v>
          </cell>
          <cell r="E23">
            <v>0</v>
          </cell>
          <cell r="F23">
            <v>0</v>
          </cell>
          <cell r="G23">
            <v>0</v>
          </cell>
          <cell r="H23">
            <v>35926</v>
          </cell>
          <cell r="I23">
            <v>4000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B24">
            <v>17</v>
          </cell>
          <cell r="C24" t="str">
            <v>Uzochi Ukwu</v>
          </cell>
          <cell r="D24">
            <v>137544</v>
          </cell>
          <cell r="E24">
            <v>0</v>
          </cell>
          <cell r="F24">
            <v>0</v>
          </cell>
          <cell r="G24">
            <v>0</v>
          </cell>
          <cell r="H24">
            <v>35926</v>
          </cell>
          <cell r="I24">
            <v>4000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18</v>
          </cell>
          <cell r="C25" t="str">
            <v>Uchenna Owelle</v>
          </cell>
          <cell r="D25">
            <v>137544</v>
          </cell>
          <cell r="E25">
            <v>0</v>
          </cell>
          <cell r="F25">
            <v>0</v>
          </cell>
          <cell r="G25">
            <v>0</v>
          </cell>
          <cell r="H25">
            <v>35926</v>
          </cell>
          <cell r="I25">
            <v>4000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19</v>
          </cell>
          <cell r="C26" t="str">
            <v>David Omoke</v>
          </cell>
          <cell r="D26">
            <v>137544</v>
          </cell>
          <cell r="E26">
            <v>0</v>
          </cell>
          <cell r="F26">
            <v>0</v>
          </cell>
          <cell r="G26">
            <v>0</v>
          </cell>
          <cell r="H26">
            <v>36069</v>
          </cell>
          <cell r="I26">
            <v>4000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20</v>
          </cell>
          <cell r="C27" t="str">
            <v>Godwin Uboh</v>
          </cell>
          <cell r="D27">
            <v>996000</v>
          </cell>
          <cell r="E27">
            <v>178000</v>
          </cell>
          <cell r="F27">
            <v>83000</v>
          </cell>
          <cell r="G27">
            <v>99600</v>
          </cell>
          <cell r="H27">
            <v>35034</v>
          </cell>
          <cell r="I27">
            <v>4000</v>
          </cell>
          <cell r="J27">
            <v>0</v>
          </cell>
          <cell r="K27">
            <v>0</v>
          </cell>
          <cell r="L27">
            <v>178000</v>
          </cell>
          <cell r="M27">
            <v>413591.67</v>
          </cell>
          <cell r="N27">
            <v>7750</v>
          </cell>
        </row>
        <row r="28">
          <cell r="B28">
            <v>21</v>
          </cell>
          <cell r="C28" t="str">
            <v>Igho Akpedeye</v>
          </cell>
          <cell r="D28">
            <v>2032464</v>
          </cell>
          <cell r="E28">
            <v>252000</v>
          </cell>
          <cell r="F28">
            <v>176736</v>
          </cell>
          <cell r="G28">
            <v>176736</v>
          </cell>
          <cell r="H28">
            <v>36130</v>
          </cell>
          <cell r="I28">
            <v>4000</v>
          </cell>
          <cell r="J28">
            <v>0</v>
          </cell>
          <cell r="K28">
            <v>0</v>
          </cell>
          <cell r="L28">
            <v>252000</v>
          </cell>
          <cell r="M28">
            <v>799980</v>
          </cell>
          <cell r="N28">
            <v>13333</v>
          </cell>
          <cell r="O28">
            <v>265104</v>
          </cell>
        </row>
        <row r="29">
          <cell r="B29">
            <v>22</v>
          </cell>
          <cell r="C29" t="str">
            <v>Mustafa Jubril</v>
          </cell>
          <cell r="D29">
            <v>1673808</v>
          </cell>
          <cell r="E29">
            <v>225000</v>
          </cell>
          <cell r="F29">
            <v>168784</v>
          </cell>
          <cell r="G29">
            <v>167381</v>
          </cell>
          <cell r="H29">
            <v>36200</v>
          </cell>
          <cell r="I29">
            <v>4000</v>
          </cell>
          <cell r="J29">
            <v>0</v>
          </cell>
          <cell r="K29">
            <v>0</v>
          </cell>
          <cell r="L29">
            <v>225000</v>
          </cell>
          <cell r="M29">
            <v>0</v>
          </cell>
          <cell r="N29">
            <v>0</v>
          </cell>
        </row>
      </sheetData>
      <sheetData sheetId="1" refreshError="1">
        <row r="5">
          <cell r="B5" t="str">
            <v>Unique</v>
          </cell>
          <cell r="C5" t="str">
            <v>Staff Name</v>
          </cell>
          <cell r="D5" t="str">
            <v>Basic</v>
          </cell>
          <cell r="E5" t="str">
            <v>Housing</v>
          </cell>
          <cell r="F5" t="str">
            <v>End-of-Year</v>
          </cell>
          <cell r="G5" t="str">
            <v xml:space="preserve">Leave </v>
          </cell>
          <cell r="H5" t="str">
            <v xml:space="preserve">Start </v>
          </cell>
          <cell r="I5" t="str">
            <v>Dependent</v>
          </cell>
          <cell r="J5" t="str">
            <v>Children</v>
          </cell>
          <cell r="K5" t="str">
            <v>Life</v>
          </cell>
          <cell r="L5" t="str">
            <v>Housing Allow.</v>
          </cell>
          <cell r="M5" t="str">
            <v>Trans. Loan</v>
          </cell>
          <cell r="N5" t="str">
            <v>Regular</v>
          </cell>
        </row>
        <row r="6">
          <cell r="B6" t="str">
            <v>Serial No</v>
          </cell>
          <cell r="C6">
            <v>0</v>
          </cell>
          <cell r="D6" t="str">
            <v>Pay</v>
          </cell>
          <cell r="E6" t="str">
            <v>Allowance</v>
          </cell>
          <cell r="F6" t="str">
            <v>Bonus</v>
          </cell>
          <cell r="G6" t="str">
            <v>Allowance</v>
          </cell>
          <cell r="H6" t="str">
            <v>Date</v>
          </cell>
          <cell r="I6" t="str">
            <v>Relative</v>
          </cell>
          <cell r="J6" t="str">
            <v>Allowance</v>
          </cell>
          <cell r="K6" t="str">
            <v>Assurance</v>
          </cell>
          <cell r="L6" t="str">
            <v xml:space="preserve"> Up-Front</v>
          </cell>
          <cell r="M6" t="str">
            <v>Last Noted Amt.</v>
          </cell>
          <cell r="N6" t="str">
            <v>Repayment</v>
          </cell>
        </row>
        <row r="8">
          <cell r="B8">
            <v>1</v>
          </cell>
          <cell r="C8" t="str">
            <v>Anihuvi Ayeni</v>
          </cell>
          <cell r="D8">
            <v>790656</v>
          </cell>
          <cell r="E8">
            <v>124000</v>
          </cell>
          <cell r="F8">
            <v>65888</v>
          </cell>
          <cell r="G8">
            <v>79066</v>
          </cell>
          <cell r="H8">
            <v>34456</v>
          </cell>
          <cell r="I8">
            <v>4000</v>
          </cell>
          <cell r="J8">
            <v>0</v>
          </cell>
          <cell r="K8">
            <v>0</v>
          </cell>
          <cell r="L8">
            <v>124000</v>
          </cell>
          <cell r="M8">
            <v>317750</v>
          </cell>
          <cell r="N8">
            <v>7750</v>
          </cell>
        </row>
        <row r="9">
          <cell r="B9">
            <v>2</v>
          </cell>
          <cell r="C9" t="str">
            <v>Fidelia Osueke</v>
          </cell>
          <cell r="D9">
            <v>843132</v>
          </cell>
          <cell r="E9">
            <v>140000</v>
          </cell>
          <cell r="F9">
            <v>70261</v>
          </cell>
          <cell r="G9">
            <v>84313</v>
          </cell>
          <cell r="H9">
            <v>34456</v>
          </cell>
          <cell r="I9">
            <v>4000</v>
          </cell>
          <cell r="J9">
            <v>0</v>
          </cell>
          <cell r="K9">
            <v>0</v>
          </cell>
          <cell r="L9">
            <v>140000</v>
          </cell>
          <cell r="M9">
            <v>294500</v>
          </cell>
          <cell r="N9">
            <v>7750</v>
          </cell>
        </row>
        <row r="10">
          <cell r="B10">
            <v>3</v>
          </cell>
          <cell r="C10" t="str">
            <v>Stella Eze</v>
          </cell>
          <cell r="D10">
            <v>766920</v>
          </cell>
          <cell r="E10">
            <v>124000</v>
          </cell>
          <cell r="F10">
            <v>63910</v>
          </cell>
          <cell r="G10">
            <v>76692</v>
          </cell>
          <cell r="H10">
            <v>34456</v>
          </cell>
          <cell r="I10">
            <v>4000</v>
          </cell>
          <cell r="J10">
            <v>0</v>
          </cell>
          <cell r="K10">
            <v>0</v>
          </cell>
          <cell r="L10">
            <v>124000</v>
          </cell>
          <cell r="M10">
            <v>294500</v>
          </cell>
          <cell r="N10">
            <v>7750</v>
          </cell>
        </row>
        <row r="11">
          <cell r="B11">
            <v>4</v>
          </cell>
          <cell r="C11" t="str">
            <v>Mosunmola Abudu</v>
          </cell>
          <cell r="D11">
            <v>1326720</v>
          </cell>
          <cell r="E11">
            <v>200000</v>
          </cell>
          <cell r="F11">
            <v>110560</v>
          </cell>
          <cell r="G11">
            <v>132672</v>
          </cell>
          <cell r="H11">
            <v>34442</v>
          </cell>
          <cell r="I11">
            <v>4000</v>
          </cell>
          <cell r="J11">
            <v>5000</v>
          </cell>
          <cell r="K11">
            <v>0</v>
          </cell>
          <cell r="L11">
            <v>200000</v>
          </cell>
          <cell r="M11">
            <v>574166.49</v>
          </cell>
          <cell r="N11">
            <v>10833.33</v>
          </cell>
        </row>
        <row r="12">
          <cell r="B12">
            <v>5</v>
          </cell>
          <cell r="C12" t="str">
            <v>Charles Ochonogor</v>
          </cell>
          <cell r="D12">
            <v>1372188</v>
          </cell>
          <cell r="E12">
            <v>200000</v>
          </cell>
          <cell r="F12">
            <v>114349</v>
          </cell>
          <cell r="G12">
            <v>137218</v>
          </cell>
          <cell r="H12">
            <v>34335</v>
          </cell>
          <cell r="I12">
            <v>4000</v>
          </cell>
          <cell r="J12">
            <v>10000</v>
          </cell>
          <cell r="K12">
            <v>0</v>
          </cell>
          <cell r="L12">
            <v>200000</v>
          </cell>
          <cell r="M12">
            <v>422500.07</v>
          </cell>
          <cell r="N12">
            <v>10833.33</v>
          </cell>
        </row>
        <row r="13">
          <cell r="B13">
            <v>6</v>
          </cell>
          <cell r="C13" t="str">
            <v>Olufunke Banjoko</v>
          </cell>
          <cell r="D13">
            <v>592164</v>
          </cell>
          <cell r="E13">
            <v>99000</v>
          </cell>
          <cell r="F13">
            <v>49347</v>
          </cell>
          <cell r="G13">
            <v>59216</v>
          </cell>
          <cell r="H13">
            <v>34624</v>
          </cell>
          <cell r="I13">
            <v>4000</v>
          </cell>
          <cell r="J13">
            <v>0</v>
          </cell>
          <cell r="K13">
            <v>0</v>
          </cell>
          <cell r="L13">
            <v>99000</v>
          </cell>
          <cell r="M13">
            <v>302250</v>
          </cell>
          <cell r="N13">
            <v>7750</v>
          </cell>
        </row>
        <row r="14">
          <cell r="B14">
            <v>7</v>
          </cell>
          <cell r="C14" t="str">
            <v>Omolara Semowo</v>
          </cell>
          <cell r="D14">
            <v>786744</v>
          </cell>
          <cell r="E14">
            <v>158000</v>
          </cell>
          <cell r="F14">
            <v>65562</v>
          </cell>
          <cell r="G14">
            <v>78674</v>
          </cell>
          <cell r="H14">
            <v>34669</v>
          </cell>
          <cell r="I14">
            <v>4000</v>
          </cell>
          <cell r="J14">
            <v>0</v>
          </cell>
          <cell r="K14">
            <v>0</v>
          </cell>
          <cell r="L14">
            <v>158000</v>
          </cell>
          <cell r="M14">
            <v>317750</v>
          </cell>
          <cell r="N14">
            <v>7750</v>
          </cell>
        </row>
        <row r="15">
          <cell r="B15">
            <v>8</v>
          </cell>
          <cell r="C15" t="str">
            <v>Johnson Adesola</v>
          </cell>
          <cell r="D15">
            <v>661800</v>
          </cell>
          <cell r="E15">
            <v>112000</v>
          </cell>
          <cell r="F15">
            <v>55150</v>
          </cell>
          <cell r="G15">
            <v>66180</v>
          </cell>
          <cell r="H15">
            <v>34698</v>
          </cell>
          <cell r="I15">
            <v>4000</v>
          </cell>
          <cell r="J15">
            <v>0</v>
          </cell>
          <cell r="K15">
            <v>0</v>
          </cell>
          <cell r="L15">
            <v>112000</v>
          </cell>
          <cell r="M15">
            <v>317750</v>
          </cell>
          <cell r="N15">
            <v>7750</v>
          </cell>
        </row>
        <row r="16">
          <cell r="B16">
            <v>9</v>
          </cell>
          <cell r="C16" t="str">
            <v>Olayinka Solola</v>
          </cell>
          <cell r="D16">
            <v>729312</v>
          </cell>
          <cell r="E16">
            <v>124000</v>
          </cell>
          <cell r="F16">
            <v>60776</v>
          </cell>
          <cell r="G16">
            <v>72931</v>
          </cell>
          <cell r="H16">
            <v>0</v>
          </cell>
          <cell r="I16">
            <v>4000</v>
          </cell>
          <cell r="J16">
            <v>0</v>
          </cell>
          <cell r="K16">
            <v>0</v>
          </cell>
          <cell r="L16">
            <v>124000</v>
          </cell>
          <cell r="M16">
            <v>294500</v>
          </cell>
          <cell r="N16">
            <v>7750</v>
          </cell>
        </row>
        <row r="17">
          <cell r="B17">
            <v>10</v>
          </cell>
          <cell r="C17" t="str">
            <v>Adebomi Onisile</v>
          </cell>
          <cell r="D17">
            <v>698292</v>
          </cell>
          <cell r="E17">
            <v>124000</v>
          </cell>
          <cell r="F17">
            <v>58191</v>
          </cell>
          <cell r="G17">
            <v>69829</v>
          </cell>
          <cell r="H17">
            <v>34988</v>
          </cell>
          <cell r="I17">
            <v>4000</v>
          </cell>
          <cell r="J17">
            <v>0</v>
          </cell>
          <cell r="K17">
            <v>0</v>
          </cell>
          <cell r="L17">
            <v>124000</v>
          </cell>
          <cell r="M17">
            <v>294500</v>
          </cell>
          <cell r="N17">
            <v>7750</v>
          </cell>
        </row>
        <row r="18">
          <cell r="B18">
            <v>11</v>
          </cell>
          <cell r="C18" t="str">
            <v>Julie Udoh</v>
          </cell>
          <cell r="D18">
            <v>722724</v>
          </cell>
          <cell r="E18">
            <v>124000</v>
          </cell>
          <cell r="F18">
            <v>60227</v>
          </cell>
          <cell r="G18">
            <v>72272</v>
          </cell>
          <cell r="H18">
            <v>35004</v>
          </cell>
          <cell r="I18">
            <v>4000</v>
          </cell>
          <cell r="J18">
            <v>0</v>
          </cell>
          <cell r="K18">
            <v>0</v>
          </cell>
          <cell r="L18">
            <v>124000</v>
          </cell>
          <cell r="M18">
            <v>302250</v>
          </cell>
          <cell r="N18">
            <v>7750</v>
          </cell>
        </row>
        <row r="19">
          <cell r="B19">
            <v>12</v>
          </cell>
          <cell r="C19" t="str">
            <v>Hudson Okoh</v>
          </cell>
          <cell r="D19">
            <v>825624</v>
          </cell>
          <cell r="E19">
            <v>140000</v>
          </cell>
          <cell r="F19">
            <v>68802</v>
          </cell>
          <cell r="G19">
            <v>82562</v>
          </cell>
          <cell r="H19">
            <v>35086</v>
          </cell>
          <cell r="I19">
            <v>4000</v>
          </cell>
          <cell r="J19">
            <v>0</v>
          </cell>
          <cell r="K19">
            <v>0</v>
          </cell>
          <cell r="L19">
            <v>140000</v>
          </cell>
          <cell r="M19">
            <v>294500</v>
          </cell>
          <cell r="N19">
            <v>7750</v>
          </cell>
        </row>
        <row r="20">
          <cell r="B20">
            <v>13</v>
          </cell>
          <cell r="C20" t="str">
            <v>Taiwo Akinlawon</v>
          </cell>
          <cell r="D20">
            <v>1115004</v>
          </cell>
          <cell r="E20">
            <v>200000</v>
          </cell>
          <cell r="F20">
            <v>92917</v>
          </cell>
          <cell r="G20">
            <v>111500</v>
          </cell>
          <cell r="H20">
            <v>35612</v>
          </cell>
          <cell r="I20">
            <v>4000</v>
          </cell>
          <cell r="J20">
            <v>0</v>
          </cell>
          <cell r="K20">
            <v>0</v>
          </cell>
          <cell r="L20">
            <v>200000</v>
          </cell>
          <cell r="M20">
            <v>325500</v>
          </cell>
          <cell r="N20">
            <v>7750</v>
          </cell>
        </row>
        <row r="21">
          <cell r="B21">
            <v>14</v>
          </cell>
          <cell r="C21" t="str">
            <v>Olugbenga Ajenifuja</v>
          </cell>
          <cell r="D21">
            <v>137544</v>
          </cell>
          <cell r="E21">
            <v>0</v>
          </cell>
          <cell r="F21">
            <v>0</v>
          </cell>
          <cell r="G21">
            <v>0</v>
          </cell>
          <cell r="H21">
            <v>35878</v>
          </cell>
          <cell r="I21">
            <v>4000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</row>
        <row r="22">
          <cell r="B22">
            <v>15</v>
          </cell>
          <cell r="C22" t="str">
            <v>Atuora Ugbizi</v>
          </cell>
          <cell r="D22">
            <v>137544</v>
          </cell>
          <cell r="E22">
            <v>0</v>
          </cell>
          <cell r="F22">
            <v>0</v>
          </cell>
          <cell r="G22">
            <v>0</v>
          </cell>
          <cell r="H22">
            <v>35926</v>
          </cell>
          <cell r="I22">
            <v>4000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</row>
        <row r="23">
          <cell r="B23">
            <v>16</v>
          </cell>
          <cell r="C23" t="str">
            <v>Doyin Ajenipa</v>
          </cell>
          <cell r="D23">
            <v>137544</v>
          </cell>
          <cell r="E23">
            <v>0</v>
          </cell>
          <cell r="F23">
            <v>0</v>
          </cell>
          <cell r="G23">
            <v>0</v>
          </cell>
          <cell r="H23">
            <v>35926</v>
          </cell>
          <cell r="I23">
            <v>4000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</row>
        <row r="24">
          <cell r="B24">
            <v>17</v>
          </cell>
          <cell r="C24" t="str">
            <v>Uzochi Ukwu</v>
          </cell>
          <cell r="D24">
            <v>137544</v>
          </cell>
          <cell r="E24">
            <v>0</v>
          </cell>
          <cell r="F24">
            <v>0</v>
          </cell>
          <cell r="G24">
            <v>0</v>
          </cell>
          <cell r="H24">
            <v>35926</v>
          </cell>
          <cell r="I24">
            <v>4000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</row>
        <row r="25">
          <cell r="B25">
            <v>18</v>
          </cell>
          <cell r="C25" t="str">
            <v>Uchenna Owelle</v>
          </cell>
          <cell r="D25">
            <v>137544</v>
          </cell>
          <cell r="E25">
            <v>0</v>
          </cell>
          <cell r="F25">
            <v>0</v>
          </cell>
          <cell r="G25">
            <v>0</v>
          </cell>
          <cell r="H25">
            <v>35926</v>
          </cell>
          <cell r="I25">
            <v>4000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</row>
        <row r="26">
          <cell r="B26">
            <v>19</v>
          </cell>
          <cell r="C26" t="str">
            <v>David Omoke</v>
          </cell>
          <cell r="D26">
            <v>137544</v>
          </cell>
          <cell r="E26">
            <v>0</v>
          </cell>
          <cell r="F26">
            <v>0</v>
          </cell>
          <cell r="G26">
            <v>0</v>
          </cell>
          <cell r="H26">
            <v>36069</v>
          </cell>
          <cell r="I26">
            <v>4000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</row>
        <row r="27">
          <cell r="B27">
            <v>20</v>
          </cell>
          <cell r="C27" t="str">
            <v>Godwin Uboh</v>
          </cell>
          <cell r="D27">
            <v>996000</v>
          </cell>
          <cell r="E27">
            <v>178000</v>
          </cell>
          <cell r="F27">
            <v>83000</v>
          </cell>
          <cell r="G27">
            <v>99600</v>
          </cell>
          <cell r="H27">
            <v>35034</v>
          </cell>
          <cell r="I27">
            <v>4000</v>
          </cell>
          <cell r="J27">
            <v>0</v>
          </cell>
          <cell r="K27">
            <v>0</v>
          </cell>
          <cell r="L27">
            <v>178000</v>
          </cell>
          <cell r="M27">
            <v>413591.67</v>
          </cell>
          <cell r="N27">
            <v>7750</v>
          </cell>
        </row>
        <row r="28">
          <cell r="B28">
            <v>21</v>
          </cell>
          <cell r="C28" t="str">
            <v>Igho Akpedeye</v>
          </cell>
          <cell r="D28">
            <v>2032464</v>
          </cell>
          <cell r="E28">
            <v>252000</v>
          </cell>
          <cell r="F28">
            <v>176736</v>
          </cell>
          <cell r="G28">
            <v>176736</v>
          </cell>
          <cell r="H28">
            <v>36130</v>
          </cell>
          <cell r="I28">
            <v>4000</v>
          </cell>
          <cell r="J28">
            <v>0</v>
          </cell>
          <cell r="K28">
            <v>0</v>
          </cell>
          <cell r="L28">
            <v>252000</v>
          </cell>
          <cell r="M28">
            <v>799980</v>
          </cell>
          <cell r="N28">
            <v>13333</v>
          </cell>
        </row>
        <row r="29">
          <cell r="B29">
            <v>22</v>
          </cell>
          <cell r="C29" t="str">
            <v>Mustafa Jubril</v>
          </cell>
          <cell r="D29">
            <v>1673808</v>
          </cell>
          <cell r="E29">
            <v>225000</v>
          </cell>
          <cell r="F29">
            <v>168784</v>
          </cell>
          <cell r="G29">
            <v>167381</v>
          </cell>
          <cell r="H29">
            <v>36200</v>
          </cell>
          <cell r="I29">
            <v>4000</v>
          </cell>
          <cell r="J29">
            <v>0</v>
          </cell>
          <cell r="K29">
            <v>0</v>
          </cell>
          <cell r="L29">
            <v>225000</v>
          </cell>
          <cell r="M29">
            <v>0</v>
          </cell>
          <cell r="N29">
            <v>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>
        <row r="1">
          <cell r="D1" t="str">
            <v>2019 AUGUST</v>
          </cell>
        </row>
      </sheetData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>
        <row r="1">
          <cell r="D1" t="str">
            <v>2019 AUGUST</v>
          </cell>
        </row>
      </sheetData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>
        <row r="1">
          <cell r="D1" t="str">
            <v>2019 AUGUST</v>
          </cell>
        </row>
      </sheetData>
      <sheetData sheetId="574"/>
      <sheetData sheetId="575"/>
      <sheetData sheetId="576"/>
      <sheetData sheetId="577"/>
      <sheetData sheetId="578"/>
      <sheetData sheetId="579">
        <row r="2">
          <cell r="J2">
            <v>1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>
        <row r="1">
          <cell r="D1" t="str">
            <v>2019 AUGUST</v>
          </cell>
        </row>
      </sheetData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/>
      <sheetData sheetId="662"/>
      <sheetData sheetId="663" refreshError="1"/>
      <sheetData sheetId="664" refreshError="1"/>
      <sheetData sheetId="665"/>
      <sheetData sheetId="666"/>
      <sheetData sheetId="667"/>
      <sheetData sheetId="668" refreshError="1"/>
      <sheetData sheetId="669" refreshError="1"/>
      <sheetData sheetId="670"/>
      <sheetData sheetId="671">
        <row r="1">
          <cell r="D1" t="str">
            <v>2019 AUGUST</v>
          </cell>
        </row>
      </sheetData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 refreshError="1"/>
      <sheetData sheetId="726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>
        <row r="1">
          <cell r="D1" t="str">
            <v>2019 AUGUST</v>
          </cell>
        </row>
      </sheetData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>
        <row r="1">
          <cell r="D1" t="str">
            <v>2019 AUGUST</v>
          </cell>
        </row>
      </sheetData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">
          <cell r="D1" t="str">
            <v>2019 AUGUST</v>
          </cell>
        </row>
      </sheetData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>
        <row r="1">
          <cell r="D1" t="str">
            <v>2019 AUGUST</v>
          </cell>
        </row>
      </sheetData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>
        <row r="1">
          <cell r="D1" t="str">
            <v>2019 AUGUST</v>
          </cell>
        </row>
      </sheetData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 refreshError="1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 refreshError="1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/>
      <sheetData sheetId="1323"/>
      <sheetData sheetId="1324" refreshError="1"/>
      <sheetData sheetId="1325" refreshError="1"/>
      <sheetData sheetId="1326"/>
      <sheetData sheetId="1327"/>
      <sheetData sheetId="1328" refreshError="1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 refreshError="1"/>
      <sheetData sheetId="1361" refreshError="1"/>
      <sheetData sheetId="1362" refreshError="1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>
        <row r="1">
          <cell r="D1" t="str">
            <v>2019 AUGUST</v>
          </cell>
        </row>
      </sheetData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>
        <row r="1">
          <cell r="D1" t="str">
            <v>2019 AUGUST</v>
          </cell>
        </row>
      </sheetData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 refreshError="1"/>
      <sheetData sheetId="1464">
        <row r="1">
          <cell r="D1" t="str">
            <v>2019 AUGUST</v>
          </cell>
        </row>
      </sheetData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>
        <row r="1">
          <cell r="D1" t="str">
            <v>2019 AUGUST</v>
          </cell>
        </row>
      </sheetData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>
        <row r="1">
          <cell r="D1" t="str">
            <v>2019 AUGUST</v>
          </cell>
        </row>
      </sheetData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>
        <row r="1">
          <cell r="D1" t="str">
            <v>2019 AUGUST</v>
          </cell>
        </row>
      </sheetData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>
        <row r="1">
          <cell r="D1" t="str">
            <v>2019 AUGUST</v>
          </cell>
        </row>
      </sheetData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>
        <row r="1">
          <cell r="D1" t="str">
            <v>2019 AUGUST</v>
          </cell>
        </row>
      </sheetData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 refreshError="1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>
        <row r="1">
          <cell r="D1" t="str">
            <v>2019 AUGUST</v>
          </cell>
        </row>
      </sheetData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>
        <row r="1">
          <cell r="D1" t="str">
            <v>2019 AUGUST</v>
          </cell>
        </row>
      </sheetData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DS3"/>
      <sheetName val="PDS1"/>
      <sheetName val="PDS2"/>
      <sheetName val="Source data"/>
      <sheetName val="FEB2"/>
      <sheetName val="JAN2"/>
      <sheetName val="MAR1"/>
      <sheetName val="MAR2"/>
      <sheetName val="FEB1"/>
      <sheetName val="Source_data2"/>
      <sheetName val="Source_data"/>
      <sheetName val="Source_data1"/>
      <sheetName val="Sheet15"/>
      <sheetName val="DATABASE"/>
      <sheetName val="Source_data3"/>
      <sheetName val="conversion cost YTD 2018 (2)"/>
      <sheetName val="MONTHLY"/>
      <sheetName val="Cashflow"/>
      <sheetName val="CC - Dec. 2017 YTD"/>
      <sheetName val="DSR K"/>
      <sheetName val="MAJOR ACTIVITIES"/>
      <sheetName val="P&amp;L"/>
      <sheetName val="Q3 P &amp; L"/>
      <sheetName val="Profit Recon"/>
      <sheetName val="Graphs"/>
      <sheetName val="SAP SFP"/>
      <sheetName val="CF"/>
      <sheetName val="PPE"/>
      <sheetName val="TB Asset"/>
      <sheetName val="Mar"/>
      <sheetName val="Appendics_NOTES"/>
      <sheetName val="KEY RATIO"/>
      <sheetName val="cost per unit"/>
      <sheetName val="Direct Expenses"/>
      <sheetName val="CONSO K"/>
      <sheetName val="P&amp; L  Analysis"/>
      <sheetName val="TPT Inc"/>
      <sheetName val="Direct over head"/>
      <sheetName val="INCOME TB"/>
      <sheetName val="2017 bud"/>
      <sheetName val="SSC K"/>
      <sheetName val="Profit Rec Worksheet"/>
      <sheetName val="yeild2"/>
      <sheetName val="Sales Analysis"/>
      <sheetName val="interco"/>
      <sheetName val="OCT  2016-TB"/>
      <sheetName val="2015A"/>
      <sheetName val="2015note"/>
      <sheetName val="note workings"/>
      <sheetName val="Inventory"/>
      <sheetName val="PBT Analysis"/>
      <sheetName val="Dec14FS"/>
      <sheetName val="Ratios"/>
      <sheetName val="pre"/>
      <sheetName val="Nov2014 MPR"/>
      <sheetName val="NOV2014 Note"/>
      <sheetName val="YTD 2014"/>
      <sheetName val="ckm3"/>
      <sheetName val="2014interco"/>
      <sheetName val="OCT 2014 FS"/>
      <sheetName val="2014 prod"/>
      <sheetName val="2015 Bud Ass"/>
      <sheetName val="2015 Bud2"/>
      <sheetName val="prepayment"/>
      <sheetName val="conversion cost sum"/>
      <sheetName val="conversion cost2"/>
      <sheetName val="Admin"/>
      <sheetName val="August 2015"/>
      <sheetName val="parameter2"/>
      <sheetName val="yeild"/>
      <sheetName val="issued"/>
      <sheetName val="FOB"/>
      <sheetName val="Feb'18 TB"/>
      <sheetName val="TRIAL BALANCE  2019 YTD"/>
      <sheetName val="August 2019 TB"/>
      <sheetName val="conversion cost YTD 2019"/>
      <sheetName val="Conversion cost August 2019"/>
      <sheetName val="50KG INCENTIVES"/>
      <sheetName val="Retail Incentives "/>
      <sheetName val="Omitted 3rd quater"/>
      <sheetName val="CC - JUNE 2018 Month"/>
      <sheetName val="Report Header Dates"/>
      <sheetName val="DIRECT LABOUR"/>
      <sheetName val="DIRECT OVERHEAD"/>
      <sheetName val="S AND D"/>
      <sheetName val="ADMIN (2)"/>
      <sheetName val="Non-oper. cost"/>
      <sheetName val="President DB - Cost per T "/>
      <sheetName val="Conversion cost MaY 2019"/>
      <sheetName val="President DB- Rev &amp; Prod"/>
      <sheetName val="Sheet1"/>
      <sheetName val="Source_data6"/>
      <sheetName val="Source_data5"/>
      <sheetName val="Source_data4"/>
      <sheetName val="Source_data7"/>
      <sheetName val="Source_data8"/>
      <sheetName val="Source_data9"/>
      <sheetName val="Source_data11"/>
      <sheetName val="Source_data10"/>
      <sheetName val="Source_data12"/>
      <sheetName val="Summary 2"/>
      <sheetName val="Profit &amp; Loss"/>
      <sheetName val="Input"/>
      <sheetName val="Balance Sheet"/>
      <sheetName val="Opex - GPAL"/>
      <sheetName val="P&amp;L- GPAL"/>
      <sheetName val="Input- General Assumptions"/>
      <sheetName val="Project Cost"/>
      <sheetName val="Balance Sheet-GPAL"/>
      <sheetName val="Bank Bsheet"/>
      <sheetName val="Source_data13"/>
      <sheetName val="conversion_cost_YTD_2018_(2)"/>
      <sheetName val="CC_-_Dec__2017_YTD"/>
      <sheetName val="DSR_K"/>
      <sheetName val="MAJOR_ACTIVITIES"/>
      <sheetName val="Q3_P_&amp;_L"/>
      <sheetName val="Profit_Recon"/>
      <sheetName val="SAP_SFP"/>
      <sheetName val="TB_Asset"/>
      <sheetName val="KEY_RATIO"/>
      <sheetName val="cost_per_unit"/>
      <sheetName val="Direct_Expenses"/>
      <sheetName val="CONSO_K"/>
      <sheetName val="P&amp;_L__Analysis"/>
      <sheetName val="TPT_Inc"/>
      <sheetName val="Direct_over_head"/>
      <sheetName val="INCOME_TB"/>
      <sheetName val="2017_bud"/>
      <sheetName val="SSC_K"/>
      <sheetName val="Profit_Rec_Worksheet"/>
      <sheetName val="Sales_Analysis"/>
      <sheetName val="OCT__2016-TB"/>
      <sheetName val="note_workings"/>
      <sheetName val="PBT_Analysis"/>
      <sheetName val="Nov2014_MPR"/>
      <sheetName val="NOV2014_Note"/>
      <sheetName val="YTD_2014"/>
      <sheetName val="OCT_2014_FS"/>
      <sheetName val="2014_prod"/>
      <sheetName val="2015_Bud_Ass"/>
      <sheetName val="2015_Bud2"/>
      <sheetName val="conversion_cost_sum"/>
      <sheetName val="conversion_cost2"/>
      <sheetName val="August_2015"/>
      <sheetName val="Feb'18_TB"/>
      <sheetName val="TRIAL_BALANCE__2019_YTD"/>
      <sheetName val="August_2019_TB"/>
      <sheetName val="conversion_cost_YTD_2019"/>
      <sheetName val="Conversion_cost_August_2019"/>
      <sheetName val="50KG_INCENTIVES"/>
      <sheetName val="Retail_Incentives_"/>
      <sheetName val="Omitted_3rd_quater"/>
      <sheetName val="CC_-_JUNE_2018_Month"/>
      <sheetName val="Report_Header_Dates"/>
      <sheetName val="DIRECT_LABOUR"/>
      <sheetName val="DIRECT_OVERHEAD"/>
      <sheetName val="S_AND_D"/>
      <sheetName val="ADMIN_(2)"/>
      <sheetName val="Non-oper__cost"/>
      <sheetName val="President_DB_-_Cost_per_T_"/>
      <sheetName val="Conversion_cost_MaY_2019"/>
      <sheetName val="President_DB-_Rev_&amp;_Prod"/>
      <sheetName val="Source_data18"/>
      <sheetName val="conversion_cost_YTD_2018_(2)5"/>
      <sheetName val="CC_-_Dec__2017_YTD5"/>
      <sheetName val="DSR_K5"/>
      <sheetName val="MAJOR_ACTIVITIES5"/>
      <sheetName val="Q3_P_&amp;_L5"/>
      <sheetName val="Profit_Recon5"/>
      <sheetName val="SAP_SFP5"/>
      <sheetName val="TB_Asset5"/>
      <sheetName val="KEY_RATIO5"/>
      <sheetName val="cost_per_unit5"/>
      <sheetName val="Direct_Expenses5"/>
      <sheetName val="CONSO_K5"/>
      <sheetName val="P&amp;_L__Analysis5"/>
      <sheetName val="TPT_Inc5"/>
      <sheetName val="Direct_over_head5"/>
      <sheetName val="INCOME_TB5"/>
      <sheetName val="2017_bud5"/>
      <sheetName val="SSC_K5"/>
      <sheetName val="Profit_Rec_Worksheet5"/>
      <sheetName val="Sales_Analysis5"/>
      <sheetName val="OCT__2016-TB5"/>
      <sheetName val="note_workings5"/>
      <sheetName val="PBT_Analysis5"/>
      <sheetName val="Nov2014_MPR5"/>
      <sheetName val="NOV2014_Note5"/>
      <sheetName val="YTD_20145"/>
      <sheetName val="OCT_2014_FS5"/>
      <sheetName val="2014_prod5"/>
      <sheetName val="2015_Bud_Ass5"/>
      <sheetName val="2015_Bud25"/>
      <sheetName val="conversion_cost_sum5"/>
      <sheetName val="conversion_cost25"/>
      <sheetName val="August_20155"/>
      <sheetName val="Feb'18_TB5"/>
      <sheetName val="TRIAL_BALANCE__2019_YTD5"/>
      <sheetName val="August_2019_TB5"/>
      <sheetName val="conversion_cost_YTD_20195"/>
      <sheetName val="Conversion_cost_August_20195"/>
      <sheetName val="50KG_INCENTIVES5"/>
      <sheetName val="Retail_Incentives_5"/>
      <sheetName val="Omitted_3rd_quater5"/>
      <sheetName val="CC_-_JUNE_2018_Month5"/>
      <sheetName val="Report_Header_Dates5"/>
      <sheetName val="DIRECT_LABOUR5"/>
      <sheetName val="DIRECT_OVERHEAD5"/>
      <sheetName val="S_AND_D5"/>
      <sheetName val="ADMIN_(2)5"/>
      <sheetName val="Non-oper__cost5"/>
      <sheetName val="President_DB_-_Cost_per_T_5"/>
      <sheetName val="Conversion_cost_MaY_20195"/>
      <sheetName val="President_DB-_Rev_&amp;_Prod5"/>
      <sheetName val="Source_data14"/>
      <sheetName val="conversion_cost_YTD_2018_(2)1"/>
      <sheetName val="CC_-_Dec__2017_YTD1"/>
      <sheetName val="DSR_K1"/>
      <sheetName val="MAJOR_ACTIVITIES1"/>
      <sheetName val="Q3_P_&amp;_L1"/>
      <sheetName val="Profit_Recon1"/>
      <sheetName val="SAP_SFP1"/>
      <sheetName val="TB_Asset1"/>
      <sheetName val="KEY_RATIO1"/>
      <sheetName val="cost_per_unit1"/>
      <sheetName val="Direct_Expenses1"/>
      <sheetName val="CONSO_K1"/>
      <sheetName val="P&amp;_L__Analysis1"/>
      <sheetName val="TPT_Inc1"/>
      <sheetName val="Direct_over_head1"/>
      <sheetName val="INCOME_TB1"/>
      <sheetName val="2017_bud1"/>
      <sheetName val="SSC_K1"/>
      <sheetName val="Profit_Rec_Worksheet1"/>
      <sheetName val="Sales_Analysis1"/>
      <sheetName val="OCT__2016-TB1"/>
      <sheetName val="note_workings1"/>
      <sheetName val="PBT_Analysis1"/>
      <sheetName val="Nov2014_MPR1"/>
      <sheetName val="NOV2014_Note1"/>
      <sheetName val="YTD_20141"/>
      <sheetName val="OCT_2014_FS1"/>
      <sheetName val="2014_prod1"/>
      <sheetName val="2015_Bud_Ass1"/>
      <sheetName val="2015_Bud21"/>
      <sheetName val="conversion_cost_sum1"/>
      <sheetName val="conversion_cost21"/>
      <sheetName val="August_20151"/>
      <sheetName val="Feb'18_TB1"/>
      <sheetName val="TRIAL_BALANCE__2019_YTD1"/>
      <sheetName val="August_2019_TB1"/>
      <sheetName val="conversion_cost_YTD_20191"/>
      <sheetName val="Conversion_cost_August_20191"/>
      <sheetName val="50KG_INCENTIVES1"/>
      <sheetName val="Retail_Incentives_1"/>
      <sheetName val="Omitted_3rd_quater1"/>
      <sheetName val="CC_-_JUNE_2018_Month1"/>
      <sheetName val="Report_Header_Dates1"/>
      <sheetName val="DIRECT_LABOUR1"/>
      <sheetName val="DIRECT_OVERHEAD1"/>
      <sheetName val="S_AND_D1"/>
      <sheetName val="ADMIN_(2)1"/>
      <sheetName val="Non-oper__cost1"/>
      <sheetName val="President_DB_-_Cost_per_T_1"/>
      <sheetName val="Conversion_cost_MaY_20191"/>
      <sheetName val="President_DB-_Rev_&amp;_Prod1"/>
      <sheetName val="Source_data15"/>
      <sheetName val="conversion_cost_YTD_2018_(2)2"/>
      <sheetName val="CC_-_Dec__2017_YTD2"/>
      <sheetName val="DSR_K2"/>
      <sheetName val="MAJOR_ACTIVITIES2"/>
      <sheetName val="Q3_P_&amp;_L2"/>
      <sheetName val="Profit_Recon2"/>
      <sheetName val="SAP_SFP2"/>
      <sheetName val="TB_Asset2"/>
      <sheetName val="KEY_RATIO2"/>
      <sheetName val="cost_per_unit2"/>
      <sheetName val="Direct_Expenses2"/>
      <sheetName val="CONSO_K2"/>
      <sheetName val="P&amp;_L__Analysis2"/>
      <sheetName val="TPT_Inc2"/>
      <sheetName val="Direct_over_head2"/>
      <sheetName val="INCOME_TB2"/>
      <sheetName val="2017_bud2"/>
      <sheetName val="SSC_K2"/>
      <sheetName val="Profit_Rec_Worksheet2"/>
      <sheetName val="Sales_Analysis2"/>
      <sheetName val="OCT__2016-TB2"/>
      <sheetName val="note_workings2"/>
      <sheetName val="PBT_Analysis2"/>
      <sheetName val="Nov2014_MPR2"/>
      <sheetName val="NOV2014_Note2"/>
      <sheetName val="YTD_20142"/>
      <sheetName val="OCT_2014_FS2"/>
      <sheetName val="2014_prod2"/>
      <sheetName val="2015_Bud_Ass2"/>
      <sheetName val="2015_Bud22"/>
      <sheetName val="conversion_cost_sum2"/>
      <sheetName val="conversion_cost22"/>
      <sheetName val="August_20152"/>
      <sheetName val="Feb'18_TB2"/>
      <sheetName val="TRIAL_BALANCE__2019_YTD2"/>
      <sheetName val="August_2019_TB2"/>
      <sheetName val="conversion_cost_YTD_20192"/>
      <sheetName val="Conversion_cost_August_20192"/>
      <sheetName val="50KG_INCENTIVES2"/>
      <sheetName val="Retail_Incentives_2"/>
      <sheetName val="Omitted_3rd_quater2"/>
      <sheetName val="CC_-_JUNE_2018_Month2"/>
      <sheetName val="Report_Header_Dates2"/>
      <sheetName val="DIRECT_LABOUR2"/>
      <sheetName val="DIRECT_OVERHEAD2"/>
      <sheetName val="S_AND_D2"/>
      <sheetName val="ADMIN_(2)2"/>
      <sheetName val="Non-oper__cost2"/>
      <sheetName val="President_DB_-_Cost_per_T_2"/>
      <sheetName val="Conversion_cost_MaY_20192"/>
      <sheetName val="President_DB-_Rev_&amp;_Prod2"/>
      <sheetName val="Source_data16"/>
      <sheetName val="conversion_cost_YTD_2018_(2)3"/>
      <sheetName val="CC_-_Dec__2017_YTD3"/>
      <sheetName val="DSR_K3"/>
      <sheetName val="MAJOR_ACTIVITIES3"/>
      <sheetName val="Q3_P_&amp;_L3"/>
      <sheetName val="Profit_Recon3"/>
      <sheetName val="SAP_SFP3"/>
      <sheetName val="TB_Asset3"/>
      <sheetName val="KEY_RATIO3"/>
      <sheetName val="cost_per_unit3"/>
      <sheetName val="Direct_Expenses3"/>
      <sheetName val="CONSO_K3"/>
      <sheetName val="P&amp;_L__Analysis3"/>
      <sheetName val="TPT_Inc3"/>
      <sheetName val="Direct_over_head3"/>
      <sheetName val="INCOME_TB3"/>
      <sheetName val="2017_bud3"/>
      <sheetName val="SSC_K3"/>
      <sheetName val="Profit_Rec_Worksheet3"/>
      <sheetName val="Sales_Analysis3"/>
      <sheetName val="OCT__2016-TB3"/>
      <sheetName val="note_workings3"/>
      <sheetName val="PBT_Analysis3"/>
      <sheetName val="Nov2014_MPR3"/>
      <sheetName val="NOV2014_Note3"/>
      <sheetName val="YTD_20143"/>
      <sheetName val="OCT_2014_FS3"/>
      <sheetName val="2014_prod3"/>
      <sheetName val="2015_Bud_Ass3"/>
      <sheetName val="2015_Bud23"/>
      <sheetName val="conversion_cost_sum3"/>
      <sheetName val="conversion_cost23"/>
      <sheetName val="August_20153"/>
      <sheetName val="Feb'18_TB3"/>
      <sheetName val="TRIAL_BALANCE__2019_YTD3"/>
      <sheetName val="August_2019_TB3"/>
      <sheetName val="conversion_cost_YTD_20193"/>
      <sheetName val="Conversion_cost_August_20193"/>
      <sheetName val="50KG_INCENTIVES3"/>
      <sheetName val="Retail_Incentives_3"/>
      <sheetName val="Omitted_3rd_quater3"/>
      <sheetName val="CC_-_JUNE_2018_Month3"/>
      <sheetName val="Report_Header_Dates3"/>
      <sheetName val="DIRECT_LABOUR3"/>
      <sheetName val="DIRECT_OVERHEAD3"/>
      <sheetName val="S_AND_D3"/>
      <sheetName val="ADMIN_(2)3"/>
      <sheetName val="Non-oper__cost3"/>
      <sheetName val="President_DB_-_Cost_per_T_3"/>
      <sheetName val="Conversion_cost_MaY_20193"/>
      <sheetName val="President_DB-_Rev_&amp;_Prod3"/>
      <sheetName val="Source_data17"/>
      <sheetName val="conversion_cost_YTD_2018_(2)4"/>
      <sheetName val="CC_-_Dec__2017_YTD4"/>
      <sheetName val="DSR_K4"/>
      <sheetName val="MAJOR_ACTIVITIES4"/>
      <sheetName val="Q3_P_&amp;_L4"/>
      <sheetName val="Profit_Recon4"/>
      <sheetName val="SAP_SFP4"/>
      <sheetName val="TB_Asset4"/>
      <sheetName val="KEY_RATIO4"/>
      <sheetName val="cost_per_unit4"/>
      <sheetName val="Direct_Expenses4"/>
      <sheetName val="CONSO_K4"/>
      <sheetName val="P&amp;_L__Analysis4"/>
      <sheetName val="TPT_Inc4"/>
      <sheetName val="Direct_over_head4"/>
      <sheetName val="INCOME_TB4"/>
      <sheetName val="2017_bud4"/>
      <sheetName val="SSC_K4"/>
      <sheetName val="Profit_Rec_Worksheet4"/>
      <sheetName val="Sales_Analysis4"/>
      <sheetName val="OCT__2016-TB4"/>
      <sheetName val="note_workings4"/>
      <sheetName val="PBT_Analysis4"/>
      <sheetName val="Nov2014_MPR4"/>
      <sheetName val="NOV2014_Note4"/>
      <sheetName val="YTD_20144"/>
      <sheetName val="OCT_2014_FS4"/>
      <sheetName val="2014_prod4"/>
      <sheetName val="2015_Bud_Ass4"/>
      <sheetName val="2015_Bud24"/>
      <sheetName val="conversion_cost_sum4"/>
      <sheetName val="conversion_cost24"/>
      <sheetName val="August_20154"/>
      <sheetName val="Feb'18_TB4"/>
      <sheetName val="TRIAL_BALANCE__2019_YTD4"/>
      <sheetName val="August_2019_TB4"/>
      <sheetName val="conversion_cost_YTD_20194"/>
      <sheetName val="Conversion_cost_August_20194"/>
      <sheetName val="50KG_INCENTIVES4"/>
      <sheetName val="Retail_Incentives_4"/>
      <sheetName val="Omitted_3rd_quater4"/>
      <sheetName val="CC_-_JUNE_2018_Month4"/>
      <sheetName val="Report_Header_Dates4"/>
      <sheetName val="DIRECT_LABOUR4"/>
      <sheetName val="DIRECT_OVERHEAD4"/>
      <sheetName val="S_AND_D4"/>
      <sheetName val="ADMIN_(2)4"/>
      <sheetName val="Non-oper__cost4"/>
      <sheetName val="President_DB_-_Cost_per_T_4"/>
      <sheetName val="Conversion_cost_MaY_20194"/>
      <sheetName val="President_DB-_Rev_&amp;_Prod4"/>
      <sheetName val="Source_data19"/>
      <sheetName val="conversion_cost_YTD_2018_(2)6"/>
      <sheetName val="CC_-_Dec__2017_YTD6"/>
      <sheetName val="DSR_K6"/>
      <sheetName val="MAJOR_ACTIVITIES6"/>
      <sheetName val="Q3_P_&amp;_L6"/>
      <sheetName val="Profit_Recon6"/>
      <sheetName val="SAP_SFP6"/>
      <sheetName val="TB_Asset6"/>
      <sheetName val="KEY_RATIO6"/>
      <sheetName val="cost_per_unit6"/>
      <sheetName val="Direct_Expenses6"/>
      <sheetName val="CONSO_K6"/>
      <sheetName val="P&amp;_L__Analysis6"/>
      <sheetName val="TPT_Inc6"/>
      <sheetName val="Direct_over_head6"/>
      <sheetName val="INCOME_TB6"/>
      <sheetName val="2017_bud6"/>
      <sheetName val="SSC_K6"/>
      <sheetName val="Profit_Rec_Worksheet6"/>
      <sheetName val="Sales_Analysis6"/>
      <sheetName val="OCT__2016-TB6"/>
      <sheetName val="note_workings6"/>
      <sheetName val="PBT_Analysis6"/>
      <sheetName val="Nov2014_MPR6"/>
      <sheetName val="NOV2014_Note6"/>
      <sheetName val="YTD_20146"/>
      <sheetName val="OCT_2014_FS6"/>
      <sheetName val="2014_prod6"/>
      <sheetName val="2015_Bud_Ass6"/>
      <sheetName val="2015_Bud26"/>
      <sheetName val="conversion_cost_sum6"/>
      <sheetName val="conversion_cost26"/>
      <sheetName val="August_20156"/>
      <sheetName val="Feb'18_TB6"/>
      <sheetName val="TRIAL_BALANCE__2019_YTD6"/>
      <sheetName val="August_2019_TB6"/>
      <sheetName val="conversion_cost_YTD_20196"/>
      <sheetName val="Conversion_cost_August_20196"/>
      <sheetName val="50KG_INCENTIVES6"/>
      <sheetName val="Retail_Incentives_6"/>
      <sheetName val="Omitted_3rd_quater6"/>
      <sheetName val="CC_-_JUNE_2018_Month6"/>
      <sheetName val="Report_Header_Dates6"/>
      <sheetName val="DIRECT_LABOUR6"/>
      <sheetName val="DIRECT_OVERHEAD6"/>
      <sheetName val="S_AND_D6"/>
      <sheetName val="ADMIN_(2)6"/>
      <sheetName val="Non-oper__cost6"/>
      <sheetName val="President_DB_-_Cost_per_T_6"/>
      <sheetName val="Conversion_cost_MaY_20196"/>
      <sheetName val="President_DB-_Rev_&amp;_Prod6"/>
      <sheetName val="Summary_2"/>
      <sheetName val="Summary_21"/>
      <sheetName val="Bank_Bsheet"/>
      <sheetName val="Profit_&amp;_Loss"/>
      <sheetName val="Balance_Sheet"/>
      <sheetName val="Opex_-_GPAL"/>
      <sheetName val="P&amp;L-_GPAL"/>
      <sheetName val="Input-_General_Assumptions"/>
      <sheetName val="Project_Cost"/>
      <sheetName val="Balance_Sheet-GPAL"/>
      <sheetName val="BTM Up Monthly"/>
      <sheetName val="2001"/>
      <sheetName val="TREND PAL"/>
      <sheetName val="Journal entries"/>
      <sheetName val="Summary_25"/>
      <sheetName val="Summary_22"/>
      <sheetName val="Summary_23"/>
      <sheetName val="Summary_24"/>
      <sheetName val="Source_data20"/>
      <sheetName val="conversion_cost_YTD_2018_(2)7"/>
      <sheetName val="CC_-_Dec__2017_YTD7"/>
      <sheetName val="DSR_K7"/>
      <sheetName val="MAJOR_ACTIVITIES7"/>
      <sheetName val="Q3_P_&amp;_L7"/>
      <sheetName val="Profit_Recon7"/>
      <sheetName val="SAP_SFP7"/>
      <sheetName val="TB_Asset7"/>
      <sheetName val="KEY_RATIO7"/>
      <sheetName val="cost_per_unit7"/>
      <sheetName val="Direct_Expenses7"/>
      <sheetName val="CONSO_K7"/>
      <sheetName val="P&amp;_L__Analysis7"/>
      <sheetName val="TPT_Inc7"/>
      <sheetName val="Direct_over_head7"/>
      <sheetName val="INCOME_TB7"/>
      <sheetName val="2017_bud7"/>
      <sheetName val="SSC_K7"/>
      <sheetName val="Profit_Rec_Worksheet7"/>
      <sheetName val="Sales_Analysis7"/>
      <sheetName val="OCT__2016-TB7"/>
      <sheetName val="note_workings7"/>
      <sheetName val="PBT_Analysis7"/>
      <sheetName val="Nov2014_MPR7"/>
      <sheetName val="NOV2014_Note7"/>
      <sheetName val="YTD_20147"/>
      <sheetName val="OCT_2014_FS7"/>
      <sheetName val="2014_prod7"/>
      <sheetName val="2015_Bud_Ass7"/>
      <sheetName val="2015_Bud27"/>
      <sheetName val="conversion_cost_sum7"/>
      <sheetName val="conversion_cost27"/>
      <sheetName val="August_20157"/>
      <sheetName val="Feb'18_TB7"/>
      <sheetName val="TRIAL_BALANCE__2019_YTD7"/>
      <sheetName val="August_2019_TB7"/>
      <sheetName val="conversion_cost_YTD_20197"/>
      <sheetName val="Conversion_cost_August_20197"/>
      <sheetName val="50KG_INCENTIVES7"/>
      <sheetName val="Retail_Incentives_7"/>
      <sheetName val="Omitted_3rd_quater7"/>
      <sheetName val="CC_-_JUNE_2018_Month7"/>
      <sheetName val="Report_Header_Dates7"/>
      <sheetName val="DIRECT_LABOUR7"/>
      <sheetName val="DIRECT_OVERHEAD7"/>
      <sheetName val="S_AND_D7"/>
      <sheetName val="ADMIN_(2)7"/>
      <sheetName val="Non-oper__cost7"/>
      <sheetName val="President_DB_-_Cost_per_T_7"/>
      <sheetName val="Conversion_cost_MaY_20197"/>
      <sheetName val="President_DB-_Rev_&amp;_Prod7"/>
      <sheetName val="Summary_26"/>
      <sheetName val="pcQueryData"/>
      <sheetName val="Jan 2000 - Scr1"/>
      <sheetName val="MultiChoice 2002"/>
      <sheetName val="Jan09"/>
      <sheetName val="TILES CONSUMABLES"/>
      <sheetName val="TILES CONSUMABLES (2)"/>
      <sheetName val="TILES FACTORY"/>
      <sheetName val="TILES FACTORY (2)"/>
      <sheetName val="TILES FACTORY (3)"/>
      <sheetName val="TILES FACTORY (4)"/>
      <sheetName val="General Production Materials"/>
      <sheetName val="SANITARY WARES FACTORY April"/>
      <sheetName val="SANITARY CONSUMABLES Feb"/>
      <sheetName val="SANITARY CONSUMABLES January"/>
      <sheetName val="SANITARY WARE FACTORY June)"/>
      <sheetName val="SANITARY WARES FACTORY March"/>
      <sheetName val="SANITARY WARE FACTORY May"/>
      <sheetName val="SANITARYWARE FACTORY FEB"/>
      <sheetName val="SANITARYWARE FACTORY JUNE"/>
      <sheetName val="SANITARYWARE FACTORY APRIL"/>
      <sheetName val="SANITARYWARE FACTORY JAN."/>
      <sheetName val="SANITARYWARE FACTORY JULY"/>
      <sheetName val="SANITARYWARE FACTORY MARCH"/>
      <sheetName val="SANITARYWARE FACTORY MAY"/>
      <sheetName val="TILES FACTORY RM APRIL"/>
      <sheetName val="TILES FACTORY RM FEB"/>
      <sheetName val="TILES  FACTORY RM Jan,2018"/>
      <sheetName val="TILES FACTORY RM JULY "/>
      <sheetName val="TILES FACTORY RM JUNE"/>
      <sheetName val="TILES FACTORY RM MARCH"/>
      <sheetName val="TILES FACTORY RM MAY"/>
      <sheetName val="Data"/>
      <sheetName val="Category Brands"/>
      <sheetName val="OU Selection"/>
      <sheetName val="Exchange rates"/>
      <sheetName val="Control"/>
      <sheetName val="Budget SC Capex CCY"/>
      <sheetName val="PF2 SC Capex CCY"/>
      <sheetName val="Front Sheet"/>
      <sheetName val="Exchange Rate"/>
      <sheetName val="OC% Dupont Bud"/>
      <sheetName val="Export Bud- not Mesa"/>
      <sheetName val="Factory Perf Bud"/>
      <sheetName val="Source_data21"/>
      <sheetName val="conversion_cost_YTD_2018_(2)8"/>
      <sheetName val="CC_-_Dec__2017_YTD8"/>
      <sheetName val="DSR_K8"/>
      <sheetName val="MAJOR_ACTIVITIES8"/>
      <sheetName val="Q3_P_&amp;_L8"/>
      <sheetName val="Profit_Recon8"/>
      <sheetName val="SAP_SFP8"/>
      <sheetName val="TB_Asset8"/>
      <sheetName val="KEY_RATIO8"/>
      <sheetName val="cost_per_unit8"/>
      <sheetName val="Direct_Expenses8"/>
      <sheetName val="CONSO_K8"/>
      <sheetName val="P&amp;_L__Analysis8"/>
      <sheetName val="TPT_Inc8"/>
      <sheetName val="Direct_over_head8"/>
      <sheetName val="INCOME_TB8"/>
      <sheetName val="2017_bud8"/>
      <sheetName val="SSC_K8"/>
      <sheetName val="Profit_Rec_Worksheet8"/>
      <sheetName val="Sales_Analysis8"/>
      <sheetName val="OCT__2016-TB8"/>
      <sheetName val="note_workings8"/>
      <sheetName val="PBT_Analysis8"/>
      <sheetName val="Nov2014_MPR8"/>
      <sheetName val="NOV2014_Note8"/>
      <sheetName val="YTD_20148"/>
      <sheetName val="OCT_2014_FS8"/>
      <sheetName val="2014_prod8"/>
      <sheetName val="2015_Bud_Ass8"/>
      <sheetName val="2015_Bud28"/>
      <sheetName val="conversion_cost_sum8"/>
      <sheetName val="conversion_cost28"/>
      <sheetName val="August_20158"/>
      <sheetName val="Feb'18_TB8"/>
      <sheetName val="TRIAL_BALANCE__2019_YTD8"/>
      <sheetName val="August_2019_TB8"/>
      <sheetName val="conversion_cost_YTD_20198"/>
      <sheetName val="Conversion_cost_August_20198"/>
      <sheetName val="50KG_INCENTIVES8"/>
      <sheetName val="Retail_Incentives_8"/>
      <sheetName val="Omitted_3rd_quater8"/>
      <sheetName val="CC_-_JUNE_2018_Month8"/>
      <sheetName val="Report_Header_Dates8"/>
      <sheetName val="DIRECT_LABOUR8"/>
      <sheetName val="DIRECT_OVERHEAD8"/>
      <sheetName val="S_AND_D8"/>
      <sheetName val="ADMIN_(2)8"/>
      <sheetName val="Non-oper__cost8"/>
      <sheetName val="President_DB_-_Cost_per_T_8"/>
      <sheetName val="Conversion_cost_MaY_20198"/>
      <sheetName val="President_DB-_Rev_&amp;_Prod8"/>
      <sheetName val="Profit_&amp;_Loss1"/>
      <sheetName val="Balance_Sheet1"/>
      <sheetName val="Opex_-_GPAL1"/>
      <sheetName val="P&amp;L-_GPAL1"/>
      <sheetName val="Input-_General_Assumptions1"/>
      <sheetName val="Project_Cost1"/>
      <sheetName val="Balance_Sheet-GPAL1"/>
      <sheetName val="Summary_27"/>
      <sheetName val="Bank_Bsheet1"/>
      <sheetName val="Journal_entries"/>
      <sheetName val="Jan_2000_-_Scr1"/>
      <sheetName val="MultiChoice_2002"/>
      <sheetName val="TREND_PAL"/>
      <sheetName val="BTM_Up_Monthly"/>
      <sheetName val="Source_data22"/>
      <sheetName val="conversion_cost_YTD_2018_(2)9"/>
      <sheetName val="CC_-_Dec__2017_YTD9"/>
      <sheetName val="DSR_K9"/>
      <sheetName val="MAJOR_ACTIVITIES9"/>
      <sheetName val="Q3_P_&amp;_L9"/>
      <sheetName val="Profit_Recon9"/>
      <sheetName val="SAP_SFP9"/>
      <sheetName val="TB_Asset9"/>
      <sheetName val="KEY_RATIO9"/>
      <sheetName val="cost_per_unit9"/>
      <sheetName val="Direct_Expenses9"/>
      <sheetName val="CONSO_K9"/>
      <sheetName val="P&amp;_L__Analysis9"/>
      <sheetName val="TPT_Inc9"/>
      <sheetName val="Direct_over_head9"/>
      <sheetName val="INCOME_TB9"/>
      <sheetName val="2017_bud9"/>
      <sheetName val="SSC_K9"/>
      <sheetName val="Profit_Rec_Worksheet9"/>
      <sheetName val="Sales_Analysis9"/>
      <sheetName val="OCT__2016-TB9"/>
      <sheetName val="note_workings9"/>
      <sheetName val="PBT_Analysis9"/>
      <sheetName val="Nov2014_MPR9"/>
      <sheetName val="NOV2014_Note9"/>
      <sheetName val="YTD_20149"/>
      <sheetName val="OCT_2014_FS9"/>
      <sheetName val="2014_prod9"/>
      <sheetName val="2015_Bud_Ass9"/>
      <sheetName val="2015_Bud29"/>
      <sheetName val="conversion_cost_sum9"/>
      <sheetName val="conversion_cost29"/>
      <sheetName val="August_20159"/>
      <sheetName val="Feb'18_TB9"/>
      <sheetName val="TRIAL_BALANCE__2019_YTD9"/>
      <sheetName val="August_2019_TB9"/>
      <sheetName val="conversion_cost_YTD_20199"/>
      <sheetName val="Conversion_cost_August_20199"/>
      <sheetName val="50KG_INCENTIVES9"/>
      <sheetName val="Retail_Incentives_9"/>
      <sheetName val="Omitted_3rd_quater9"/>
      <sheetName val="CC_-_JUNE_2018_Month9"/>
      <sheetName val="Report_Header_Dates9"/>
      <sheetName val="DIRECT_LABOUR9"/>
      <sheetName val="DIRECT_OVERHEAD9"/>
      <sheetName val="S_AND_D9"/>
      <sheetName val="ADMIN_(2)9"/>
      <sheetName val="Non-oper__cost9"/>
      <sheetName val="President_DB_-_Cost_per_T_9"/>
      <sheetName val="Conversion_cost_MaY_20199"/>
      <sheetName val="President_DB-_Rev_&amp;_Prod9"/>
      <sheetName val="Profit_&amp;_Loss2"/>
      <sheetName val="Balance_Sheet2"/>
      <sheetName val="Opex_-_GPAL2"/>
      <sheetName val="P&amp;L-_GPAL2"/>
      <sheetName val="Input-_General_Assumptions2"/>
      <sheetName val="Project_Cost2"/>
      <sheetName val="Balance_Sheet-GPAL2"/>
      <sheetName val="Summary_28"/>
      <sheetName val="Bank_Bsheet2"/>
      <sheetName val="Journal_entries1"/>
      <sheetName val="Jan_2000_-_Scr11"/>
      <sheetName val="MultiChoice_20021"/>
      <sheetName val="Gratuity DBase"/>
      <sheetName val="Source_data23"/>
      <sheetName val="conversion_cost_YTD_2018_(2)10"/>
      <sheetName val="CC_-_Dec__2017_YTD10"/>
      <sheetName val="DSR_K10"/>
      <sheetName val="MAJOR_ACTIVITIES10"/>
      <sheetName val="Q3_P_&amp;_L10"/>
      <sheetName val="Profit_Recon10"/>
      <sheetName val="SAP_SFP10"/>
      <sheetName val="TB_Asset10"/>
      <sheetName val="KEY_RATIO10"/>
      <sheetName val="cost_per_unit10"/>
      <sheetName val="Direct_Expenses10"/>
      <sheetName val="CONSO_K10"/>
      <sheetName val="P&amp;_L__Analysis10"/>
      <sheetName val="TPT_Inc10"/>
      <sheetName val="Direct_over_head10"/>
      <sheetName val="INCOME_TB10"/>
      <sheetName val="2017_bud10"/>
      <sheetName val="SSC_K10"/>
      <sheetName val="Profit_Rec_Worksheet10"/>
      <sheetName val="Sales_Analysis10"/>
      <sheetName val="OCT__2016-TB10"/>
      <sheetName val="note_workings10"/>
      <sheetName val="PBT_Analysis10"/>
      <sheetName val="Nov2014_MPR10"/>
      <sheetName val="NOV2014_Note10"/>
      <sheetName val="YTD_201410"/>
      <sheetName val="OCT_2014_FS10"/>
      <sheetName val="2014_prod10"/>
      <sheetName val="2015_Bud_Ass10"/>
      <sheetName val="2015_Bud210"/>
      <sheetName val="conversion_cost_sum10"/>
      <sheetName val="conversion_cost210"/>
      <sheetName val="August_201510"/>
      <sheetName val="Feb'18_TB10"/>
      <sheetName val="TRIAL_BALANCE__2019_YTD10"/>
      <sheetName val="August_2019_TB10"/>
      <sheetName val="conversion_cost_YTD_201910"/>
      <sheetName val="Conversion_cost_August_201910"/>
      <sheetName val="50KG_INCENTIVES10"/>
      <sheetName val="Retail_Incentives_10"/>
      <sheetName val="Omitted_3rd_quater10"/>
      <sheetName val="CC_-_JUNE_2018_Month10"/>
      <sheetName val="Report_Header_Dates10"/>
      <sheetName val="DIRECT_LABOUR10"/>
      <sheetName val="DIRECT_OVERHEAD10"/>
      <sheetName val="S_AND_D10"/>
      <sheetName val="ADMIN_(2)10"/>
      <sheetName val="Non-oper__cost10"/>
      <sheetName val="President_DB_-_Cost_per_T_10"/>
      <sheetName val="Conversion_cost_MaY_201910"/>
      <sheetName val="President_DB-_Rev_&amp;_Prod10"/>
      <sheetName val="Summary_29"/>
      <sheetName val="Bank_Bsheet3"/>
      <sheetName val="Profit_&amp;_Loss3"/>
      <sheetName val="Balance_Sheet3"/>
      <sheetName val="Opex_-_GPAL3"/>
      <sheetName val="P&amp;L-_GPAL3"/>
      <sheetName val="Input-_General_Assumptions3"/>
      <sheetName val="Project_Cost3"/>
      <sheetName val="Balance_Sheet-GPAL3"/>
      <sheetName val="Journal_entries2"/>
      <sheetName val="BTM_Up_Monthly2"/>
      <sheetName val="TREND_PAL2"/>
      <sheetName val="BTM_Up_Monthly1"/>
      <sheetName val="TREND_PAL1"/>
      <sheetName val="Source_data24"/>
      <sheetName val="conversion_cost_YTD_2018_(2)11"/>
      <sheetName val="CC_-_Dec__2017_YTD11"/>
      <sheetName val="DSR_K11"/>
      <sheetName val="MAJOR_ACTIVITIES11"/>
      <sheetName val="Q3_P_&amp;_L11"/>
      <sheetName val="Profit_Recon11"/>
      <sheetName val="SAP_SFP11"/>
      <sheetName val="TB_Asset11"/>
      <sheetName val="KEY_RATIO11"/>
      <sheetName val="cost_per_unit11"/>
      <sheetName val="Direct_Expenses11"/>
      <sheetName val="CONSO_K11"/>
      <sheetName val="P&amp;_L__Analysis11"/>
      <sheetName val="TPT_Inc11"/>
      <sheetName val="Direct_over_head11"/>
      <sheetName val="INCOME_TB11"/>
      <sheetName val="2017_bud11"/>
      <sheetName val="SSC_K11"/>
      <sheetName val="Profit_Rec_Worksheet11"/>
      <sheetName val="Sales_Analysis11"/>
      <sheetName val="OCT__2016-TB11"/>
      <sheetName val="note_workings11"/>
      <sheetName val="PBT_Analysis11"/>
      <sheetName val="Nov2014_MPR11"/>
      <sheetName val="NOV2014_Note11"/>
      <sheetName val="YTD_201411"/>
      <sheetName val="OCT_2014_FS11"/>
      <sheetName val="2014_prod11"/>
      <sheetName val="2015_Bud_Ass11"/>
      <sheetName val="2015_Bud211"/>
      <sheetName val="conversion_cost_sum11"/>
      <sheetName val="conversion_cost211"/>
      <sheetName val="August_201511"/>
      <sheetName val="Feb'18_TB11"/>
      <sheetName val="TRIAL_BALANCE__2019_YTD11"/>
      <sheetName val="August_2019_TB11"/>
      <sheetName val="conversion_cost_YTD_201911"/>
      <sheetName val="Conversion_cost_August_201911"/>
      <sheetName val="50KG_INCENTIVES11"/>
      <sheetName val="Retail_Incentives_11"/>
      <sheetName val="Omitted_3rd_quater11"/>
      <sheetName val="CC_-_JUNE_2018_Month11"/>
      <sheetName val="Report_Header_Dates11"/>
      <sheetName val="DIRECT_LABOUR11"/>
      <sheetName val="DIRECT_OVERHEAD11"/>
      <sheetName val="S_AND_D11"/>
      <sheetName val="ADMIN_(2)11"/>
      <sheetName val="Non-oper__cost11"/>
      <sheetName val="President_DB_-_Cost_per_T_11"/>
      <sheetName val="Conversion_cost_MaY_201911"/>
      <sheetName val="President_DB-_Rev_&amp;_Prod11"/>
      <sheetName val="Summary_210"/>
      <sheetName val="Bank_Bsheet4"/>
      <sheetName val="Profit_&amp;_Loss4"/>
      <sheetName val="Balance_Sheet4"/>
      <sheetName val="Opex_-_GPAL4"/>
      <sheetName val="P&amp;L-_GPAL4"/>
      <sheetName val="Input-_General_Assumptions4"/>
      <sheetName val="Project_Cost4"/>
      <sheetName val="Balance_Sheet-GPAL4"/>
      <sheetName val="Journal_entries3"/>
      <sheetName val="BTM_Up_Monthly3"/>
      <sheetName val="TREND_PAL3"/>
      <sheetName val="Source_data25"/>
      <sheetName val="conversion_cost_YTD_2018_(2)12"/>
      <sheetName val="CC_-_Dec__2017_YTD12"/>
      <sheetName val="DSR_K12"/>
      <sheetName val="MAJOR_ACTIVITIES12"/>
      <sheetName val="Q3_P_&amp;_L12"/>
      <sheetName val="Profit_Recon12"/>
      <sheetName val="SAP_SFP12"/>
      <sheetName val="TB_Asset12"/>
      <sheetName val="KEY_RATIO12"/>
      <sheetName val="cost_per_unit12"/>
      <sheetName val="Direct_Expenses12"/>
      <sheetName val="CONSO_K12"/>
      <sheetName val="P&amp;_L__Analysis12"/>
      <sheetName val="TPT_Inc12"/>
      <sheetName val="Direct_over_head12"/>
      <sheetName val="INCOME_TB12"/>
      <sheetName val="2017_bud12"/>
      <sheetName val="SSC_K12"/>
      <sheetName val="Profit_Rec_Worksheet12"/>
      <sheetName val="Sales_Analysis12"/>
      <sheetName val="OCT__2016-TB12"/>
      <sheetName val="note_workings12"/>
      <sheetName val="PBT_Analysis12"/>
      <sheetName val="Nov2014_MPR12"/>
      <sheetName val="NOV2014_Note12"/>
      <sheetName val="YTD_201412"/>
      <sheetName val="OCT_2014_FS12"/>
      <sheetName val="2014_prod12"/>
      <sheetName val="2015_Bud_Ass12"/>
      <sheetName val="2015_Bud212"/>
      <sheetName val="conversion_cost_sum12"/>
      <sheetName val="conversion_cost212"/>
      <sheetName val="August_201512"/>
      <sheetName val="Feb'18_TB12"/>
      <sheetName val="TRIAL_BALANCE__2019_YTD12"/>
      <sheetName val="August_2019_TB12"/>
      <sheetName val="conversion_cost_YTD_201912"/>
      <sheetName val="Conversion_cost_August_201912"/>
      <sheetName val="50KG_INCENTIVES12"/>
      <sheetName val="Retail_Incentives_12"/>
      <sheetName val="Omitted_3rd_quater12"/>
      <sheetName val="CC_-_JUNE_2018_Month12"/>
      <sheetName val="Report_Header_Dates12"/>
      <sheetName val="DIRECT_LABOUR12"/>
      <sheetName val="DIRECT_OVERHEAD12"/>
      <sheetName val="S_AND_D12"/>
      <sheetName val="ADMIN_(2)12"/>
      <sheetName val="Non-oper__cost12"/>
      <sheetName val="President_DB_-_Cost_per_T_12"/>
      <sheetName val="Conversion_cost_MaY_201912"/>
      <sheetName val="President_DB-_Rev_&amp;_Prod12"/>
      <sheetName val="Summary_211"/>
      <sheetName val="Bank_Bsheet5"/>
      <sheetName val="Profit_&amp;_Loss5"/>
      <sheetName val="Balance_Sheet5"/>
      <sheetName val="Opex_-_GPAL5"/>
      <sheetName val="P&amp;L-_GPAL5"/>
      <sheetName val="Input-_General_Assumptions5"/>
      <sheetName val="Project_Cost5"/>
      <sheetName val="Balance_Sheet-GPAL5"/>
      <sheetName val="Journal_entries4"/>
      <sheetName val="BTM_Up_Monthly4"/>
      <sheetName val="TREND_PAL4"/>
      <sheetName val="Source_data26"/>
      <sheetName val="conversion_cost_YTD_2018_(2)13"/>
      <sheetName val="CC_-_Dec__2017_YTD13"/>
      <sheetName val="DSR_K13"/>
      <sheetName val="MAJOR_ACTIVITIES13"/>
      <sheetName val="Q3_P_&amp;_L13"/>
      <sheetName val="Profit_Recon13"/>
      <sheetName val="SAP_SFP13"/>
      <sheetName val="TB_Asset13"/>
      <sheetName val="KEY_RATIO13"/>
      <sheetName val="cost_per_unit13"/>
      <sheetName val="Direct_Expenses13"/>
      <sheetName val="CONSO_K13"/>
      <sheetName val="P&amp;_L__Analysis13"/>
      <sheetName val="TPT_Inc13"/>
      <sheetName val="Direct_over_head13"/>
      <sheetName val="INCOME_TB13"/>
      <sheetName val="2017_bud13"/>
      <sheetName val="SSC_K13"/>
      <sheetName val="Profit_Rec_Worksheet13"/>
      <sheetName val="Sales_Analysis13"/>
      <sheetName val="OCT__2016-TB13"/>
      <sheetName val="note_workings13"/>
      <sheetName val="PBT_Analysis13"/>
      <sheetName val="Nov2014_MPR13"/>
      <sheetName val="NOV2014_Note13"/>
      <sheetName val="YTD_201413"/>
      <sheetName val="OCT_2014_FS13"/>
      <sheetName val="2014_prod13"/>
      <sheetName val="2015_Bud_Ass13"/>
      <sheetName val="2015_Bud213"/>
      <sheetName val="conversion_cost_sum13"/>
      <sheetName val="conversion_cost213"/>
      <sheetName val="August_201513"/>
      <sheetName val="Feb'18_TB13"/>
      <sheetName val="TRIAL_BALANCE__2019_YTD13"/>
      <sheetName val="August_2019_TB13"/>
      <sheetName val="conversion_cost_YTD_201913"/>
      <sheetName val="Conversion_cost_August_201913"/>
      <sheetName val="50KG_INCENTIVES13"/>
      <sheetName val="Retail_Incentives_13"/>
      <sheetName val="Omitted_3rd_quater13"/>
      <sheetName val="CC_-_JUNE_2018_Month13"/>
      <sheetName val="Report_Header_Dates13"/>
      <sheetName val="DIRECT_LABOUR13"/>
      <sheetName val="DIRECT_OVERHEAD13"/>
      <sheetName val="S_AND_D13"/>
      <sheetName val="ADMIN_(2)13"/>
      <sheetName val="Non-oper__cost13"/>
      <sheetName val="President_DB_-_Cost_per_T_13"/>
      <sheetName val="Conversion_cost_MaY_201913"/>
      <sheetName val="President_DB-_Rev_&amp;_Prod13"/>
      <sheetName val="Summary_212"/>
      <sheetName val="Bank_Bsheet6"/>
      <sheetName val="Profit_&amp;_Loss6"/>
      <sheetName val="Balance_Sheet6"/>
      <sheetName val="Opex_-_GPAL6"/>
      <sheetName val="P&amp;L-_GPAL6"/>
      <sheetName val="Input-_General_Assumptions6"/>
      <sheetName val="Project_Cost6"/>
      <sheetName val="Balance_Sheet-GPAL6"/>
      <sheetName val="Journal_entries5"/>
      <sheetName val="BTM_Up_Monthly5"/>
      <sheetName val="TREND_PAL5"/>
      <sheetName val="Source_data27"/>
      <sheetName val="conversion_cost_YTD_2018_(2)14"/>
      <sheetName val="CC_-_Dec__2017_YTD14"/>
      <sheetName val="DSR_K14"/>
      <sheetName val="MAJOR_ACTIVITIES14"/>
      <sheetName val="Q3_P_&amp;_L14"/>
      <sheetName val="Profit_Recon14"/>
      <sheetName val="SAP_SFP14"/>
      <sheetName val="TB_Asset14"/>
      <sheetName val="KEY_RATIO14"/>
      <sheetName val="cost_per_unit14"/>
      <sheetName val="Direct_Expenses14"/>
      <sheetName val="CONSO_K14"/>
      <sheetName val="P&amp;_L__Analysis14"/>
      <sheetName val="TPT_Inc14"/>
      <sheetName val="Direct_over_head14"/>
      <sheetName val="INCOME_TB14"/>
      <sheetName val="2017_bud14"/>
      <sheetName val="SSC_K14"/>
      <sheetName val="Profit_Rec_Worksheet14"/>
      <sheetName val="Sales_Analysis14"/>
      <sheetName val="OCT__2016-TB14"/>
      <sheetName val="note_workings14"/>
      <sheetName val="PBT_Analysis14"/>
      <sheetName val="Nov2014_MPR14"/>
      <sheetName val="NOV2014_Note14"/>
      <sheetName val="YTD_201414"/>
      <sheetName val="OCT_2014_FS14"/>
      <sheetName val="2014_prod14"/>
      <sheetName val="2015_Bud_Ass14"/>
      <sheetName val="2015_Bud214"/>
      <sheetName val="conversion_cost_sum14"/>
      <sheetName val="conversion_cost214"/>
      <sheetName val="August_201514"/>
      <sheetName val="Feb'18_TB14"/>
      <sheetName val="TRIAL_BALANCE__2019_YTD14"/>
      <sheetName val="August_2019_TB14"/>
      <sheetName val="conversion_cost_YTD_201914"/>
      <sheetName val="Conversion_cost_August_201914"/>
      <sheetName val="50KG_INCENTIVES14"/>
      <sheetName val="Retail_Incentives_14"/>
      <sheetName val="Omitted_3rd_quater14"/>
      <sheetName val="CC_-_JUNE_2018_Month14"/>
      <sheetName val="Report_Header_Dates14"/>
      <sheetName val="DIRECT_LABOUR14"/>
      <sheetName val="DIRECT_OVERHEAD14"/>
      <sheetName val="S_AND_D14"/>
      <sheetName val="ADMIN_(2)14"/>
      <sheetName val="Non-oper__cost14"/>
      <sheetName val="President_DB_-_Cost_per_T_14"/>
      <sheetName val="Conversion_cost_MaY_201914"/>
      <sheetName val="President_DB-_Rev_&amp;_Prod14"/>
      <sheetName val="Summary_213"/>
      <sheetName val="Bank_Bsheet7"/>
      <sheetName val="Profit_&amp;_Loss7"/>
      <sheetName val="Balance_Sheet7"/>
      <sheetName val="Opex_-_GPAL7"/>
      <sheetName val="P&amp;L-_GPAL7"/>
      <sheetName val="Input-_General_Assumptions7"/>
      <sheetName val="Project_Cost7"/>
      <sheetName val="Balance_Sheet-GPAL7"/>
      <sheetName val="Journal_entries6"/>
      <sheetName val="BTM_Up_Monthly6"/>
      <sheetName val="TREND_PAL6"/>
      <sheetName val="Marketing"/>
      <sheetName val="dialog9"/>
      <sheetName val="databank"/>
      <sheetName val="dialog12"/>
      <sheetName val="dialog11"/>
      <sheetName val="Jul-99(1)"/>
      <sheetName val="February"/>
      <sheetName val="March"/>
      <sheetName val="January"/>
      <sheetName val="April"/>
      <sheetName val="May"/>
      <sheetName val="Dbase - Spv"/>
      <sheetName val="Sheet2"/>
      <sheetName val="NAMES"/>
      <sheetName val="Lead (2)"/>
      <sheetName val="Med-Compjune 08"/>
      <sheetName val="Jan_2000_-_Scr12"/>
      <sheetName val="MultiChoice_20022"/>
      <sheetName val="Jan_2000_-_Scr13"/>
      <sheetName val="MultiChoice_20023"/>
      <sheetName val="Jan_2000_-_Scr14"/>
      <sheetName val="MultiChoice_20024"/>
      <sheetName val="Jan_2000_-_Scr15"/>
      <sheetName val="MultiChoice_20025"/>
      <sheetName val="Source_data28"/>
      <sheetName val="conversion_cost_YTD_2018_(2)15"/>
      <sheetName val="CC_-_Dec__2017_YTD15"/>
      <sheetName val="DSR_K15"/>
      <sheetName val="MAJOR_ACTIVITIES15"/>
      <sheetName val="Q3_P_&amp;_L15"/>
      <sheetName val="Profit_Recon15"/>
      <sheetName val="SAP_SFP15"/>
      <sheetName val="TB_Asset15"/>
      <sheetName val="KEY_RATIO15"/>
      <sheetName val="cost_per_unit15"/>
      <sheetName val="Direct_Expenses15"/>
      <sheetName val="CONSO_K15"/>
      <sheetName val="P&amp;_L__Analysis15"/>
      <sheetName val="TPT_Inc15"/>
      <sheetName val="Direct_over_head15"/>
      <sheetName val="INCOME_TB15"/>
      <sheetName val="2017_bud15"/>
      <sheetName val="SSC_K15"/>
      <sheetName val="Profit_Rec_Worksheet15"/>
      <sheetName val="Sales_Analysis15"/>
      <sheetName val="OCT__2016-TB15"/>
      <sheetName val="note_workings15"/>
      <sheetName val="PBT_Analysis15"/>
      <sheetName val="Nov2014_MPR15"/>
      <sheetName val="NOV2014_Note15"/>
      <sheetName val="YTD_201415"/>
      <sheetName val="OCT_2014_FS15"/>
      <sheetName val="2014_prod15"/>
      <sheetName val="2015_Bud_Ass15"/>
      <sheetName val="2015_Bud215"/>
      <sheetName val="conversion_cost_sum15"/>
      <sheetName val="conversion_cost215"/>
      <sheetName val="August_201515"/>
      <sheetName val="Feb'18_TB15"/>
      <sheetName val="TRIAL_BALANCE__2019_YTD15"/>
      <sheetName val="August_2019_TB15"/>
      <sheetName val="conversion_cost_YTD_201915"/>
      <sheetName val="Conversion_cost_August_201915"/>
      <sheetName val="50KG_INCENTIVES15"/>
      <sheetName val="Retail_Incentives_15"/>
      <sheetName val="Omitted_3rd_quater15"/>
      <sheetName val="CC_-_JUNE_2018_Month15"/>
      <sheetName val="Report_Header_Dates15"/>
      <sheetName val="DIRECT_LABOUR15"/>
      <sheetName val="DIRECT_OVERHEAD15"/>
      <sheetName val="S_AND_D15"/>
      <sheetName val="ADMIN_(2)15"/>
      <sheetName val="Non-oper__cost15"/>
      <sheetName val="President_DB_-_Cost_per_T_15"/>
      <sheetName val="Conversion_cost_MaY_201915"/>
      <sheetName val="President_DB-_Rev_&amp;_Prod15"/>
      <sheetName val="Profit_&amp;_Loss8"/>
      <sheetName val="Balance_Sheet8"/>
      <sheetName val="Opex_-_GPAL8"/>
      <sheetName val="P&amp;L-_GPAL8"/>
      <sheetName val="Input-_General_Assumptions8"/>
      <sheetName val="Project_Cost8"/>
      <sheetName val="Balance_Sheet-GPAL8"/>
      <sheetName val="Summary_214"/>
      <sheetName val="Bank_Bsheet8"/>
      <sheetName val="Journal_entries7"/>
      <sheetName val="BTM_Up_Monthly7"/>
      <sheetName val="TREND_PAL7"/>
      <sheetName val="Jan_2000_-_Scr17"/>
      <sheetName val="MultiChoice_20027"/>
      <sheetName val="Jan_2000_-_Scr16"/>
      <sheetName val="MultiChoice_20026"/>
      <sheetName val="Source_data29"/>
      <sheetName val="conversion_cost_YTD_2018_(2)16"/>
      <sheetName val="CC_-_Dec__2017_YTD16"/>
      <sheetName val="DSR_K16"/>
      <sheetName val="MAJOR_ACTIVITIES16"/>
      <sheetName val="Q3_P_&amp;_L16"/>
      <sheetName val="Profit_Recon16"/>
      <sheetName val="SAP_SFP16"/>
      <sheetName val="TB_Asset16"/>
      <sheetName val="KEY_RATIO16"/>
      <sheetName val="cost_per_unit16"/>
      <sheetName val="Direct_Expenses16"/>
      <sheetName val="CONSO_K16"/>
      <sheetName val="P&amp;_L__Analysis16"/>
      <sheetName val="TPT_Inc16"/>
      <sheetName val="Direct_over_head16"/>
      <sheetName val="INCOME_TB16"/>
      <sheetName val="2017_bud16"/>
      <sheetName val="SSC_K16"/>
      <sheetName val="Profit_Rec_Worksheet16"/>
      <sheetName val="Sales_Analysis16"/>
      <sheetName val="OCT__2016-TB16"/>
      <sheetName val="note_workings16"/>
      <sheetName val="PBT_Analysis16"/>
      <sheetName val="Nov2014_MPR16"/>
      <sheetName val="NOV2014_Note16"/>
      <sheetName val="YTD_201416"/>
      <sheetName val="OCT_2014_FS16"/>
      <sheetName val="2014_prod16"/>
      <sheetName val="2015_Bud_Ass16"/>
      <sheetName val="2015_Bud216"/>
      <sheetName val="conversion_cost_sum16"/>
      <sheetName val="conversion_cost216"/>
      <sheetName val="August_201516"/>
      <sheetName val="Feb'18_TB16"/>
      <sheetName val="TRIAL_BALANCE__2019_YTD16"/>
      <sheetName val="August_2019_TB16"/>
      <sheetName val="conversion_cost_YTD_201916"/>
      <sheetName val="Conversion_cost_August_201916"/>
      <sheetName val="50KG_INCENTIVES16"/>
      <sheetName val="Retail_Incentives_16"/>
      <sheetName val="Omitted_3rd_quater16"/>
      <sheetName val="CC_-_JUNE_2018_Month16"/>
      <sheetName val="Report_Header_Dates16"/>
      <sheetName val="DIRECT_LABOUR16"/>
      <sheetName val="DIRECT_OVERHEAD16"/>
      <sheetName val="S_AND_D16"/>
      <sheetName val="ADMIN_(2)16"/>
      <sheetName val="Non-oper__cost16"/>
      <sheetName val="President_DB_-_Cost_per_T_16"/>
      <sheetName val="Conversion_cost_MaY_201916"/>
      <sheetName val="President_DB-_Rev_&amp;_Prod16"/>
      <sheetName val="Profit_&amp;_Loss9"/>
      <sheetName val="Balance_Sheet9"/>
      <sheetName val="Opex_-_GPAL9"/>
      <sheetName val="P&amp;L-_GPAL9"/>
      <sheetName val="Input-_General_Assumptions9"/>
      <sheetName val="Project_Cost9"/>
      <sheetName val="Balance_Sheet-GPAL9"/>
      <sheetName val="Summary_215"/>
      <sheetName val="Bank_Bsheet9"/>
      <sheetName val="Journal_entries8"/>
      <sheetName val="BTM_Up_Monthly8"/>
      <sheetName val="TREND_PAL8"/>
      <sheetName val="Jan_2000_-_Scr18"/>
      <sheetName val="MultiChoice_20028"/>
      <sheetName val="Source_data30"/>
      <sheetName val="conversion_cost_YTD_2018_(2)17"/>
      <sheetName val="CC_-_Dec__2017_YTD17"/>
      <sheetName val="DSR_K17"/>
      <sheetName val="MAJOR_ACTIVITIES17"/>
      <sheetName val="Q3_P_&amp;_L17"/>
      <sheetName val="Profit_Recon17"/>
      <sheetName val="SAP_SFP17"/>
      <sheetName val="TB_Asset17"/>
      <sheetName val="KEY_RATIO17"/>
      <sheetName val="cost_per_unit17"/>
      <sheetName val="Direct_Expenses17"/>
      <sheetName val="CONSO_K17"/>
      <sheetName val="P&amp;_L__Analysis17"/>
      <sheetName val="TPT_Inc17"/>
      <sheetName val="Direct_over_head17"/>
      <sheetName val="INCOME_TB17"/>
      <sheetName val="2017_bud17"/>
      <sheetName val="SSC_K17"/>
      <sheetName val="Profit_Rec_Worksheet17"/>
      <sheetName val="Sales_Analysis17"/>
      <sheetName val="OCT__2016-TB17"/>
      <sheetName val="note_workings17"/>
      <sheetName val="PBT_Analysis17"/>
      <sheetName val="Nov2014_MPR17"/>
      <sheetName val="NOV2014_Note17"/>
      <sheetName val="YTD_201417"/>
      <sheetName val="OCT_2014_FS17"/>
      <sheetName val="2014_prod17"/>
      <sheetName val="2015_Bud_Ass17"/>
      <sheetName val="2015_Bud217"/>
      <sheetName val="conversion_cost_sum17"/>
      <sheetName val="conversion_cost217"/>
      <sheetName val="August_201517"/>
      <sheetName val="Feb'18_TB17"/>
      <sheetName val="TRIAL_BALANCE__2019_YTD17"/>
      <sheetName val="August_2019_TB17"/>
      <sheetName val="conversion_cost_YTD_201917"/>
      <sheetName val="Conversion_cost_August_201917"/>
      <sheetName val="50KG_INCENTIVES17"/>
      <sheetName val="Retail_Incentives_17"/>
      <sheetName val="Omitted_3rd_quater17"/>
      <sheetName val="CC_-_JUNE_2018_Month17"/>
      <sheetName val="Report_Header_Dates17"/>
      <sheetName val="DIRECT_LABOUR17"/>
      <sheetName val="DIRECT_OVERHEAD17"/>
      <sheetName val="S_AND_D17"/>
      <sheetName val="ADMIN_(2)17"/>
      <sheetName val="Non-oper__cost17"/>
      <sheetName val="President_DB_-_Cost_per_T_17"/>
      <sheetName val="Conversion_cost_MaY_201917"/>
      <sheetName val="President_DB-_Rev_&amp;_Prod17"/>
      <sheetName val="Profit_&amp;_Loss10"/>
      <sheetName val="Balance_Sheet10"/>
      <sheetName val="Opex_-_GPAL10"/>
      <sheetName val="P&amp;L-_GPAL10"/>
      <sheetName val="Input-_General_Assumptions10"/>
      <sheetName val="Project_Cost10"/>
      <sheetName val="Balance_Sheet-GPAL10"/>
      <sheetName val="Summary_216"/>
      <sheetName val="Bank_Bsheet10"/>
      <sheetName val="Journal_entries9"/>
      <sheetName val="BTM_Up_Monthly9"/>
      <sheetName val="TREND_PAL9"/>
      <sheetName val="Jan_2000_-_Scr19"/>
      <sheetName val="MultiChoice_20029"/>
      <sheetName val="IT Capex "/>
      <sheetName val="январь"/>
      <sheetName val="COMPS"/>
      <sheetName val="Tr"/>
      <sheetName val="CAPEX"/>
      <sheetName val="Inputs"/>
      <sheetName val="24_кред"/>
      <sheetName val="Market"/>
      <sheetName val="Справ"/>
      <sheetName val="UPR"/>
      <sheetName val="RPP"/>
      <sheetName val="In"/>
      <sheetName val="Prices"/>
      <sheetName val="Title"/>
      <sheetName val="Source_data31"/>
      <sheetName val="conversion_cost_YTD_2018_(2)18"/>
      <sheetName val="CC_-_Dec__2017_YTD18"/>
      <sheetName val="DSR_K18"/>
      <sheetName val="MAJOR_ACTIVITIES18"/>
      <sheetName val="Q3_P_&amp;_L18"/>
      <sheetName val="Profit_Recon18"/>
      <sheetName val="SAP_SFP18"/>
      <sheetName val="TB_Asset18"/>
      <sheetName val="KEY_RATIO18"/>
      <sheetName val="cost_per_unit18"/>
      <sheetName val="Direct_Expenses18"/>
      <sheetName val="CONSO_K18"/>
      <sheetName val="P&amp;_L__Analysis18"/>
      <sheetName val="TPT_Inc18"/>
      <sheetName val="Direct_over_head18"/>
      <sheetName val="INCOME_TB18"/>
      <sheetName val="2017_bud18"/>
      <sheetName val="SSC_K18"/>
      <sheetName val="Profit_Rec_Worksheet18"/>
      <sheetName val="Sales_Analysis18"/>
      <sheetName val="OCT__2016-TB18"/>
      <sheetName val="note_workings18"/>
      <sheetName val="PBT_Analysis18"/>
      <sheetName val="Nov2014_MPR18"/>
      <sheetName val="NOV2014_Note18"/>
      <sheetName val="YTD_201418"/>
      <sheetName val="OCT_2014_FS18"/>
      <sheetName val="2014_prod18"/>
      <sheetName val="2015_Bud_Ass18"/>
      <sheetName val="2015_Bud218"/>
      <sheetName val="conversion_cost_sum18"/>
      <sheetName val="conversion_cost218"/>
      <sheetName val="August_201518"/>
      <sheetName val="Feb'18_TB18"/>
      <sheetName val="TRIAL_BALANCE__2019_YTD18"/>
      <sheetName val="August_2019_TB18"/>
      <sheetName val="conversion_cost_YTD_201918"/>
      <sheetName val="Conversion_cost_August_201918"/>
      <sheetName val="50KG_INCENTIVES18"/>
      <sheetName val="Retail_Incentives_18"/>
      <sheetName val="Omitted_3rd_quater18"/>
      <sheetName val="CC_-_JUNE_2018_Month18"/>
      <sheetName val="Report_Header_Dates18"/>
      <sheetName val="DIRECT_LABOUR18"/>
      <sheetName val="DIRECT_OVERHEAD18"/>
      <sheetName val="S_AND_D18"/>
      <sheetName val="ADMIN_(2)18"/>
      <sheetName val="Non-oper__cost18"/>
      <sheetName val="President_DB_-_Cost_per_T_18"/>
      <sheetName val="Conversion_cost_MaY_201918"/>
      <sheetName val="President_DB-_Rev_&amp;_Prod18"/>
      <sheetName val="Profit_&amp;_Loss11"/>
      <sheetName val="Balance_Sheet11"/>
      <sheetName val="Opex_-_GPAL11"/>
      <sheetName val="P&amp;L-_GPAL11"/>
      <sheetName val="Input-_General_Assumptions11"/>
      <sheetName val="Project_Cost11"/>
      <sheetName val="Balance_Sheet-GPAL11"/>
      <sheetName val="Summary_217"/>
      <sheetName val="Bank_Bsheet11"/>
      <sheetName val="Journal_entries10"/>
      <sheetName val="BTM_Up_Monthly10"/>
      <sheetName val="TREND_PAL10"/>
      <sheetName val="Jan_2000_-_Scr110"/>
      <sheetName val="MultiChoice_200210"/>
      <sheetName val="Analysis"/>
      <sheetName val="Gratuity_DBase"/>
      <sheetName val="TILES_CONSUMABLES"/>
      <sheetName val="TILES_CONSUMABLES_(2)"/>
      <sheetName val="TILES_FACTORY"/>
      <sheetName val="TILES_FACTORY_(2)"/>
      <sheetName val="TILES_FACTORY_(3)"/>
      <sheetName val="TILES_FACTORY_(4)"/>
      <sheetName val="General_Production_Materials"/>
      <sheetName val="SANITARY_WARES_FACTORY_April"/>
      <sheetName val="SANITARY_CONSUMABLES_Feb"/>
      <sheetName val="SANITARY_CONSUMABLES_January"/>
      <sheetName val="SANITARY_WARE_FACTORY_June)"/>
      <sheetName val="SANITARY_WARES_FACTORY_March"/>
      <sheetName val="SANITARY_WARE_FACTORY_May"/>
      <sheetName val="SANITARYWARE_FACTORY_FEB"/>
      <sheetName val="SANITARYWARE_FACTORY_JUNE"/>
      <sheetName val="SANITARYWARE_FACTORY_APRIL"/>
      <sheetName val="SANITARYWARE_FACTORY_JAN_"/>
      <sheetName val="SANITARYWARE_FACTORY_JULY"/>
      <sheetName val="SANITARYWARE_FACTORY_MARCH"/>
      <sheetName val="SANITARYWARE_FACTORY_MAY"/>
      <sheetName val="TILES_FACTORY_RM_APRIL"/>
      <sheetName val="TILES_FACTORY_RM_FEB"/>
      <sheetName val="TILES__FACTORY_RM_Jan,2018"/>
      <sheetName val="TILES_FACTORY_RM_JULY_"/>
      <sheetName val="TILES_FACTORY_RM_JUNE"/>
      <sheetName val="TILES_FACTORY_RM_MARCH"/>
      <sheetName val="TILES_FACTORY_RM_MAY"/>
      <sheetName val="Category_Brands"/>
      <sheetName val="OU_Selection"/>
      <sheetName val="Exchange_rates"/>
      <sheetName val="Budget_SC_Capex_CCY"/>
      <sheetName val="PF2_SC_Capex_CCY"/>
      <sheetName val="Front_Sheet"/>
      <sheetName val="Exchange_Rate"/>
      <sheetName val="OC%_Dupont_Bud"/>
      <sheetName val="Export_Bud-_not_Mesa"/>
      <sheetName val="Factory_Perf_Bud"/>
      <sheetName val="Dbase_-_Spv"/>
      <sheetName val="Gratuity_DBase1"/>
      <sheetName val="TILES_CONSUMABLES1"/>
      <sheetName val="TILES_CONSUMABLES_(2)1"/>
      <sheetName val="TILES_FACTORY1"/>
      <sheetName val="TILES_FACTORY_(2)1"/>
      <sheetName val="TILES_FACTORY_(3)1"/>
      <sheetName val="TILES_FACTORY_(4)1"/>
      <sheetName val="General_Production_Materials1"/>
      <sheetName val="SANITARY_WARES_FACTORY_April1"/>
      <sheetName val="SANITARY_CONSUMABLES_Feb1"/>
      <sheetName val="SANITARY_CONSUMABLES_January1"/>
      <sheetName val="SANITARY_WARE_FACTORY_June)1"/>
      <sheetName val="SANITARY_WARES_FACTORY_March1"/>
      <sheetName val="SANITARY_WARE_FACTORY_May1"/>
      <sheetName val="SANITARYWARE_FACTORY_FEB1"/>
      <sheetName val="SANITARYWARE_FACTORY_JUNE1"/>
      <sheetName val="SANITARYWARE_FACTORY_APRIL1"/>
      <sheetName val="SANITARYWARE_FACTORY_JAN_1"/>
      <sheetName val="SANITARYWARE_FACTORY_JULY1"/>
      <sheetName val="SANITARYWARE_FACTORY_MARCH1"/>
      <sheetName val="SANITARYWARE_FACTORY_MAY1"/>
      <sheetName val="TILES_FACTORY_RM_APRIL1"/>
      <sheetName val="TILES_FACTORY_RM_FEB1"/>
      <sheetName val="TILES__FACTORY_RM_Jan,20181"/>
      <sheetName val="TILES_FACTORY_RM_JULY_1"/>
      <sheetName val="TILES_FACTORY_RM_JUNE1"/>
      <sheetName val="TILES_FACTORY_RM_MARCH1"/>
      <sheetName val="TILES_FACTORY_RM_MAY1"/>
      <sheetName val="Category_Brands1"/>
      <sheetName val="OU_Selection1"/>
      <sheetName val="Exchange_rates1"/>
      <sheetName val="Budget_SC_Capex_CCY1"/>
      <sheetName val="PF2_SC_Capex_CCY1"/>
      <sheetName val="Front_Sheet1"/>
      <sheetName val="Exchange_Rate1"/>
      <sheetName val="OC%_Dupont_Bud1"/>
      <sheetName val="Export_Bud-_not_Mesa1"/>
      <sheetName val="Factory_Perf_Bud1"/>
      <sheetName val="Dbase_-_Spv1"/>
      <sheetName val="Deals"/>
      <sheetName val="line items"/>
      <sheetName val="Sheet5"/>
      <sheetName val="Specpay"/>
      <sheetName val="Headcount Analysis with Cost"/>
      <sheetName val="Gratuity Flash "/>
      <sheetName val="IT_Capex_"/>
      <sheetName val="Source_data32"/>
      <sheetName val="conversion_cost_YTD_2018_(2)19"/>
      <sheetName val="CC_-_Dec__2017_YTD19"/>
      <sheetName val="DSR_K19"/>
      <sheetName val="MAJOR_ACTIVITIES19"/>
      <sheetName val="Q3_P_&amp;_L19"/>
      <sheetName val="Profit_Recon19"/>
      <sheetName val="SAP_SFP19"/>
      <sheetName val="TB_Asset19"/>
      <sheetName val="KEY_RATIO19"/>
      <sheetName val="cost_per_unit19"/>
      <sheetName val="Direct_Expenses19"/>
      <sheetName val="CONSO_K19"/>
      <sheetName val="P&amp;_L__Analysis19"/>
      <sheetName val="TPT_Inc19"/>
      <sheetName val="Direct_over_head19"/>
      <sheetName val="INCOME_TB19"/>
      <sheetName val="2017_bud19"/>
      <sheetName val="SSC_K19"/>
      <sheetName val="Profit_Rec_Worksheet19"/>
      <sheetName val="Sales_Analysis19"/>
      <sheetName val="OCT__2016-TB19"/>
      <sheetName val="note_workings19"/>
      <sheetName val="PBT_Analysis19"/>
      <sheetName val="Nov2014_MPR19"/>
      <sheetName val="NOV2014_Note19"/>
      <sheetName val="YTD_201419"/>
      <sheetName val="OCT_2014_FS19"/>
      <sheetName val="2014_prod19"/>
      <sheetName val="2015_Bud_Ass19"/>
      <sheetName val="2015_Bud219"/>
      <sheetName val="conversion_cost_sum19"/>
      <sheetName val="conversion_cost219"/>
      <sheetName val="August_201519"/>
      <sheetName val="Feb'18_TB19"/>
      <sheetName val="TRIAL_BALANCE__2019_YTD19"/>
      <sheetName val="August_2019_TB19"/>
      <sheetName val="conversion_cost_YTD_201919"/>
      <sheetName val="Conversion_cost_August_201919"/>
      <sheetName val="50KG_INCENTIVES19"/>
      <sheetName val="Retail_Incentives_19"/>
      <sheetName val="Omitted_3rd_quater19"/>
      <sheetName val="CC_-_JUNE_2018_Month19"/>
      <sheetName val="Report_Header_Dates19"/>
      <sheetName val="DIRECT_LABOUR19"/>
      <sheetName val="DIRECT_OVERHEAD19"/>
      <sheetName val="S_AND_D19"/>
      <sheetName val="ADMIN_(2)19"/>
      <sheetName val="Non-oper__cost19"/>
      <sheetName val="President_DB_-_Cost_per_T_19"/>
      <sheetName val="Conversion_cost_MaY_201919"/>
      <sheetName val="President_DB-_Rev_&amp;_Prod19"/>
      <sheetName val="Summary_218"/>
      <sheetName val="Profit_&amp;_Loss12"/>
      <sheetName val="Balance_Sheet12"/>
      <sheetName val="Opex_-_GPAL12"/>
      <sheetName val="P&amp;L-_GPAL12"/>
      <sheetName val="Input-_General_Assumptions12"/>
      <sheetName val="Project_Cost12"/>
      <sheetName val="Balance_Sheet-GPAL12"/>
      <sheetName val="Bank_Bsheet12"/>
      <sheetName val="Journal_entries11"/>
      <sheetName val="BTM_Up_Monthly11"/>
      <sheetName val="TREND_PAL11"/>
      <sheetName val="Jan_2000_-_Scr111"/>
      <sheetName val="MultiChoice_200211"/>
      <sheetName val="Lead_(2)"/>
      <sheetName val="Med-Compjune_08"/>
      <sheetName val="PLBS"/>
      <sheetName val="PAC"/>
      <sheetName val="TREND P+L"/>
      <sheetName val="Adm97"/>
      <sheetName val="Questions"/>
      <sheetName val="TILES_CONSUMABLES2"/>
      <sheetName val="TILES_CONSUMABLES_(2)2"/>
      <sheetName val="TILES_FACTORY2"/>
      <sheetName val="TILES_FACTORY_(2)2"/>
      <sheetName val="TILES_FACTORY_(3)2"/>
      <sheetName val="TILES_FACTORY_(4)2"/>
      <sheetName val="General_Production_Materials2"/>
      <sheetName val="SANITARY_WARES_FACTORY_April2"/>
      <sheetName val="SANITARY_CONSUMABLES_Feb2"/>
      <sheetName val="SANITARY_CONSUMABLES_January2"/>
      <sheetName val="SANITARY_WARE_FACTORY_June)2"/>
      <sheetName val="SANITARY_WARES_FACTORY_March2"/>
      <sheetName val="SANITARY_WARE_FACTORY_May2"/>
      <sheetName val="SANITARYWARE_FACTORY_FEB2"/>
      <sheetName val="SANITARYWARE_FACTORY_JUNE2"/>
      <sheetName val="SANITARYWARE_FACTORY_APRIL2"/>
      <sheetName val="SANITARYWARE_FACTORY_JAN_2"/>
      <sheetName val="SANITARYWARE_FACTORY_JULY2"/>
      <sheetName val="SANITARYWARE_FACTORY_MARCH2"/>
      <sheetName val="SANITARYWARE_FACTORY_MAY2"/>
      <sheetName val="TILES_FACTORY_RM_APRIL2"/>
      <sheetName val="TILES_FACTORY_RM_FEB2"/>
      <sheetName val="TILES__FACTORY_RM_Jan,20182"/>
      <sheetName val="TILES_FACTORY_RM_JULY_2"/>
      <sheetName val="TILES_FACTORY_RM_JUNE2"/>
      <sheetName val="TILES_FACTORY_RM_MARCH2"/>
      <sheetName val="TILES_FACTORY_RM_MAY2"/>
      <sheetName val="Category_Brands2"/>
      <sheetName val="OU_Selection2"/>
      <sheetName val="Exchange_rates2"/>
      <sheetName val="Budget_SC_Capex_CCY2"/>
      <sheetName val="PF2_SC_Capex_CCY2"/>
      <sheetName val="Front_Sheet2"/>
      <sheetName val="Exchange_Rate2"/>
      <sheetName val="OC%_Dupont_Bud2"/>
      <sheetName val="Export_Bud-_not_Mesa2"/>
      <sheetName val="Factory_Perf_Bud2"/>
      <sheetName val="Gratuity_DBase2"/>
      <sheetName val="Dbase_-_Spv2"/>
      <sheetName val="TILES_CONSUMABLES3"/>
      <sheetName val="TILES_CONSUMABLES_(2)3"/>
      <sheetName val="TILES_FACTORY3"/>
      <sheetName val="TILES_FACTORY_(2)3"/>
      <sheetName val="TILES_FACTORY_(3)3"/>
      <sheetName val="TILES_FACTORY_(4)3"/>
      <sheetName val="General_Production_Materials3"/>
      <sheetName val="SANITARY_WARES_FACTORY_April3"/>
      <sheetName val="SANITARY_CONSUMABLES_Feb3"/>
      <sheetName val="SANITARY_CONSUMABLES_January3"/>
      <sheetName val="SANITARY_WARE_FACTORY_June)3"/>
      <sheetName val="SANITARY_WARES_FACTORY_March3"/>
      <sheetName val="SANITARY_WARE_FACTORY_May3"/>
      <sheetName val="SANITARYWARE_FACTORY_FEB3"/>
      <sheetName val="SANITARYWARE_FACTORY_JUNE3"/>
      <sheetName val="SANITARYWARE_FACTORY_APRIL3"/>
      <sheetName val="SANITARYWARE_FACTORY_JAN_3"/>
      <sheetName val="SANITARYWARE_FACTORY_JULY3"/>
      <sheetName val="SANITARYWARE_FACTORY_MARCH3"/>
      <sheetName val="SANITARYWARE_FACTORY_MAY3"/>
      <sheetName val="TILES_FACTORY_RM_APRIL3"/>
      <sheetName val="TILES_FACTORY_RM_FEB3"/>
      <sheetName val="TILES__FACTORY_RM_Jan,20183"/>
      <sheetName val="TILES_FACTORY_RM_JULY_3"/>
      <sheetName val="TILES_FACTORY_RM_JUNE3"/>
      <sheetName val="TILES_FACTORY_RM_MARCH3"/>
      <sheetName val="TILES_FACTORY_RM_MAY3"/>
      <sheetName val="Category_Brands3"/>
      <sheetName val="OU_Selection3"/>
      <sheetName val="Exchange_rates3"/>
      <sheetName val="Budget_SC_Capex_CCY3"/>
      <sheetName val="PF2_SC_Capex_CCY3"/>
      <sheetName val="Front_Sheet3"/>
      <sheetName val="Exchange_Rate3"/>
      <sheetName val="OC%_Dupont_Bud3"/>
      <sheetName val="Export_Bud-_not_Mesa3"/>
      <sheetName val="Factory_Perf_Bud3"/>
      <sheetName val="Gratuity_DBase3"/>
      <sheetName val="Dbase_-_Spv3"/>
      <sheetName val="TILES_CONSUMABLES4"/>
      <sheetName val="TILES_CONSUMABLES_(2)4"/>
      <sheetName val="TILES_FACTORY4"/>
      <sheetName val="TILES_FACTORY_(2)4"/>
      <sheetName val="TILES_FACTORY_(3)4"/>
      <sheetName val="TILES_FACTORY_(4)4"/>
      <sheetName val="General_Production_Materials4"/>
      <sheetName val="SANITARY_WARES_FACTORY_April4"/>
      <sheetName val="SANITARY_CONSUMABLES_Feb4"/>
      <sheetName val="SANITARY_CONSUMABLES_January4"/>
      <sheetName val="SANITARY_WARE_FACTORY_June)4"/>
      <sheetName val="SANITARY_WARES_FACTORY_March4"/>
      <sheetName val="SANITARY_WARE_FACTORY_May4"/>
      <sheetName val="SANITARYWARE_FACTORY_FEB4"/>
      <sheetName val="SANITARYWARE_FACTORY_JUNE4"/>
      <sheetName val="SANITARYWARE_FACTORY_APRIL4"/>
      <sheetName val="SANITARYWARE_FACTORY_JAN_4"/>
      <sheetName val="SANITARYWARE_FACTORY_JULY4"/>
      <sheetName val="SANITARYWARE_FACTORY_MARCH4"/>
      <sheetName val="SANITARYWARE_FACTORY_MAY4"/>
      <sheetName val="TILES_FACTORY_RM_APRIL4"/>
      <sheetName val="TILES_FACTORY_RM_FEB4"/>
      <sheetName val="TILES__FACTORY_RM_Jan,20184"/>
      <sheetName val="TILES_FACTORY_RM_JULY_4"/>
      <sheetName val="TILES_FACTORY_RM_JUNE4"/>
      <sheetName val="TILES_FACTORY_RM_MARCH4"/>
      <sheetName val="TILES_FACTORY_RM_MAY4"/>
      <sheetName val="Category_Brands4"/>
      <sheetName val="OU_Selection4"/>
      <sheetName val="Exchange_rates4"/>
      <sheetName val="Budget_SC_Capex_CCY4"/>
      <sheetName val="PF2_SC_Capex_CCY4"/>
      <sheetName val="Front_Sheet4"/>
      <sheetName val="Exchange_Rate4"/>
      <sheetName val="OC%_Dupont_Bud4"/>
      <sheetName val="Export_Bud-_not_Mesa4"/>
      <sheetName val="Factory_Perf_Bud4"/>
      <sheetName val="Gratuity_DBase4"/>
      <sheetName val="Dbase_-_Spv4"/>
      <sheetName val="Koszty"/>
      <sheetName val="TB2"/>
      <sheetName val="Moratorium- (EIR)"/>
      <sheetName val="Annual p &amp; monthly int-EIR"/>
      <sheetName val="Multiple disbursement -EIR"/>
      <sheetName val="Equal monthly prin and int (EIR"/>
      <sheetName val="All Securities"/>
      <sheetName val="Assumptions"/>
      <sheetName val="GLOBAL OUTSTANDING T.BILLS "/>
      <sheetName val="Market Data Input"/>
      <sheetName val="DETAILED BALSHT VOL PROJ"/>
      <sheetName val="loans review template"/>
      <sheetName val="2. Euro Placements"/>
      <sheetName val="Per Plant"/>
      <sheetName val="INVEST_BANK_GROUP"/>
      <sheetName val="EXTENDED0111L"/>
      <sheetName val="T9b"/>
      <sheetName val="IT BU"/>
      <sheetName val="IT PC09"/>
      <sheetName val="T1"/>
      <sheetName val="T10b"/>
      <sheetName val="T12"/>
      <sheetName val="T18"/>
      <sheetName val="T22"/>
      <sheetName val="T25"/>
      <sheetName val="T26"/>
      <sheetName val="Links"/>
      <sheetName val="Lists"/>
      <sheetName val="Value Added"/>
      <sheetName val="Source_data33"/>
      <sheetName val="conversion_cost_YTD_2018_(2)20"/>
      <sheetName val="CC_-_Dec__2017_YTD20"/>
      <sheetName val="DSR_K20"/>
      <sheetName val="MAJOR_ACTIVITIES20"/>
      <sheetName val="Q3_P_&amp;_L20"/>
      <sheetName val="Profit_Recon20"/>
      <sheetName val="SAP_SFP20"/>
      <sheetName val="TB_Asset20"/>
      <sheetName val="KEY_RATIO20"/>
      <sheetName val="cost_per_unit20"/>
      <sheetName val="Direct_Expenses20"/>
      <sheetName val="CONSO_K20"/>
      <sheetName val="P&amp;_L__Analysis20"/>
      <sheetName val="TPT_Inc20"/>
      <sheetName val="Direct_over_head20"/>
      <sheetName val="INCOME_TB20"/>
      <sheetName val="2017_bud20"/>
      <sheetName val="SSC_K20"/>
      <sheetName val="Profit_Rec_Worksheet20"/>
      <sheetName val="Sales_Analysis20"/>
      <sheetName val="OCT__2016-TB20"/>
      <sheetName val="note_workings20"/>
      <sheetName val="PBT_Analysis20"/>
      <sheetName val="Nov2014_MPR20"/>
      <sheetName val="NOV2014_Note20"/>
      <sheetName val="YTD_201420"/>
      <sheetName val="OCT_2014_FS20"/>
      <sheetName val="2014_prod20"/>
      <sheetName val="2015_Bud_Ass20"/>
      <sheetName val="2015_Bud220"/>
      <sheetName val="conversion_cost_sum20"/>
      <sheetName val="conversion_cost220"/>
      <sheetName val="August_201520"/>
      <sheetName val="Feb'18_TB20"/>
      <sheetName val="TRIAL_BALANCE__2019_YTD20"/>
      <sheetName val="August_2019_TB20"/>
      <sheetName val="conversion_cost_YTD_201920"/>
      <sheetName val="Conversion_cost_August_201920"/>
      <sheetName val="50KG_INCENTIVES20"/>
      <sheetName val="Retail_Incentives_20"/>
      <sheetName val="Omitted_3rd_quater20"/>
      <sheetName val="CC_-_JUNE_2018_Month20"/>
      <sheetName val="Report_Header_Dates20"/>
      <sheetName val="DIRECT_LABOUR20"/>
      <sheetName val="DIRECT_OVERHEAD20"/>
      <sheetName val="S_AND_D20"/>
      <sheetName val="ADMIN_(2)20"/>
      <sheetName val="Non-oper__cost20"/>
      <sheetName val="President_DB_-_Cost_per_T_20"/>
      <sheetName val="Conversion_cost_MaY_201920"/>
      <sheetName val="President_DB-_Rev_&amp;_Prod20"/>
      <sheetName val="Summary_219"/>
      <sheetName val="Bank_Bsheet13"/>
      <sheetName val="Profit_&amp;_Loss13"/>
      <sheetName val="Balance_Sheet13"/>
      <sheetName val="Opex_-_GPAL13"/>
      <sheetName val="P&amp;L-_GPAL13"/>
      <sheetName val="Input-_General_Assumptions13"/>
      <sheetName val="Project_Cost13"/>
      <sheetName val="Balance_Sheet-GPAL13"/>
      <sheetName val="BTM_Up_Monthly12"/>
      <sheetName val="TREND_PAL12"/>
      <sheetName val="Journal_entries12"/>
      <sheetName val="Jan_2000_-_Scr112"/>
      <sheetName val="MultiChoice_200212"/>
      <sheetName val="IT_Capex_2"/>
      <sheetName val="Lead_(2)2"/>
      <sheetName val="Med-Compjune_082"/>
      <sheetName val="IT_Capex_1"/>
      <sheetName val="Lead_(2)1"/>
      <sheetName val="Med-Compjune_081"/>
      <sheetName val="Source_data34"/>
      <sheetName val="conversion_cost_YTD_2018_(2)21"/>
      <sheetName val="CC_-_Dec__2017_YTD21"/>
      <sheetName val="DSR_K21"/>
      <sheetName val="MAJOR_ACTIVITIES21"/>
      <sheetName val="Q3_P_&amp;_L21"/>
      <sheetName val="Profit_Recon21"/>
      <sheetName val="SAP_SFP21"/>
      <sheetName val="TB_Asset21"/>
      <sheetName val="KEY_RATIO21"/>
      <sheetName val="cost_per_unit21"/>
      <sheetName val="Direct_Expenses21"/>
      <sheetName val="CONSO_K21"/>
      <sheetName val="P&amp;_L__Analysis21"/>
      <sheetName val="TPT_Inc21"/>
      <sheetName val="Direct_over_head21"/>
      <sheetName val="INCOME_TB21"/>
      <sheetName val="2017_bud21"/>
      <sheetName val="SSC_K21"/>
      <sheetName val="Profit_Rec_Worksheet21"/>
      <sheetName val="Sales_Analysis21"/>
      <sheetName val="OCT__2016-TB21"/>
      <sheetName val="note_workings21"/>
      <sheetName val="PBT_Analysis21"/>
      <sheetName val="Nov2014_MPR21"/>
      <sheetName val="NOV2014_Note21"/>
      <sheetName val="YTD_201421"/>
      <sheetName val="OCT_2014_FS21"/>
      <sheetName val="2014_prod21"/>
      <sheetName val="2015_Bud_Ass21"/>
      <sheetName val="2015_Bud221"/>
      <sheetName val="conversion_cost_sum21"/>
      <sheetName val="conversion_cost221"/>
      <sheetName val="August_201521"/>
      <sheetName val="Feb'18_TB21"/>
      <sheetName val="TRIAL_BALANCE__2019_YTD21"/>
      <sheetName val="August_2019_TB21"/>
      <sheetName val="conversion_cost_YTD_201921"/>
      <sheetName val="Conversion_cost_August_201921"/>
      <sheetName val="50KG_INCENTIVES21"/>
      <sheetName val="Retail_Incentives_21"/>
      <sheetName val="Omitted_3rd_quater21"/>
      <sheetName val="CC_-_JUNE_2018_Month21"/>
      <sheetName val="Report_Header_Dates21"/>
      <sheetName val="DIRECT_LABOUR21"/>
      <sheetName val="DIRECT_OVERHEAD21"/>
      <sheetName val="S_AND_D21"/>
      <sheetName val="ADMIN_(2)21"/>
      <sheetName val="Non-oper__cost21"/>
      <sheetName val="President_DB_-_Cost_per_T_21"/>
      <sheetName val="Conversion_cost_MaY_201921"/>
      <sheetName val="President_DB-_Rev_&amp;_Prod21"/>
      <sheetName val="Summary_220"/>
      <sheetName val="Bank_Bsheet14"/>
      <sheetName val="Profit_&amp;_Loss14"/>
      <sheetName val="Balance_Sheet14"/>
      <sheetName val="Opex_-_GPAL14"/>
      <sheetName val="P&amp;L-_GPAL14"/>
      <sheetName val="Input-_General_Assumptions14"/>
      <sheetName val="Project_Cost14"/>
      <sheetName val="Balance_Sheet-GPAL14"/>
      <sheetName val="BTM_Up_Monthly13"/>
      <sheetName val="TREND_PAL13"/>
      <sheetName val="Journal_entries13"/>
      <sheetName val="Jan_2000_-_Scr113"/>
      <sheetName val="MultiChoice_200213"/>
      <sheetName val="TILES_CONSUMABLES5"/>
      <sheetName val="TILES_CONSUMABLES_(2)5"/>
      <sheetName val="TILES_FACTORY5"/>
      <sheetName val="TILES_FACTORY_(2)5"/>
      <sheetName val="TILES_FACTORY_(3)5"/>
      <sheetName val="TILES_FACTORY_(4)5"/>
      <sheetName val="General_Production_Materials5"/>
      <sheetName val="SANITARY_WARES_FACTORY_April5"/>
      <sheetName val="SANITARY_CONSUMABLES_Feb5"/>
      <sheetName val="SANITARY_CONSUMABLES_January5"/>
      <sheetName val="SANITARY_WARE_FACTORY_June)5"/>
      <sheetName val="SANITARY_WARES_FACTORY_March5"/>
      <sheetName val="SANITARY_WARE_FACTORY_May5"/>
      <sheetName val="SANITARYWARE_FACTORY_FEB5"/>
      <sheetName val="SANITARYWARE_FACTORY_JUNE5"/>
      <sheetName val="SANITARYWARE_FACTORY_APRIL5"/>
      <sheetName val="SANITARYWARE_FACTORY_JAN_5"/>
      <sheetName val="SANITARYWARE_FACTORY_JULY5"/>
      <sheetName val="SANITARYWARE_FACTORY_MARCH5"/>
      <sheetName val="SANITARYWARE_FACTORY_MAY5"/>
      <sheetName val="TILES_FACTORY_RM_APRIL5"/>
      <sheetName val="TILES_FACTORY_RM_FEB5"/>
      <sheetName val="TILES__FACTORY_RM_Jan,20185"/>
      <sheetName val="TILES_FACTORY_RM_JULY_5"/>
      <sheetName val="TILES_FACTORY_RM_JUNE5"/>
      <sheetName val="TILES_FACTORY_RM_MARCH5"/>
      <sheetName val="TILES_FACTORY_RM_MAY5"/>
      <sheetName val="Category_Brands5"/>
      <sheetName val="OU_Selection5"/>
      <sheetName val="Exchange_rates5"/>
      <sheetName val="Budget_SC_Capex_CCY5"/>
      <sheetName val="PF2_SC_Capex_CCY5"/>
      <sheetName val="Front_Sheet5"/>
      <sheetName val="Exchange_Rate5"/>
      <sheetName val="OC%_Dupont_Bud5"/>
      <sheetName val="Export_Bud-_not_Mesa5"/>
      <sheetName val="Factory_Perf_Bud5"/>
      <sheetName val="Gratuity_DBase5"/>
      <sheetName val="Dbase_-_Spv5"/>
      <sheetName val="IT_Capex_3"/>
      <sheetName val="Lead_(2)3"/>
      <sheetName val="Med-Compjune_083"/>
      <sheetName val="Source_data35"/>
      <sheetName val="conversion_cost_YTD_2018_(2)22"/>
      <sheetName val="CC_-_Dec__2017_YTD22"/>
      <sheetName val="DSR_K22"/>
      <sheetName val="MAJOR_ACTIVITIES22"/>
      <sheetName val="Q3_P_&amp;_L22"/>
      <sheetName val="Profit_Recon22"/>
      <sheetName val="SAP_SFP22"/>
      <sheetName val="TB_Asset22"/>
      <sheetName val="KEY_RATIO22"/>
      <sheetName val="cost_per_unit22"/>
      <sheetName val="Direct_Expenses22"/>
      <sheetName val="CONSO_K22"/>
      <sheetName val="P&amp;_L__Analysis22"/>
      <sheetName val="TPT_Inc22"/>
      <sheetName val="Direct_over_head22"/>
      <sheetName val="INCOME_TB22"/>
      <sheetName val="2017_bud22"/>
      <sheetName val="SSC_K22"/>
      <sheetName val="Profit_Rec_Worksheet22"/>
      <sheetName val="Sales_Analysis22"/>
      <sheetName val="OCT__2016-TB22"/>
      <sheetName val="note_workings22"/>
      <sheetName val="PBT_Analysis22"/>
      <sheetName val="Nov2014_MPR22"/>
      <sheetName val="NOV2014_Note22"/>
      <sheetName val="YTD_201422"/>
      <sheetName val="OCT_2014_FS22"/>
      <sheetName val="2014_prod22"/>
      <sheetName val="2015_Bud_Ass22"/>
      <sheetName val="2015_Bud222"/>
      <sheetName val="conversion_cost_sum22"/>
      <sheetName val="conversion_cost222"/>
      <sheetName val="August_201522"/>
      <sheetName val="Feb'18_TB22"/>
      <sheetName val="TRIAL_BALANCE__2019_YTD22"/>
      <sheetName val="August_2019_TB22"/>
      <sheetName val="conversion_cost_YTD_201922"/>
      <sheetName val="Conversion_cost_August_201922"/>
      <sheetName val="50KG_INCENTIVES22"/>
      <sheetName val="Retail_Incentives_22"/>
      <sheetName val="Omitted_3rd_quater22"/>
      <sheetName val="CC_-_JUNE_2018_Month22"/>
      <sheetName val="Report_Header_Dates22"/>
      <sheetName val="DIRECT_LABOUR22"/>
      <sheetName val="DIRECT_OVERHEAD22"/>
      <sheetName val="S_AND_D22"/>
      <sheetName val="ADMIN_(2)22"/>
      <sheetName val="Non-oper__cost22"/>
      <sheetName val="President_DB_-_Cost_per_T_22"/>
      <sheetName val="Conversion_cost_MaY_201922"/>
      <sheetName val="President_DB-_Rev_&amp;_Prod22"/>
      <sheetName val="Summary_221"/>
      <sheetName val="Bank_Bsheet15"/>
      <sheetName val="Profit_&amp;_Loss15"/>
      <sheetName val="Balance_Sheet15"/>
      <sheetName val="Opex_-_GPAL15"/>
      <sheetName val="P&amp;L-_GPAL15"/>
      <sheetName val="Input-_General_Assumptions15"/>
      <sheetName val="Project_Cost15"/>
      <sheetName val="Balance_Sheet-GPAL15"/>
      <sheetName val="BTM_Up_Monthly14"/>
      <sheetName val="TREND_PAL14"/>
      <sheetName val="Journal_entries14"/>
      <sheetName val="Jan_2000_-_Scr114"/>
      <sheetName val="MultiChoice_200214"/>
      <sheetName val="TILES_CONSUMABLES6"/>
      <sheetName val="TILES_CONSUMABLES_(2)6"/>
      <sheetName val="TILES_FACTORY6"/>
      <sheetName val="TILES_FACTORY_(2)6"/>
      <sheetName val="TILES_FACTORY_(3)6"/>
      <sheetName val="TILES_FACTORY_(4)6"/>
      <sheetName val="General_Production_Materials6"/>
      <sheetName val="SANITARY_WARES_FACTORY_April6"/>
      <sheetName val="SANITARY_CONSUMABLES_Feb6"/>
      <sheetName val="SANITARY_CONSUMABLES_January6"/>
      <sheetName val="SANITARY_WARE_FACTORY_June)6"/>
      <sheetName val="SANITARY_WARES_FACTORY_March6"/>
      <sheetName val="SANITARY_WARE_FACTORY_May6"/>
      <sheetName val="SANITARYWARE_FACTORY_FEB6"/>
      <sheetName val="SANITARYWARE_FACTORY_JUNE6"/>
      <sheetName val="SANITARYWARE_FACTORY_APRIL6"/>
      <sheetName val="SANITARYWARE_FACTORY_JAN_6"/>
      <sheetName val="SANITARYWARE_FACTORY_JULY6"/>
      <sheetName val="SANITARYWARE_FACTORY_MARCH6"/>
      <sheetName val="SANITARYWARE_FACTORY_MAY6"/>
      <sheetName val="TILES_FACTORY_RM_APRIL6"/>
      <sheetName val="TILES_FACTORY_RM_FEB6"/>
      <sheetName val="TILES__FACTORY_RM_Jan,20186"/>
      <sheetName val="TILES_FACTORY_RM_JULY_6"/>
      <sheetName val="TILES_FACTORY_RM_JUNE6"/>
      <sheetName val="TILES_FACTORY_RM_MARCH6"/>
      <sheetName val="TILES_FACTORY_RM_MAY6"/>
      <sheetName val="Category_Brands6"/>
      <sheetName val="OU_Selection6"/>
      <sheetName val="Exchange_rates6"/>
      <sheetName val="Budget_SC_Capex_CCY6"/>
      <sheetName val="PF2_SC_Capex_CCY6"/>
      <sheetName val="Front_Sheet6"/>
      <sheetName val="Exchange_Rate6"/>
      <sheetName val="OC%_Dupont_Bud6"/>
      <sheetName val="Export_Bud-_not_Mesa6"/>
      <sheetName val="Factory_Perf_Bud6"/>
      <sheetName val="Gratuity_DBase6"/>
      <sheetName val="Dbase_-_Spv6"/>
      <sheetName val="IT_Capex_4"/>
      <sheetName val="Lead_(2)4"/>
      <sheetName val="Med-Compjune_084"/>
      <sheetName val="Source_data36"/>
      <sheetName val="conversion_cost_YTD_2018_(2)23"/>
      <sheetName val="CC_-_Dec__2017_YTD23"/>
      <sheetName val="DSR_K23"/>
      <sheetName val="MAJOR_ACTIVITIES23"/>
      <sheetName val="Q3_P_&amp;_L23"/>
      <sheetName val="Profit_Recon23"/>
      <sheetName val="SAP_SFP23"/>
      <sheetName val="TB_Asset23"/>
      <sheetName val="KEY_RATIO23"/>
      <sheetName val="cost_per_unit23"/>
      <sheetName val="Direct_Expenses23"/>
      <sheetName val="CONSO_K23"/>
      <sheetName val="P&amp;_L__Analysis23"/>
      <sheetName val="TPT_Inc23"/>
      <sheetName val="Direct_over_head23"/>
      <sheetName val="INCOME_TB23"/>
      <sheetName val="2017_bud23"/>
      <sheetName val="SSC_K23"/>
      <sheetName val="Profit_Rec_Worksheet23"/>
      <sheetName val="Sales_Analysis23"/>
      <sheetName val="OCT__2016-TB23"/>
      <sheetName val="note_workings23"/>
      <sheetName val="PBT_Analysis23"/>
      <sheetName val="Nov2014_MPR23"/>
      <sheetName val="NOV2014_Note23"/>
      <sheetName val="YTD_201423"/>
      <sheetName val="OCT_2014_FS23"/>
      <sheetName val="2014_prod23"/>
      <sheetName val="2015_Bud_Ass23"/>
      <sheetName val="2015_Bud223"/>
      <sheetName val="conversion_cost_sum23"/>
      <sheetName val="conversion_cost223"/>
      <sheetName val="August_201523"/>
      <sheetName val="Feb'18_TB23"/>
      <sheetName val="TRIAL_BALANCE__2019_YTD23"/>
      <sheetName val="August_2019_TB23"/>
      <sheetName val="conversion_cost_YTD_201923"/>
      <sheetName val="Conversion_cost_August_201923"/>
      <sheetName val="50KG_INCENTIVES23"/>
      <sheetName val="Retail_Incentives_23"/>
      <sheetName val="Omitted_3rd_quater23"/>
      <sheetName val="CC_-_JUNE_2018_Month23"/>
      <sheetName val="Report_Header_Dates23"/>
      <sheetName val="DIRECT_LABOUR23"/>
      <sheetName val="DIRECT_OVERHEAD23"/>
      <sheetName val="S_AND_D23"/>
      <sheetName val="ADMIN_(2)23"/>
      <sheetName val="Non-oper__cost23"/>
      <sheetName val="President_DB_-_Cost_per_T_23"/>
      <sheetName val="Conversion_cost_MaY_201923"/>
      <sheetName val="President_DB-_Rev_&amp;_Prod23"/>
      <sheetName val="Summary_222"/>
      <sheetName val="Bank_Bsheet16"/>
      <sheetName val="Profit_&amp;_Loss16"/>
      <sheetName val="Balance_Sheet16"/>
      <sheetName val="Opex_-_GPAL16"/>
      <sheetName val="P&amp;L-_GPAL16"/>
      <sheetName val="Input-_General_Assumptions16"/>
      <sheetName val="Project_Cost16"/>
      <sheetName val="Balance_Sheet-GPAL16"/>
      <sheetName val="BTM_Up_Monthly15"/>
      <sheetName val="TREND_PAL15"/>
      <sheetName val="Journal_entries15"/>
      <sheetName val="Jan_2000_-_Scr115"/>
      <sheetName val="MultiChoice_200215"/>
      <sheetName val="TILES_CONSUMABLES7"/>
      <sheetName val="TILES_CONSUMABLES_(2)7"/>
      <sheetName val="TILES_FACTORY7"/>
      <sheetName val="TILES_FACTORY_(2)7"/>
      <sheetName val="TILES_FACTORY_(3)7"/>
      <sheetName val="TILES_FACTORY_(4)7"/>
      <sheetName val="General_Production_Materials7"/>
      <sheetName val="SANITARY_WARES_FACTORY_April7"/>
      <sheetName val="SANITARY_CONSUMABLES_Feb7"/>
      <sheetName val="SANITARY_CONSUMABLES_January7"/>
      <sheetName val="SANITARY_WARE_FACTORY_June)7"/>
      <sheetName val="SANITARY_WARES_FACTORY_March7"/>
      <sheetName val="SANITARY_WARE_FACTORY_May7"/>
      <sheetName val="SANITARYWARE_FACTORY_FEB7"/>
      <sheetName val="SANITARYWARE_FACTORY_JUNE7"/>
      <sheetName val="SANITARYWARE_FACTORY_APRIL7"/>
      <sheetName val="SANITARYWARE_FACTORY_JAN_7"/>
      <sheetName val="SANITARYWARE_FACTORY_JULY7"/>
      <sheetName val="SANITARYWARE_FACTORY_MARCH7"/>
      <sheetName val="SANITARYWARE_FACTORY_MAY7"/>
      <sheetName val="TILES_FACTORY_RM_APRIL7"/>
      <sheetName val="TILES_FACTORY_RM_FEB7"/>
      <sheetName val="TILES__FACTORY_RM_Jan,20187"/>
      <sheetName val="TILES_FACTORY_RM_JULY_7"/>
      <sheetName val="TILES_FACTORY_RM_JUNE7"/>
      <sheetName val="TILES_FACTORY_RM_MARCH7"/>
      <sheetName val="TILES_FACTORY_RM_MAY7"/>
      <sheetName val="Category_Brands7"/>
      <sheetName val="OU_Selection7"/>
      <sheetName val="Exchange_rates7"/>
      <sheetName val="Budget_SC_Capex_CCY7"/>
      <sheetName val="PF2_SC_Capex_CCY7"/>
      <sheetName val="Front_Sheet7"/>
      <sheetName val="Exchange_Rate7"/>
      <sheetName val="OC%_Dupont_Bud7"/>
      <sheetName val="Export_Bud-_not_Mesa7"/>
      <sheetName val="Factory_Perf_Bud7"/>
      <sheetName val="Gratuity_DBase7"/>
      <sheetName val="Dbase_-_Spv7"/>
      <sheetName val="IT_Capex_5"/>
      <sheetName val="Lead_(2)5"/>
      <sheetName val="Med-Compjune_085"/>
      <sheetName val="Source_data37"/>
      <sheetName val="conversion_cost_YTD_2018_(2)24"/>
      <sheetName val="CC_-_Dec__2017_YTD24"/>
      <sheetName val="DSR_K24"/>
      <sheetName val="MAJOR_ACTIVITIES24"/>
      <sheetName val="Q3_P_&amp;_L24"/>
      <sheetName val="Profit_Recon24"/>
      <sheetName val="SAP_SFP24"/>
      <sheetName val="TB_Asset24"/>
      <sheetName val="KEY_RATIO24"/>
      <sheetName val="cost_per_unit24"/>
      <sheetName val="Direct_Expenses24"/>
      <sheetName val="CONSO_K24"/>
      <sheetName val="P&amp;_L__Analysis24"/>
      <sheetName val="TPT_Inc24"/>
      <sheetName val="Direct_over_head24"/>
      <sheetName val="INCOME_TB24"/>
      <sheetName val="2017_bud24"/>
      <sheetName val="SSC_K24"/>
      <sheetName val="Profit_Rec_Worksheet24"/>
      <sheetName val="Sales_Analysis24"/>
      <sheetName val="OCT__2016-TB24"/>
      <sheetName val="note_workings24"/>
      <sheetName val="PBT_Analysis24"/>
      <sheetName val="Nov2014_MPR24"/>
      <sheetName val="NOV2014_Note24"/>
      <sheetName val="YTD_201424"/>
      <sheetName val="OCT_2014_FS24"/>
      <sheetName val="2014_prod24"/>
      <sheetName val="2015_Bud_Ass24"/>
      <sheetName val="2015_Bud224"/>
      <sheetName val="conversion_cost_sum24"/>
      <sheetName val="conversion_cost224"/>
      <sheetName val="August_201524"/>
      <sheetName val="Feb'18_TB24"/>
      <sheetName val="TRIAL_BALANCE__2019_YTD24"/>
      <sheetName val="August_2019_TB24"/>
      <sheetName val="conversion_cost_YTD_201924"/>
      <sheetName val="Conversion_cost_August_201924"/>
      <sheetName val="50KG_INCENTIVES24"/>
      <sheetName val="Retail_Incentives_24"/>
      <sheetName val="Omitted_3rd_quater24"/>
      <sheetName val="CC_-_JUNE_2018_Month24"/>
      <sheetName val="Report_Header_Dates24"/>
      <sheetName val="DIRECT_LABOUR24"/>
      <sheetName val="DIRECT_OVERHEAD24"/>
      <sheetName val="S_AND_D24"/>
      <sheetName val="ADMIN_(2)24"/>
      <sheetName val="Non-oper__cost24"/>
      <sheetName val="President_DB_-_Cost_per_T_24"/>
      <sheetName val="Conversion_cost_MaY_201924"/>
      <sheetName val="President_DB-_Rev_&amp;_Prod24"/>
      <sheetName val="Summary_223"/>
      <sheetName val="Bank_Bsheet17"/>
      <sheetName val="Profit_&amp;_Loss17"/>
      <sheetName val="Balance_Sheet17"/>
      <sheetName val="Opex_-_GPAL17"/>
      <sheetName val="P&amp;L-_GPAL17"/>
      <sheetName val="Input-_General_Assumptions17"/>
      <sheetName val="Project_Cost17"/>
      <sheetName val="Balance_Sheet-GPAL17"/>
      <sheetName val="BTM_Up_Monthly16"/>
      <sheetName val="TREND_PAL16"/>
      <sheetName val="Journal_entries16"/>
      <sheetName val="Jan_2000_-_Scr116"/>
      <sheetName val="MultiChoice_200216"/>
      <sheetName val="TILES_CONSUMABLES8"/>
      <sheetName val="TILES_CONSUMABLES_(2)8"/>
      <sheetName val="TILES_FACTORY8"/>
      <sheetName val="TILES_FACTORY_(2)8"/>
      <sheetName val="TILES_FACTORY_(3)8"/>
      <sheetName val="TILES_FACTORY_(4)8"/>
      <sheetName val="General_Production_Materials8"/>
      <sheetName val="SANITARY_WARES_FACTORY_April8"/>
      <sheetName val="SANITARY_CONSUMABLES_Feb8"/>
      <sheetName val="SANITARY_CONSUMABLES_January8"/>
      <sheetName val="SANITARY_WARE_FACTORY_June)8"/>
      <sheetName val="SANITARY_WARES_FACTORY_March8"/>
      <sheetName val="SANITARY_WARE_FACTORY_May8"/>
      <sheetName val="SANITARYWARE_FACTORY_FEB8"/>
      <sheetName val="SANITARYWARE_FACTORY_JUNE8"/>
      <sheetName val="SANITARYWARE_FACTORY_APRIL8"/>
      <sheetName val="SANITARYWARE_FACTORY_JAN_8"/>
      <sheetName val="SANITARYWARE_FACTORY_JULY8"/>
      <sheetName val="SANITARYWARE_FACTORY_MARCH8"/>
      <sheetName val="SANITARYWARE_FACTORY_MAY8"/>
      <sheetName val="TILES_FACTORY_RM_APRIL8"/>
      <sheetName val="TILES_FACTORY_RM_FEB8"/>
      <sheetName val="TILES__FACTORY_RM_Jan,20188"/>
      <sheetName val="TILES_FACTORY_RM_JULY_8"/>
      <sheetName val="TILES_FACTORY_RM_JUNE8"/>
      <sheetName val="TILES_FACTORY_RM_MARCH8"/>
      <sheetName val="TILES_FACTORY_RM_MAY8"/>
      <sheetName val="Category_Brands8"/>
      <sheetName val="OU_Selection8"/>
      <sheetName val="Exchange_rates8"/>
      <sheetName val="Budget_SC_Capex_CCY8"/>
      <sheetName val="PF2_SC_Capex_CCY8"/>
      <sheetName val="Front_Sheet8"/>
      <sheetName val="Exchange_Rate8"/>
      <sheetName val="OC%_Dupont_Bud8"/>
      <sheetName val="Export_Bud-_not_Mesa8"/>
      <sheetName val="Factory_Perf_Bud8"/>
      <sheetName val="Gratuity_DBase8"/>
      <sheetName val="Dbase_-_Spv8"/>
      <sheetName val="IT_Capex_6"/>
      <sheetName val="Lead_(2)6"/>
      <sheetName val="Med-Compjune_086"/>
      <sheetName val="Source_data38"/>
      <sheetName val="conversion_cost_YTD_2018_(2)25"/>
      <sheetName val="CC_-_Dec__2017_YTD25"/>
      <sheetName val="DSR_K25"/>
      <sheetName val="MAJOR_ACTIVITIES25"/>
      <sheetName val="Q3_P_&amp;_L25"/>
      <sheetName val="Profit_Recon25"/>
      <sheetName val="SAP_SFP25"/>
      <sheetName val="TB_Asset25"/>
      <sheetName val="KEY_RATIO25"/>
      <sheetName val="cost_per_unit25"/>
      <sheetName val="Direct_Expenses25"/>
      <sheetName val="CONSO_K25"/>
      <sheetName val="P&amp;_L__Analysis25"/>
      <sheetName val="TPT_Inc25"/>
      <sheetName val="Direct_over_head25"/>
      <sheetName val="INCOME_TB25"/>
      <sheetName val="2017_bud25"/>
      <sheetName val="SSC_K25"/>
      <sheetName val="Profit_Rec_Worksheet25"/>
      <sheetName val="Sales_Analysis25"/>
      <sheetName val="OCT__2016-TB25"/>
      <sheetName val="note_workings25"/>
      <sheetName val="PBT_Analysis25"/>
      <sheetName val="Nov2014_MPR25"/>
      <sheetName val="NOV2014_Note25"/>
      <sheetName val="YTD_201425"/>
      <sheetName val="OCT_2014_FS25"/>
      <sheetName val="2014_prod25"/>
      <sheetName val="2015_Bud_Ass25"/>
      <sheetName val="2015_Bud225"/>
      <sheetName val="conversion_cost_sum25"/>
      <sheetName val="conversion_cost225"/>
      <sheetName val="August_201525"/>
      <sheetName val="Feb'18_TB25"/>
      <sheetName val="TRIAL_BALANCE__2019_YTD25"/>
      <sheetName val="August_2019_TB25"/>
      <sheetName val="conversion_cost_YTD_201925"/>
      <sheetName val="Conversion_cost_August_201925"/>
      <sheetName val="50KG_INCENTIVES25"/>
      <sheetName val="Retail_Incentives_25"/>
      <sheetName val="Omitted_3rd_quater25"/>
      <sheetName val="CC_-_JUNE_2018_Month25"/>
      <sheetName val="Report_Header_Dates25"/>
      <sheetName val="DIRECT_LABOUR25"/>
      <sheetName val="DIRECT_OVERHEAD25"/>
      <sheetName val="S_AND_D25"/>
      <sheetName val="ADMIN_(2)25"/>
      <sheetName val="Non-oper__cost25"/>
      <sheetName val="President_DB_-_Cost_per_T_25"/>
      <sheetName val="Conversion_cost_MaY_201925"/>
      <sheetName val="President_DB-_Rev_&amp;_Prod25"/>
      <sheetName val="Summary_224"/>
      <sheetName val="Bank_Bsheet18"/>
      <sheetName val="Profit_&amp;_Loss18"/>
      <sheetName val="Balance_Sheet18"/>
      <sheetName val="Opex_-_GPAL18"/>
      <sheetName val="P&amp;L-_GPAL18"/>
      <sheetName val="Input-_General_Assumptions18"/>
      <sheetName val="Project_Cost18"/>
      <sheetName val="Balance_Sheet-GPAL18"/>
      <sheetName val="BTM_Up_Monthly17"/>
      <sheetName val="TREND_PAL17"/>
      <sheetName val="Journal_entries17"/>
      <sheetName val="Jan_2000_-_Scr117"/>
      <sheetName val="MultiChoice_200217"/>
      <sheetName val="TILES_CONSUMABLES9"/>
      <sheetName val="TILES_CONSUMABLES_(2)9"/>
      <sheetName val="TILES_FACTORY9"/>
      <sheetName val="TILES_FACTORY_(2)9"/>
      <sheetName val="TILES_FACTORY_(3)9"/>
      <sheetName val="TILES_FACTORY_(4)9"/>
      <sheetName val="General_Production_Materials9"/>
      <sheetName val="SANITARY_WARES_FACTORY_April9"/>
      <sheetName val="SANITARY_CONSUMABLES_Feb9"/>
      <sheetName val="SANITARY_CONSUMABLES_January9"/>
      <sheetName val="SANITARY_WARE_FACTORY_June)9"/>
      <sheetName val="SANITARY_WARES_FACTORY_March9"/>
      <sheetName val="SANITARY_WARE_FACTORY_May9"/>
      <sheetName val="SANITARYWARE_FACTORY_FEB9"/>
      <sheetName val="SANITARYWARE_FACTORY_JUNE9"/>
      <sheetName val="SANITARYWARE_FACTORY_APRIL9"/>
      <sheetName val="SANITARYWARE_FACTORY_JAN_9"/>
      <sheetName val="SANITARYWARE_FACTORY_JULY9"/>
      <sheetName val="SANITARYWARE_FACTORY_MARCH9"/>
      <sheetName val="SANITARYWARE_FACTORY_MAY9"/>
      <sheetName val="TILES_FACTORY_RM_APRIL9"/>
      <sheetName val="TILES_FACTORY_RM_FEB9"/>
      <sheetName val="TILES__FACTORY_RM_Jan,20189"/>
      <sheetName val="TILES_FACTORY_RM_JULY_9"/>
      <sheetName val="TILES_FACTORY_RM_JUNE9"/>
      <sheetName val="TILES_FACTORY_RM_MARCH9"/>
      <sheetName val="TILES_FACTORY_RM_MAY9"/>
      <sheetName val="Category_Brands9"/>
      <sheetName val="OU_Selection9"/>
      <sheetName val="Exchange_rates9"/>
      <sheetName val="Budget_SC_Capex_CCY9"/>
      <sheetName val="PF2_SC_Capex_CCY9"/>
      <sheetName val="Front_Sheet9"/>
      <sheetName val="Exchange_Rate9"/>
      <sheetName val="OC%_Dupont_Bud9"/>
      <sheetName val="Export_Bud-_not_Mesa9"/>
      <sheetName val="Factory_Perf_Bud9"/>
      <sheetName val="Gratuity_DBase9"/>
      <sheetName val="Dbase_-_Spv9"/>
      <sheetName val="IT_Capex_7"/>
      <sheetName val="Lead_(2)7"/>
      <sheetName val="Med-Compjune_087"/>
      <sheetName val="Source_data39"/>
      <sheetName val="conversion_cost_YTD_2018_(2)26"/>
      <sheetName val="CC_-_Dec__2017_YTD26"/>
      <sheetName val="DSR_K26"/>
      <sheetName val="MAJOR_ACTIVITIES26"/>
      <sheetName val="Q3_P_&amp;_L26"/>
      <sheetName val="Profit_Recon26"/>
      <sheetName val="SAP_SFP26"/>
      <sheetName val="TB_Asset26"/>
      <sheetName val="KEY_RATIO26"/>
      <sheetName val="cost_per_unit26"/>
      <sheetName val="Direct_Expenses26"/>
      <sheetName val="CONSO_K26"/>
      <sheetName val="P&amp;_L__Analysis26"/>
      <sheetName val="TPT_Inc26"/>
      <sheetName val="Direct_over_head26"/>
      <sheetName val="INCOME_TB26"/>
      <sheetName val="2017_bud26"/>
      <sheetName val="SSC_K26"/>
      <sheetName val="Profit_Rec_Worksheet26"/>
      <sheetName val="Sales_Analysis26"/>
      <sheetName val="OCT__2016-TB26"/>
      <sheetName val="note_workings26"/>
      <sheetName val="PBT_Analysis26"/>
      <sheetName val="Nov2014_MPR26"/>
      <sheetName val="NOV2014_Note26"/>
      <sheetName val="YTD_201426"/>
      <sheetName val="OCT_2014_FS26"/>
      <sheetName val="2014_prod26"/>
      <sheetName val="2015_Bud_Ass26"/>
      <sheetName val="2015_Bud226"/>
      <sheetName val="conversion_cost_sum26"/>
      <sheetName val="conversion_cost226"/>
      <sheetName val="August_201526"/>
      <sheetName val="Feb'18_TB26"/>
      <sheetName val="TRIAL_BALANCE__2019_YTD26"/>
      <sheetName val="August_2019_TB26"/>
      <sheetName val="conversion_cost_YTD_201926"/>
      <sheetName val="Conversion_cost_August_201926"/>
      <sheetName val="50KG_INCENTIVES26"/>
      <sheetName val="Retail_Incentives_26"/>
      <sheetName val="Omitted_3rd_quater26"/>
      <sheetName val="CC_-_JUNE_2018_Month26"/>
      <sheetName val="Report_Header_Dates26"/>
      <sheetName val="DIRECT_LABOUR26"/>
      <sheetName val="DIRECT_OVERHEAD26"/>
      <sheetName val="S_AND_D26"/>
      <sheetName val="ADMIN_(2)26"/>
      <sheetName val="Non-oper__cost26"/>
      <sheetName val="President_DB_-_Cost_per_T_26"/>
      <sheetName val="Conversion_cost_MaY_201926"/>
      <sheetName val="President_DB-_Rev_&amp;_Prod26"/>
      <sheetName val="Summary_225"/>
      <sheetName val="Bank_Bsheet19"/>
      <sheetName val="Profit_&amp;_Loss19"/>
      <sheetName val="Balance_Sheet19"/>
      <sheetName val="Opex_-_GPAL19"/>
      <sheetName val="P&amp;L-_GPAL19"/>
      <sheetName val="Input-_General_Assumptions19"/>
      <sheetName val="Project_Cost19"/>
      <sheetName val="Balance_Sheet-GPAL19"/>
      <sheetName val="BTM_Up_Monthly18"/>
      <sheetName val="TREND_PAL18"/>
      <sheetName val="Journal_entries18"/>
      <sheetName val="Jan_2000_-_Scr118"/>
      <sheetName val="MultiChoice_200218"/>
      <sheetName val="TILES_CONSUMABLES10"/>
      <sheetName val="TILES_CONSUMABLES_(2)10"/>
      <sheetName val="TILES_FACTORY10"/>
      <sheetName val="TILES_FACTORY_(2)10"/>
      <sheetName val="TILES_FACTORY_(3)10"/>
      <sheetName val="TILES_FACTORY_(4)10"/>
      <sheetName val="General_Production_Materials10"/>
      <sheetName val="SANITARY_WARES_FACTORY_April10"/>
      <sheetName val="SANITARY_CONSUMABLES_Feb10"/>
      <sheetName val="SANITARY_CONSUMABLES_January10"/>
      <sheetName val="SANITARY_WARE_FACTORY_June)10"/>
      <sheetName val="SANITARY_WARES_FACTORY_March10"/>
      <sheetName val="SANITARY_WARE_FACTORY_May10"/>
      <sheetName val="SANITARYWARE_FACTORY_FEB10"/>
      <sheetName val="SANITARYWARE_FACTORY_JUNE10"/>
      <sheetName val="SANITARYWARE_FACTORY_APRIL10"/>
      <sheetName val="SANITARYWARE_FACTORY_JAN_10"/>
      <sheetName val="SANITARYWARE_FACTORY_JULY10"/>
      <sheetName val="SANITARYWARE_FACTORY_MARCH10"/>
      <sheetName val="SANITARYWARE_FACTORY_MAY10"/>
      <sheetName val="TILES_FACTORY_RM_APRIL10"/>
      <sheetName val="TILES_FACTORY_RM_FEB10"/>
      <sheetName val="TILES__FACTORY_RM_Jan,201810"/>
      <sheetName val="TILES_FACTORY_RM_JULY_10"/>
      <sheetName val="TILES_FACTORY_RM_JUNE10"/>
      <sheetName val="TILES_FACTORY_RM_MARCH10"/>
      <sheetName val="TILES_FACTORY_RM_MAY10"/>
      <sheetName val="Category_Brands10"/>
      <sheetName val="OU_Selection10"/>
      <sheetName val="Exchange_rates10"/>
      <sheetName val="Budget_SC_Capex_CCY10"/>
      <sheetName val="PF2_SC_Capex_CCY10"/>
      <sheetName val="Front_Sheet10"/>
      <sheetName val="Exchange_Rate10"/>
      <sheetName val="OC%_Dupont_Bud10"/>
      <sheetName val="Export_Bud-_not_Mesa10"/>
      <sheetName val="Factory_Perf_Bud10"/>
      <sheetName val="Gratuity_DBase10"/>
      <sheetName val="Dbase_-_Spv10"/>
      <sheetName val="IT_Capex_8"/>
      <sheetName val="Lead_(2)8"/>
      <sheetName val="Med-Compjune_088"/>
      <sheetName val="Source_data40"/>
      <sheetName val="conversion_cost_YTD_2018_(2)27"/>
      <sheetName val="CC_-_Dec__2017_YTD27"/>
      <sheetName val="DSR_K27"/>
      <sheetName val="MAJOR_ACTIVITIES27"/>
      <sheetName val="Q3_P_&amp;_L27"/>
      <sheetName val="Profit_Recon27"/>
      <sheetName val="SAP_SFP27"/>
      <sheetName val="TB_Asset27"/>
      <sheetName val="KEY_RATIO27"/>
      <sheetName val="cost_per_unit27"/>
      <sheetName val="Direct_Expenses27"/>
      <sheetName val="CONSO_K27"/>
      <sheetName val="P&amp;_L__Analysis27"/>
      <sheetName val="TPT_Inc27"/>
      <sheetName val="Direct_over_head27"/>
      <sheetName val="INCOME_TB27"/>
      <sheetName val="2017_bud27"/>
      <sheetName val="SSC_K27"/>
      <sheetName val="Profit_Rec_Worksheet27"/>
      <sheetName val="Sales_Analysis27"/>
      <sheetName val="OCT__2016-TB27"/>
      <sheetName val="note_workings27"/>
      <sheetName val="PBT_Analysis27"/>
      <sheetName val="Nov2014_MPR27"/>
      <sheetName val="NOV2014_Note27"/>
      <sheetName val="YTD_201427"/>
      <sheetName val="OCT_2014_FS27"/>
      <sheetName val="2014_prod27"/>
      <sheetName val="2015_Bud_Ass27"/>
      <sheetName val="2015_Bud227"/>
      <sheetName val="conversion_cost_sum27"/>
      <sheetName val="conversion_cost227"/>
      <sheetName val="August_201527"/>
      <sheetName val="Feb'18_TB27"/>
      <sheetName val="TRIAL_BALANCE__2019_YTD27"/>
      <sheetName val="August_2019_TB27"/>
      <sheetName val="conversion_cost_YTD_201927"/>
      <sheetName val="Conversion_cost_August_201927"/>
      <sheetName val="50KG_INCENTIVES27"/>
      <sheetName val="Retail_Incentives_27"/>
      <sheetName val="Omitted_3rd_quater27"/>
      <sheetName val="CC_-_JUNE_2018_Month27"/>
      <sheetName val="Report_Header_Dates27"/>
      <sheetName val="DIRECT_LABOUR27"/>
      <sheetName val="DIRECT_OVERHEAD27"/>
      <sheetName val="S_AND_D27"/>
      <sheetName val="ADMIN_(2)27"/>
      <sheetName val="Non-oper__cost27"/>
      <sheetName val="President_DB_-_Cost_per_T_27"/>
      <sheetName val="Conversion_cost_MaY_201927"/>
      <sheetName val="President_DB-_Rev_&amp;_Prod27"/>
      <sheetName val="Summary_226"/>
      <sheetName val="Bank_Bsheet20"/>
      <sheetName val="Profit_&amp;_Loss20"/>
      <sheetName val="Balance_Sheet20"/>
      <sheetName val="Opex_-_GPAL20"/>
      <sheetName val="P&amp;L-_GPAL20"/>
      <sheetName val="Input-_General_Assumptions20"/>
      <sheetName val="Project_Cost20"/>
      <sheetName val="Balance_Sheet-GPAL20"/>
      <sheetName val="BTM_Up_Monthly19"/>
      <sheetName val="TREND_PAL19"/>
      <sheetName val="Journal_entries19"/>
      <sheetName val="Jan_2000_-_Scr119"/>
      <sheetName val="MultiChoice_200219"/>
      <sheetName val="TILES_CONSUMABLES11"/>
      <sheetName val="TILES_CONSUMABLES_(2)11"/>
      <sheetName val="TILES_FACTORY11"/>
      <sheetName val="TILES_FACTORY_(2)11"/>
      <sheetName val="TILES_FACTORY_(3)11"/>
      <sheetName val="TILES_FACTORY_(4)11"/>
      <sheetName val="General_Production_Materials11"/>
      <sheetName val="SANITARY_WARES_FACTORY_April11"/>
      <sheetName val="SANITARY_CONSUMABLES_Feb11"/>
      <sheetName val="SANITARY_CONSUMABLES_January11"/>
      <sheetName val="SANITARY_WARE_FACTORY_June)11"/>
      <sheetName val="SANITARY_WARES_FACTORY_March11"/>
      <sheetName val="SANITARY_WARE_FACTORY_May11"/>
      <sheetName val="SANITARYWARE_FACTORY_FEB11"/>
      <sheetName val="SANITARYWARE_FACTORY_JUNE11"/>
      <sheetName val="SANITARYWARE_FACTORY_APRIL11"/>
      <sheetName val="SANITARYWARE_FACTORY_JAN_11"/>
      <sheetName val="SANITARYWARE_FACTORY_JULY11"/>
      <sheetName val="SANITARYWARE_FACTORY_MARCH11"/>
      <sheetName val="SANITARYWARE_FACTORY_MAY11"/>
      <sheetName val="TILES_FACTORY_RM_APRIL11"/>
      <sheetName val="TILES_FACTORY_RM_FEB11"/>
      <sheetName val="TILES__FACTORY_RM_Jan,201811"/>
      <sheetName val="TILES_FACTORY_RM_JULY_11"/>
      <sheetName val="TILES_FACTORY_RM_JUNE11"/>
      <sheetName val="TILES_FACTORY_RM_MARCH11"/>
      <sheetName val="TILES_FACTORY_RM_MAY11"/>
      <sheetName val="Category_Brands11"/>
      <sheetName val="OU_Selection11"/>
      <sheetName val="Exchange_rates11"/>
      <sheetName val="Budget_SC_Capex_CCY11"/>
      <sheetName val="PF2_SC_Capex_CCY11"/>
      <sheetName val="Front_Sheet11"/>
      <sheetName val="Exchange_Rate11"/>
      <sheetName val="OC%_Dupont_Bud11"/>
      <sheetName val="Export_Bud-_not_Mesa11"/>
      <sheetName val="Factory_Perf_Bud11"/>
      <sheetName val="Gratuity_DBase11"/>
      <sheetName val="Dbase_-_Spv11"/>
      <sheetName val="IT_Capex_9"/>
      <sheetName val="Lead_(2)9"/>
      <sheetName val="Med-Compjune_089"/>
      <sheetName val="Source_data41"/>
      <sheetName val="conversion_cost_YTD_2018_(2)28"/>
      <sheetName val="CC_-_Dec__2017_YTD28"/>
      <sheetName val="DSR_K28"/>
      <sheetName val="MAJOR_ACTIVITIES28"/>
      <sheetName val="Q3_P_&amp;_L28"/>
      <sheetName val="Profit_Recon28"/>
      <sheetName val="SAP_SFP28"/>
      <sheetName val="TB_Asset28"/>
      <sheetName val="KEY_RATIO28"/>
      <sheetName val="cost_per_unit28"/>
      <sheetName val="Direct_Expenses28"/>
      <sheetName val="CONSO_K28"/>
      <sheetName val="P&amp;_L__Analysis28"/>
      <sheetName val="TPT_Inc28"/>
      <sheetName val="Direct_over_head28"/>
      <sheetName val="INCOME_TB28"/>
      <sheetName val="2017_bud28"/>
      <sheetName val="SSC_K28"/>
      <sheetName val="Profit_Rec_Worksheet28"/>
      <sheetName val="Sales_Analysis28"/>
      <sheetName val="OCT__2016-TB28"/>
      <sheetName val="note_workings28"/>
      <sheetName val="PBT_Analysis28"/>
      <sheetName val="Nov2014_MPR28"/>
      <sheetName val="NOV2014_Note28"/>
      <sheetName val="YTD_201428"/>
      <sheetName val="OCT_2014_FS28"/>
      <sheetName val="2014_prod28"/>
      <sheetName val="2015_Bud_Ass28"/>
      <sheetName val="2015_Bud228"/>
      <sheetName val="conversion_cost_sum28"/>
      <sheetName val="conversion_cost228"/>
      <sheetName val="August_201528"/>
      <sheetName val="Feb'18_TB28"/>
      <sheetName val="TRIAL_BALANCE__2019_YTD28"/>
      <sheetName val="August_2019_TB28"/>
      <sheetName val="conversion_cost_YTD_201928"/>
      <sheetName val="Conversion_cost_August_201928"/>
      <sheetName val="50KG_INCENTIVES28"/>
      <sheetName val="Retail_Incentives_28"/>
      <sheetName val="Omitted_3rd_quater28"/>
      <sheetName val="CC_-_JUNE_2018_Month28"/>
      <sheetName val="Report_Header_Dates28"/>
      <sheetName val="DIRECT_LABOUR28"/>
      <sheetName val="DIRECT_OVERHEAD28"/>
      <sheetName val="S_AND_D28"/>
      <sheetName val="ADMIN_(2)28"/>
      <sheetName val="Non-oper__cost28"/>
      <sheetName val="President_DB_-_Cost_per_T_28"/>
      <sheetName val="Conversion_cost_MaY_201928"/>
      <sheetName val="President_DB-_Rev_&amp;_Prod28"/>
      <sheetName val="Summary_227"/>
      <sheetName val="Bank_Bsheet21"/>
      <sheetName val="Profit_&amp;_Loss21"/>
      <sheetName val="Balance_Sheet21"/>
      <sheetName val="Opex_-_GPAL21"/>
      <sheetName val="P&amp;L-_GPAL21"/>
      <sheetName val="Input-_General_Assumptions21"/>
      <sheetName val="Project_Cost21"/>
      <sheetName val="Balance_Sheet-GPAL21"/>
      <sheetName val="BTM_Up_Monthly20"/>
      <sheetName val="TREND_PAL20"/>
      <sheetName val="Journal_entries20"/>
      <sheetName val="Jan_2000_-_Scr120"/>
      <sheetName val="MultiChoice_200220"/>
      <sheetName val="TILES_CONSUMABLES12"/>
      <sheetName val="TILES_CONSUMABLES_(2)12"/>
      <sheetName val="TILES_FACTORY12"/>
      <sheetName val="TILES_FACTORY_(2)12"/>
      <sheetName val="TILES_FACTORY_(3)12"/>
      <sheetName val="TILES_FACTORY_(4)12"/>
      <sheetName val="General_Production_Materials12"/>
      <sheetName val="SANITARY_WARES_FACTORY_April12"/>
      <sheetName val="SANITARY_CONSUMABLES_Feb12"/>
      <sheetName val="SANITARY_CONSUMABLES_January12"/>
      <sheetName val="SANITARY_WARE_FACTORY_June)12"/>
      <sheetName val="SANITARY_WARES_FACTORY_March12"/>
      <sheetName val="SANITARY_WARE_FACTORY_May12"/>
      <sheetName val="SANITARYWARE_FACTORY_FEB12"/>
      <sheetName val="SANITARYWARE_FACTORY_JUNE12"/>
      <sheetName val="SANITARYWARE_FACTORY_APRIL12"/>
      <sheetName val="SANITARYWARE_FACTORY_JAN_12"/>
      <sheetName val="SANITARYWARE_FACTORY_JULY12"/>
      <sheetName val="SANITARYWARE_FACTORY_MARCH12"/>
      <sheetName val="SANITARYWARE_FACTORY_MAY12"/>
      <sheetName val="TILES_FACTORY_RM_APRIL12"/>
      <sheetName val="TILES_FACTORY_RM_FEB12"/>
      <sheetName val="TILES__FACTORY_RM_Jan,201812"/>
      <sheetName val="TILES_FACTORY_RM_JULY_12"/>
      <sheetName val="TILES_FACTORY_RM_JUNE12"/>
      <sheetName val="TILES_FACTORY_RM_MARCH12"/>
      <sheetName val="TILES_FACTORY_RM_MAY12"/>
      <sheetName val="Category_Brands12"/>
      <sheetName val="OU_Selection12"/>
      <sheetName val="Exchange_rates12"/>
      <sheetName val="Budget_SC_Capex_CCY12"/>
      <sheetName val="PF2_SC_Capex_CCY12"/>
      <sheetName val="Front_Sheet12"/>
      <sheetName val="Exchange_Rate12"/>
      <sheetName val="OC%_Dupont_Bud12"/>
      <sheetName val="Export_Bud-_not_Mesa12"/>
      <sheetName val="Factory_Perf_Bud12"/>
      <sheetName val="Gratuity_DBase12"/>
      <sheetName val="Dbase_-_Spv12"/>
      <sheetName val="IT_Capex_10"/>
      <sheetName val="Lead_(2)10"/>
      <sheetName val="Med-Compjune_0810"/>
      <sheetName val="FEB"/>
      <sheetName val="Journal"/>
      <sheetName val="TB"/>
      <sheetName val="A"/>
      <sheetName val="SOCI"/>
      <sheetName val="Directors Costs"/>
      <sheetName val="2021 WHT Credits"/>
      <sheetName val="Depreciation"/>
      <sheetName val="Turnover 2021"/>
      <sheetName val="SUMMARY"/>
      <sheetName val="Note 10 -15"/>
      <sheetName val="Rent Analysis"/>
      <sheetName val="#REF"/>
      <sheetName val="PROD°"/>
      <sheetName val="Notes 6-9"/>
      <sheetName val="notes 3-5"/>
      <sheetName val="Sales &amp; Mkt"/>
      <sheetName val="Valuation"/>
      <sheetName val="Cheese Balls"/>
      <sheetName val="_pcSlicerSheet45"/>
      <sheetName val="ALA210"/>
      <sheetName val="EBU210"/>
      <sheetName val="OKE210"/>
      <sheetName val="Quoted Equity 2014"/>
      <sheetName val="accounts&amp;notes"/>
      <sheetName val="RATIO"/>
      <sheetName val="B. SC"/>
      <sheetName val="Cover"/>
      <sheetName val="loan 1"/>
      <sheetName val="Technial Budget Assumptions"/>
      <sheetName val="C-Client Information"/>
      <sheetName val="C-04"/>
      <sheetName val="Closing Price"/>
      <sheetName val="Price list 3112"/>
      <sheetName val="ASSUMPTIONS AND BOND LIST"/>
      <sheetName val="Public Holidays"/>
      <sheetName val="Definitions"/>
      <sheetName val="LIBOR (%)"/>
      <sheetName val="Sheet1 (3)"/>
      <sheetName val="NIBOR (%)"/>
      <sheetName val="US SWAP CURVE (%)"/>
      <sheetName val="HR - Subscription"/>
      <sheetName val="Legal"/>
      <sheetName val="Budget Data"/>
      <sheetName val="Exp List"/>
      <sheetName val="CASH &amp; BANK"/>
      <sheetName val="Mapping Fields to AGG node"/>
      <sheetName val="estgl81"/>
      <sheetName val="SetUp"/>
      <sheetName val="Budget, LEE &amp; Commitments"/>
      <sheetName val="POM-AFE"/>
      <sheetName val="Headcount_Analysis_with_Cost"/>
      <sheetName val="Gratuity_Flash_"/>
      <sheetName val="line_items"/>
      <sheetName val="TREND_P+L"/>
      <sheetName val="Headcount_Analysis_with_Cost1"/>
      <sheetName val="Gratuity_Flash_1"/>
      <sheetName val="line_items1"/>
      <sheetName val="TREND_P+L1"/>
      <sheetName val="Source_data42"/>
      <sheetName val="conversion_cost_YTD_2018_(2)29"/>
      <sheetName val="CC_-_Dec__2017_YTD29"/>
      <sheetName val="DSR_K29"/>
      <sheetName val="MAJOR_ACTIVITIES29"/>
      <sheetName val="Q3_P_&amp;_L29"/>
      <sheetName val="Profit_Recon29"/>
      <sheetName val="SAP_SFP29"/>
      <sheetName val="TB_Asset29"/>
      <sheetName val="KEY_RATIO29"/>
      <sheetName val="cost_per_unit29"/>
      <sheetName val="Direct_Expenses29"/>
      <sheetName val="CONSO_K29"/>
      <sheetName val="P&amp;_L__Analysis29"/>
      <sheetName val="TPT_Inc29"/>
      <sheetName val="Direct_over_head29"/>
      <sheetName val="INCOME_TB29"/>
      <sheetName val="2017_bud29"/>
      <sheetName val="SSC_K29"/>
      <sheetName val="Profit_Rec_Worksheet29"/>
      <sheetName val="Sales_Analysis29"/>
      <sheetName val="OCT__2016-TB29"/>
      <sheetName val="note_workings29"/>
      <sheetName val="PBT_Analysis29"/>
      <sheetName val="Nov2014_MPR29"/>
      <sheetName val="NOV2014_Note29"/>
      <sheetName val="YTD_201429"/>
      <sheetName val="OCT_2014_FS29"/>
      <sheetName val="2014_prod29"/>
      <sheetName val="2015_Bud_Ass29"/>
      <sheetName val="2015_Bud229"/>
      <sheetName val="conversion_cost_sum29"/>
      <sheetName val="conversion_cost229"/>
      <sheetName val="August_201529"/>
      <sheetName val="Feb'18_TB29"/>
      <sheetName val="TRIAL_BALANCE__2019_YTD29"/>
      <sheetName val="August_2019_TB29"/>
      <sheetName val="conversion_cost_YTD_201929"/>
      <sheetName val="Conversion_cost_August_201929"/>
      <sheetName val="50KG_INCENTIVES29"/>
      <sheetName val="Retail_Incentives_29"/>
      <sheetName val="Omitted_3rd_quater29"/>
      <sheetName val="CC_-_JUNE_2018_Month29"/>
      <sheetName val="Report_Header_Dates29"/>
      <sheetName val="DIRECT_LABOUR29"/>
      <sheetName val="DIRECT_OVERHEAD29"/>
      <sheetName val="S_AND_D29"/>
      <sheetName val="ADMIN_(2)29"/>
      <sheetName val="Non-oper__cost29"/>
      <sheetName val="President_DB_-_Cost_per_T_29"/>
      <sheetName val="Conversion_cost_MaY_201929"/>
      <sheetName val="President_DB-_Rev_&amp;_Prod29"/>
      <sheetName val="Summary_228"/>
      <sheetName val="Bank_Bsheet22"/>
      <sheetName val="Profit_&amp;_Loss22"/>
      <sheetName val="Balance_Sheet22"/>
      <sheetName val="Opex_-_GPAL22"/>
      <sheetName val="P&amp;L-_GPAL22"/>
      <sheetName val="Input-_General_Assumptions22"/>
      <sheetName val="Project_Cost22"/>
      <sheetName val="Balance_Sheet-GPAL22"/>
      <sheetName val="BTM_Up_Monthly21"/>
      <sheetName val="TREND_PAL21"/>
      <sheetName val="Journal_entries21"/>
      <sheetName val="Jan_2000_-_Scr121"/>
      <sheetName val="MultiChoice_200221"/>
      <sheetName val="TILES_CONSUMABLES13"/>
      <sheetName val="TILES_CONSUMABLES_(2)13"/>
      <sheetName val="TILES_FACTORY13"/>
      <sheetName val="TILES_FACTORY_(2)13"/>
      <sheetName val="TILES_FACTORY_(3)13"/>
      <sheetName val="TILES_FACTORY_(4)13"/>
      <sheetName val="General_Production_Materials13"/>
      <sheetName val="SANITARY_WARES_FACTORY_April13"/>
      <sheetName val="SANITARY_CONSUMABLES_Feb13"/>
      <sheetName val="SANITARY_CONSUMABLES_January13"/>
      <sheetName val="SANITARY_WARE_FACTORY_June)13"/>
      <sheetName val="SANITARY_WARES_FACTORY_March13"/>
      <sheetName val="SANITARY_WARE_FACTORY_May13"/>
      <sheetName val="SANITARYWARE_FACTORY_FEB13"/>
      <sheetName val="SANITARYWARE_FACTORY_JUNE13"/>
      <sheetName val="SANITARYWARE_FACTORY_APRIL13"/>
      <sheetName val="SANITARYWARE_FACTORY_JAN_13"/>
      <sheetName val="SANITARYWARE_FACTORY_JULY13"/>
      <sheetName val="SANITARYWARE_FACTORY_MARCH13"/>
      <sheetName val="SANITARYWARE_FACTORY_MAY13"/>
      <sheetName val="TILES_FACTORY_RM_APRIL13"/>
      <sheetName val="TILES_FACTORY_RM_FEB13"/>
      <sheetName val="TILES__FACTORY_RM_Jan,201813"/>
      <sheetName val="TILES_FACTORY_RM_JULY_13"/>
      <sheetName val="TILES_FACTORY_RM_JUNE13"/>
      <sheetName val="TILES_FACTORY_RM_MARCH13"/>
      <sheetName val="TILES_FACTORY_RM_MAY13"/>
      <sheetName val="Category_Brands13"/>
      <sheetName val="OU_Selection13"/>
      <sheetName val="Exchange_rates13"/>
      <sheetName val="Budget_SC_Capex_CCY13"/>
      <sheetName val="PF2_SC_Capex_CCY13"/>
      <sheetName val="Front_Sheet13"/>
      <sheetName val="Exchange_Rate13"/>
      <sheetName val="OC%_Dupont_Bud13"/>
      <sheetName val="Export_Bud-_not_Mesa13"/>
      <sheetName val="Factory_Perf_Bud13"/>
      <sheetName val="Gratuity_DBase13"/>
      <sheetName val="Dbase_-_Spv13"/>
      <sheetName val="IT_Capex_11"/>
      <sheetName val="Lead_(2)11"/>
      <sheetName val="Med-Compjune_0811"/>
      <sheetName val="Source_data43"/>
      <sheetName val="conversion_cost_YTD_2018_(2)30"/>
      <sheetName val="CC_-_Dec__2017_YTD30"/>
      <sheetName val="DSR_K30"/>
      <sheetName val="MAJOR_ACTIVITIES30"/>
      <sheetName val="Q3_P_&amp;_L30"/>
      <sheetName val="Profit_Recon30"/>
      <sheetName val="SAP_SFP30"/>
      <sheetName val="TB_Asset30"/>
      <sheetName val="KEY_RATIO30"/>
      <sheetName val="cost_per_unit30"/>
      <sheetName val="Direct_Expenses30"/>
      <sheetName val="CONSO_K30"/>
      <sheetName val="P&amp;_L__Analysis30"/>
      <sheetName val="TPT_Inc30"/>
      <sheetName val="Direct_over_head30"/>
      <sheetName val="INCOME_TB30"/>
      <sheetName val="2017_bud30"/>
      <sheetName val="SSC_K30"/>
      <sheetName val="Profit_Rec_Worksheet30"/>
      <sheetName val="Sales_Analysis30"/>
      <sheetName val="OCT__2016-TB30"/>
      <sheetName val="note_workings30"/>
      <sheetName val="PBT_Analysis30"/>
      <sheetName val="Nov2014_MPR30"/>
      <sheetName val="NOV2014_Note30"/>
      <sheetName val="YTD_201430"/>
      <sheetName val="OCT_2014_FS30"/>
      <sheetName val="2014_prod30"/>
      <sheetName val="2015_Bud_Ass30"/>
      <sheetName val="2015_Bud230"/>
      <sheetName val="conversion_cost_sum30"/>
      <sheetName val="conversion_cost230"/>
      <sheetName val="August_201530"/>
      <sheetName val="Feb'18_TB30"/>
      <sheetName val="TRIAL_BALANCE__2019_YTD30"/>
      <sheetName val="August_2019_TB30"/>
      <sheetName val="conversion_cost_YTD_201930"/>
      <sheetName val="Conversion_cost_August_201930"/>
      <sheetName val="50KG_INCENTIVES30"/>
      <sheetName val="Retail_Incentives_30"/>
      <sheetName val="Omitted_3rd_quater30"/>
      <sheetName val="CC_-_JUNE_2018_Month30"/>
      <sheetName val="Report_Header_Dates30"/>
      <sheetName val="DIRECT_LABOUR30"/>
      <sheetName val="DIRECT_OVERHEAD30"/>
      <sheetName val="S_AND_D30"/>
      <sheetName val="ADMIN_(2)30"/>
      <sheetName val="Non-oper__cost30"/>
      <sheetName val="President_DB_-_Cost_per_T_30"/>
      <sheetName val="Conversion_cost_MaY_201930"/>
      <sheetName val="President_DB-_Rev_&amp;_Prod30"/>
      <sheetName val="Summary_229"/>
      <sheetName val="Bank_Bsheet23"/>
      <sheetName val="Profit_&amp;_Loss23"/>
      <sheetName val="Balance_Sheet23"/>
      <sheetName val="Opex_-_GPAL23"/>
      <sheetName val="P&amp;L-_GPAL23"/>
      <sheetName val="Input-_General_Assumptions23"/>
      <sheetName val="Project_Cost23"/>
      <sheetName val="Balance_Sheet-GPAL23"/>
      <sheetName val="BTM_Up_Monthly22"/>
      <sheetName val="TREND_PAL22"/>
      <sheetName val="Journal_entries22"/>
      <sheetName val="Jan_2000_-_Scr122"/>
      <sheetName val="MultiChoice_200222"/>
      <sheetName val="TILES_CONSUMABLES14"/>
      <sheetName val="TILES_CONSUMABLES_(2)14"/>
      <sheetName val="TILES_FACTORY14"/>
      <sheetName val="TILES_FACTORY_(2)14"/>
      <sheetName val="TILES_FACTORY_(3)14"/>
      <sheetName val="TILES_FACTORY_(4)14"/>
      <sheetName val="General_Production_Materials14"/>
      <sheetName val="SANITARY_WARES_FACTORY_April14"/>
      <sheetName val="SANITARY_CONSUMABLES_Feb14"/>
      <sheetName val="SANITARY_CONSUMABLES_January14"/>
      <sheetName val="SANITARY_WARE_FACTORY_June)14"/>
      <sheetName val="SANITARY_WARES_FACTORY_March14"/>
      <sheetName val="SANITARY_WARE_FACTORY_May14"/>
      <sheetName val="SANITARYWARE_FACTORY_FEB14"/>
      <sheetName val="SANITARYWARE_FACTORY_JUNE14"/>
      <sheetName val="SANITARYWARE_FACTORY_APRIL14"/>
      <sheetName val="SANITARYWARE_FACTORY_JAN_14"/>
      <sheetName val="SANITARYWARE_FACTORY_JULY14"/>
      <sheetName val="SANITARYWARE_FACTORY_MARCH14"/>
      <sheetName val="SANITARYWARE_FACTORY_MAY14"/>
      <sheetName val="TILES_FACTORY_RM_APRIL14"/>
      <sheetName val="TILES_FACTORY_RM_FEB14"/>
      <sheetName val="TILES__FACTORY_RM_Jan,201814"/>
      <sheetName val="TILES_FACTORY_RM_JULY_14"/>
      <sheetName val="TILES_FACTORY_RM_JUNE14"/>
      <sheetName val="TILES_FACTORY_RM_MARCH14"/>
      <sheetName val="TILES_FACTORY_RM_MAY14"/>
      <sheetName val="Category_Brands14"/>
      <sheetName val="OU_Selection14"/>
      <sheetName val="Exchange_rates14"/>
      <sheetName val="Budget_SC_Capex_CCY14"/>
      <sheetName val="PF2_SC_Capex_CCY14"/>
      <sheetName val="Front_Sheet14"/>
      <sheetName val="Exchange_Rate14"/>
      <sheetName val="OC%_Dupont_Bud14"/>
      <sheetName val="Export_Bud-_not_Mesa14"/>
      <sheetName val="Factory_Perf_Bud14"/>
      <sheetName val="Gratuity_DBase14"/>
      <sheetName val="Dbase_-_Spv14"/>
      <sheetName val="IT_Capex_12"/>
      <sheetName val="Lead_(2)12"/>
      <sheetName val="Med-Compjune_0812"/>
      <sheetName val="OLDFILE"/>
      <sheetName val="NEWFILE"/>
      <sheetName val="Marque 1"/>
      <sheetName val="sublead"/>
      <sheetName val="Fixed Assets Register 1"/>
      <sheetName val="FA Movement Register per KPMG"/>
      <sheetName val="Source_data44"/>
      <sheetName val="conversion_cost_YTD_2018_(2)31"/>
      <sheetName val="CC_-_Dec__2017_YTD31"/>
      <sheetName val="DSR_K31"/>
      <sheetName val="MAJOR_ACTIVITIES31"/>
      <sheetName val="Q3_P_&amp;_L31"/>
      <sheetName val="Profit_Recon31"/>
      <sheetName val="SAP_SFP31"/>
      <sheetName val="TB_Asset31"/>
      <sheetName val="KEY_RATIO31"/>
      <sheetName val="cost_per_unit31"/>
      <sheetName val="Direct_Expenses31"/>
      <sheetName val="CONSO_K31"/>
      <sheetName val="P&amp;_L__Analysis31"/>
      <sheetName val="TPT_Inc31"/>
      <sheetName val="Direct_over_head31"/>
      <sheetName val="INCOME_TB31"/>
      <sheetName val="2017_bud31"/>
      <sheetName val="SSC_K31"/>
      <sheetName val="Profit_Rec_Worksheet31"/>
      <sheetName val="Sales_Analysis31"/>
      <sheetName val="OCT__2016-TB31"/>
      <sheetName val="note_workings31"/>
      <sheetName val="PBT_Analysis31"/>
      <sheetName val="Nov2014_MPR31"/>
      <sheetName val="NOV2014_Note31"/>
      <sheetName val="YTD_201431"/>
      <sheetName val="OCT_2014_FS31"/>
      <sheetName val="2014_prod31"/>
      <sheetName val="2015_Bud_Ass31"/>
      <sheetName val="2015_Bud231"/>
      <sheetName val="conversion_cost_sum31"/>
      <sheetName val="conversion_cost231"/>
      <sheetName val="August_201531"/>
      <sheetName val="Feb'18_TB31"/>
      <sheetName val="TRIAL_BALANCE__2019_YTD31"/>
      <sheetName val="August_2019_TB31"/>
      <sheetName val="conversion_cost_YTD_201931"/>
      <sheetName val="Conversion_cost_August_201931"/>
      <sheetName val="50KG_INCENTIVES31"/>
      <sheetName val="Retail_Incentives_31"/>
      <sheetName val="Omitted_3rd_quater31"/>
      <sheetName val="CC_-_JUNE_2018_Month31"/>
      <sheetName val="Report_Header_Dates31"/>
      <sheetName val="DIRECT_LABOUR31"/>
      <sheetName val="DIRECT_OVERHEAD31"/>
      <sheetName val="S_AND_D31"/>
      <sheetName val="ADMIN_(2)31"/>
      <sheetName val="Non-oper__cost31"/>
      <sheetName val="President_DB_-_Cost_per_T_31"/>
      <sheetName val="Conversion_cost_MaY_201931"/>
      <sheetName val="President_DB-_Rev_&amp;_Prod31"/>
      <sheetName val="Summary_230"/>
      <sheetName val="Bank_Bsheet24"/>
      <sheetName val="Profit_&amp;_Loss24"/>
      <sheetName val="Balance_Sheet24"/>
      <sheetName val="Opex_-_GPAL24"/>
      <sheetName val="P&amp;L-_GPAL24"/>
      <sheetName val="Input-_General_Assumptions24"/>
      <sheetName val="Project_Cost24"/>
      <sheetName val="Balance_Sheet-GPAL24"/>
      <sheetName val="BTM_Up_Monthly23"/>
      <sheetName val="TREND_PAL23"/>
      <sheetName val="Journal_entries23"/>
      <sheetName val="Jan_2000_-_Scr123"/>
      <sheetName val="MultiChoice_200223"/>
      <sheetName val="TILES_CONSUMABLES15"/>
      <sheetName val="TILES_CONSUMABLES_(2)15"/>
      <sheetName val="TILES_FACTORY15"/>
      <sheetName val="TILES_FACTORY_(2)15"/>
      <sheetName val="TILES_FACTORY_(3)15"/>
      <sheetName val="TILES_FACTORY_(4)15"/>
      <sheetName val="General_Production_Materials15"/>
      <sheetName val="SANITARY_WARES_FACTORY_April15"/>
      <sheetName val="SANITARY_CONSUMABLES_Feb15"/>
      <sheetName val="SANITARY_CONSUMABLES_January15"/>
      <sheetName val="SANITARY_WARE_FACTORY_June)15"/>
      <sheetName val="SANITARY_WARES_FACTORY_March15"/>
      <sheetName val="SANITARY_WARE_FACTORY_May15"/>
      <sheetName val="SANITARYWARE_FACTORY_FEB15"/>
      <sheetName val="SANITARYWARE_FACTORY_JUNE15"/>
      <sheetName val="SANITARYWARE_FACTORY_APRIL15"/>
      <sheetName val="SANITARYWARE_FACTORY_JAN_15"/>
      <sheetName val="SANITARYWARE_FACTORY_JULY15"/>
      <sheetName val="SANITARYWARE_FACTORY_MARCH15"/>
      <sheetName val="SANITARYWARE_FACTORY_MAY15"/>
      <sheetName val="TILES_FACTORY_RM_APRIL15"/>
      <sheetName val="TILES_FACTORY_RM_FEB15"/>
      <sheetName val="TILES__FACTORY_RM_Jan,201815"/>
      <sheetName val="TILES_FACTORY_RM_JULY_15"/>
      <sheetName val="TILES_FACTORY_RM_JUNE15"/>
      <sheetName val="TILES_FACTORY_RM_MARCH15"/>
      <sheetName val="TILES_FACTORY_RM_MAY15"/>
      <sheetName val="Category_Brands15"/>
      <sheetName val="OU_Selection15"/>
      <sheetName val="Exchange_rates15"/>
      <sheetName val="Budget_SC_Capex_CCY15"/>
      <sheetName val="PF2_SC_Capex_CCY15"/>
      <sheetName val="Front_Sheet15"/>
      <sheetName val="Exchange_Rate15"/>
      <sheetName val="OC%_Dupont_Bud15"/>
      <sheetName val="Export_Bud-_not_Mesa15"/>
      <sheetName val="Factory_Perf_Bud15"/>
      <sheetName val="Gratuity_DBase15"/>
      <sheetName val="Dbase_-_Spv15"/>
      <sheetName val="IT_Capex_13"/>
      <sheetName val="Lead_(2)13"/>
      <sheetName val="Med-Compjune_0813"/>
      <sheetName val="Headcount_Analysis_with_Cost2"/>
      <sheetName val="Gratuity_Flash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 refreshError="1"/>
      <sheetData sheetId="13" refreshError="1"/>
      <sheetData sheetId="14">
        <row r="2">
          <cell r="B2">
            <v>0</v>
          </cell>
        </row>
      </sheetData>
      <sheetData sheetId="15">
        <row r="2">
          <cell r="B2">
            <v>0</v>
          </cell>
        </row>
      </sheetData>
      <sheetData sheetId="16">
        <row r="2">
          <cell r="B2">
            <v>0</v>
          </cell>
        </row>
      </sheetData>
      <sheetData sheetId="17">
        <row r="2">
          <cell r="B2">
            <v>0</v>
          </cell>
        </row>
      </sheetData>
      <sheetData sheetId="18">
        <row r="2">
          <cell r="B2">
            <v>0</v>
          </cell>
        </row>
      </sheetData>
      <sheetData sheetId="19">
        <row r="2">
          <cell r="B2">
            <v>0</v>
          </cell>
        </row>
      </sheetData>
      <sheetData sheetId="20">
        <row r="2">
          <cell r="B2">
            <v>0</v>
          </cell>
        </row>
      </sheetData>
      <sheetData sheetId="21">
        <row r="2">
          <cell r="B2">
            <v>0</v>
          </cell>
        </row>
      </sheetData>
      <sheetData sheetId="22">
        <row r="2">
          <cell r="B2">
            <v>0</v>
          </cell>
        </row>
      </sheetData>
      <sheetData sheetId="23">
        <row r="2">
          <cell r="B2">
            <v>0</v>
          </cell>
        </row>
      </sheetData>
      <sheetData sheetId="24">
        <row r="2">
          <cell r="B2">
            <v>0</v>
          </cell>
        </row>
      </sheetData>
      <sheetData sheetId="25">
        <row r="2">
          <cell r="B2">
            <v>0</v>
          </cell>
        </row>
      </sheetData>
      <sheetData sheetId="26">
        <row r="2">
          <cell r="B2">
            <v>0</v>
          </cell>
        </row>
      </sheetData>
      <sheetData sheetId="27">
        <row r="2">
          <cell r="B2">
            <v>0</v>
          </cell>
        </row>
      </sheetData>
      <sheetData sheetId="28">
        <row r="2">
          <cell r="B2">
            <v>0</v>
          </cell>
        </row>
      </sheetData>
      <sheetData sheetId="29">
        <row r="2">
          <cell r="B2">
            <v>0</v>
          </cell>
        </row>
      </sheetData>
      <sheetData sheetId="30">
        <row r="2">
          <cell r="B2">
            <v>0</v>
          </cell>
        </row>
      </sheetData>
      <sheetData sheetId="31">
        <row r="2">
          <cell r="B2">
            <v>0</v>
          </cell>
        </row>
      </sheetData>
      <sheetData sheetId="32">
        <row r="2">
          <cell r="B2">
            <v>0</v>
          </cell>
        </row>
      </sheetData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>
        <row r="2">
          <cell r="B2">
            <v>0</v>
          </cell>
        </row>
      </sheetData>
      <sheetData sheetId="88">
        <row r="2">
          <cell r="B2">
            <v>0</v>
          </cell>
        </row>
      </sheetData>
      <sheetData sheetId="89">
        <row r="2">
          <cell r="B2">
            <v>0</v>
          </cell>
        </row>
      </sheetData>
      <sheetData sheetId="90" refreshError="1"/>
      <sheetData sheetId="91"/>
      <sheetData sheetId="92"/>
      <sheetData sheetId="93">
        <row r="2">
          <cell r="B2">
            <v>0</v>
          </cell>
        </row>
      </sheetData>
      <sheetData sheetId="94"/>
      <sheetData sheetId="95"/>
      <sheetData sheetId="96"/>
      <sheetData sheetId="97"/>
      <sheetData sheetId="98"/>
      <sheetData sheetId="99">
        <row r="2">
          <cell r="B2">
            <v>0</v>
          </cell>
        </row>
      </sheetData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2">
          <cell r="B2">
            <v>0</v>
          </cell>
        </row>
      </sheetData>
      <sheetData sheetId="111">
        <row r="2">
          <cell r="B2">
            <v>0</v>
          </cell>
        </row>
      </sheetData>
      <sheetData sheetId="112">
        <row r="2">
          <cell r="B2">
            <v>0</v>
          </cell>
        </row>
      </sheetData>
      <sheetData sheetId="113">
        <row r="2">
          <cell r="B2">
            <v>0</v>
          </cell>
        </row>
      </sheetData>
      <sheetData sheetId="114">
        <row r="2">
          <cell r="B2">
            <v>0</v>
          </cell>
        </row>
      </sheetData>
      <sheetData sheetId="115">
        <row r="2">
          <cell r="B2">
            <v>0</v>
          </cell>
        </row>
      </sheetData>
      <sheetData sheetId="116">
        <row r="2">
          <cell r="B2">
            <v>0</v>
          </cell>
        </row>
      </sheetData>
      <sheetData sheetId="117">
        <row r="2">
          <cell r="B2">
            <v>0</v>
          </cell>
        </row>
      </sheetData>
      <sheetData sheetId="118">
        <row r="2">
          <cell r="B2">
            <v>0</v>
          </cell>
        </row>
      </sheetData>
      <sheetData sheetId="119">
        <row r="2">
          <cell r="B2">
            <v>0</v>
          </cell>
        </row>
      </sheetData>
      <sheetData sheetId="120">
        <row r="2">
          <cell r="B2">
            <v>0</v>
          </cell>
        </row>
      </sheetData>
      <sheetData sheetId="121">
        <row r="2">
          <cell r="B2">
            <v>0</v>
          </cell>
        </row>
      </sheetData>
      <sheetData sheetId="122">
        <row r="2">
          <cell r="B2">
            <v>0</v>
          </cell>
        </row>
      </sheetData>
      <sheetData sheetId="123">
        <row r="2">
          <cell r="B2">
            <v>0</v>
          </cell>
        </row>
      </sheetData>
      <sheetData sheetId="124">
        <row r="2">
          <cell r="B2">
            <v>0</v>
          </cell>
        </row>
      </sheetData>
      <sheetData sheetId="125"/>
      <sheetData sheetId="126"/>
      <sheetData sheetId="127">
        <row r="2">
          <cell r="B2">
            <v>0</v>
          </cell>
        </row>
      </sheetData>
      <sheetData sheetId="128">
        <row r="2">
          <cell r="B2">
            <v>0</v>
          </cell>
        </row>
      </sheetData>
      <sheetData sheetId="129">
        <row r="2">
          <cell r="B2">
            <v>0</v>
          </cell>
        </row>
      </sheetData>
      <sheetData sheetId="130">
        <row r="2">
          <cell r="B2">
            <v>0</v>
          </cell>
        </row>
      </sheetData>
      <sheetData sheetId="131">
        <row r="2">
          <cell r="B2">
            <v>0</v>
          </cell>
        </row>
      </sheetData>
      <sheetData sheetId="132">
        <row r="2">
          <cell r="B2">
            <v>0</v>
          </cell>
        </row>
      </sheetData>
      <sheetData sheetId="133">
        <row r="2">
          <cell r="B2">
            <v>0</v>
          </cell>
        </row>
      </sheetData>
      <sheetData sheetId="134">
        <row r="2">
          <cell r="B2">
            <v>0</v>
          </cell>
        </row>
      </sheetData>
      <sheetData sheetId="135">
        <row r="2">
          <cell r="B2">
            <v>0</v>
          </cell>
        </row>
      </sheetData>
      <sheetData sheetId="136">
        <row r="2">
          <cell r="B2">
            <v>0</v>
          </cell>
        </row>
      </sheetData>
      <sheetData sheetId="137"/>
      <sheetData sheetId="138"/>
      <sheetData sheetId="139"/>
      <sheetData sheetId="140"/>
      <sheetData sheetId="141">
        <row r="2">
          <cell r="B2">
            <v>0</v>
          </cell>
        </row>
      </sheetData>
      <sheetData sheetId="142">
        <row r="2">
          <cell r="B2">
            <v>0</v>
          </cell>
        </row>
      </sheetData>
      <sheetData sheetId="143">
        <row r="2">
          <cell r="B2">
            <v>0</v>
          </cell>
        </row>
      </sheetData>
      <sheetData sheetId="144">
        <row r="2">
          <cell r="B2">
            <v>0</v>
          </cell>
        </row>
      </sheetData>
      <sheetData sheetId="145">
        <row r="2">
          <cell r="B2">
            <v>0</v>
          </cell>
        </row>
      </sheetData>
      <sheetData sheetId="146">
        <row r="2">
          <cell r="B2">
            <v>0</v>
          </cell>
        </row>
      </sheetData>
      <sheetData sheetId="147">
        <row r="2">
          <cell r="B2">
            <v>0</v>
          </cell>
        </row>
      </sheetData>
      <sheetData sheetId="148"/>
      <sheetData sheetId="149"/>
      <sheetData sheetId="150"/>
      <sheetData sheetId="151"/>
      <sheetData sheetId="152">
        <row r="2">
          <cell r="B2">
            <v>0</v>
          </cell>
        </row>
      </sheetData>
      <sheetData sheetId="153">
        <row r="2">
          <cell r="B2">
            <v>0</v>
          </cell>
        </row>
      </sheetData>
      <sheetData sheetId="154">
        <row r="2">
          <cell r="B2">
            <v>0</v>
          </cell>
        </row>
      </sheetData>
      <sheetData sheetId="155">
        <row r="2">
          <cell r="B2">
            <v>0</v>
          </cell>
        </row>
      </sheetData>
      <sheetData sheetId="156">
        <row r="2">
          <cell r="B2">
            <v>0</v>
          </cell>
        </row>
      </sheetData>
      <sheetData sheetId="157">
        <row r="2">
          <cell r="B2">
            <v>0</v>
          </cell>
        </row>
      </sheetData>
      <sheetData sheetId="158">
        <row r="2">
          <cell r="B2">
            <v>0</v>
          </cell>
        </row>
      </sheetData>
      <sheetData sheetId="159">
        <row r="2">
          <cell r="B2">
            <v>0</v>
          </cell>
        </row>
      </sheetData>
      <sheetData sheetId="160">
        <row r="2">
          <cell r="B2">
            <v>0</v>
          </cell>
        </row>
      </sheetData>
      <sheetData sheetId="161">
        <row r="2">
          <cell r="B2">
            <v>0</v>
          </cell>
        </row>
      </sheetData>
      <sheetData sheetId="162">
        <row r="2">
          <cell r="B2">
            <v>0</v>
          </cell>
        </row>
      </sheetData>
      <sheetData sheetId="163">
        <row r="2">
          <cell r="B2">
            <v>0</v>
          </cell>
        </row>
      </sheetData>
      <sheetData sheetId="164">
        <row r="2">
          <cell r="B2">
            <v>0</v>
          </cell>
        </row>
      </sheetData>
      <sheetData sheetId="165">
        <row r="2">
          <cell r="B2">
            <v>0</v>
          </cell>
        </row>
      </sheetData>
      <sheetData sheetId="166">
        <row r="2">
          <cell r="B2">
            <v>0</v>
          </cell>
        </row>
      </sheetData>
      <sheetData sheetId="167">
        <row r="2">
          <cell r="B2">
            <v>0</v>
          </cell>
        </row>
      </sheetData>
      <sheetData sheetId="168">
        <row r="2">
          <cell r="B2">
            <v>0</v>
          </cell>
        </row>
      </sheetData>
      <sheetData sheetId="169">
        <row r="2">
          <cell r="B2">
            <v>0</v>
          </cell>
        </row>
      </sheetData>
      <sheetData sheetId="170">
        <row r="2">
          <cell r="B2">
            <v>0</v>
          </cell>
        </row>
      </sheetData>
      <sheetData sheetId="171">
        <row r="2">
          <cell r="B2">
            <v>0</v>
          </cell>
        </row>
      </sheetData>
      <sheetData sheetId="172">
        <row r="2">
          <cell r="B2">
            <v>0</v>
          </cell>
        </row>
      </sheetData>
      <sheetData sheetId="173">
        <row r="2">
          <cell r="B2">
            <v>0</v>
          </cell>
        </row>
      </sheetData>
      <sheetData sheetId="174">
        <row r="2">
          <cell r="B2">
            <v>0</v>
          </cell>
        </row>
      </sheetData>
      <sheetData sheetId="175">
        <row r="2">
          <cell r="B2">
            <v>0</v>
          </cell>
        </row>
      </sheetData>
      <sheetData sheetId="176">
        <row r="2">
          <cell r="B2">
            <v>0</v>
          </cell>
        </row>
      </sheetData>
      <sheetData sheetId="177">
        <row r="2">
          <cell r="B2">
            <v>0</v>
          </cell>
        </row>
      </sheetData>
      <sheetData sheetId="178">
        <row r="2">
          <cell r="B2">
            <v>0</v>
          </cell>
        </row>
      </sheetData>
      <sheetData sheetId="179"/>
      <sheetData sheetId="180"/>
      <sheetData sheetId="181"/>
      <sheetData sheetId="182"/>
      <sheetData sheetId="183"/>
      <sheetData sheetId="184"/>
      <sheetData sheetId="185"/>
      <sheetData sheetId="186">
        <row r="2">
          <cell r="B2">
            <v>0</v>
          </cell>
        </row>
      </sheetData>
      <sheetData sheetId="187">
        <row r="2">
          <cell r="B2">
            <v>0</v>
          </cell>
        </row>
      </sheetData>
      <sheetData sheetId="188">
        <row r="2">
          <cell r="B2">
            <v>0</v>
          </cell>
        </row>
      </sheetData>
      <sheetData sheetId="189">
        <row r="2">
          <cell r="B2">
            <v>0</v>
          </cell>
        </row>
      </sheetData>
      <sheetData sheetId="190">
        <row r="2">
          <cell r="B2">
            <v>0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>
        <row r="2">
          <cell r="B2">
            <v>0</v>
          </cell>
        </row>
      </sheetData>
      <sheetData sheetId="199">
        <row r="2">
          <cell r="B2">
            <v>0</v>
          </cell>
        </row>
      </sheetData>
      <sheetData sheetId="200">
        <row r="2">
          <cell r="B2">
            <v>0</v>
          </cell>
        </row>
      </sheetData>
      <sheetData sheetId="201">
        <row r="2">
          <cell r="B2">
            <v>0</v>
          </cell>
        </row>
      </sheetData>
      <sheetData sheetId="202">
        <row r="2">
          <cell r="B2">
            <v>0</v>
          </cell>
        </row>
      </sheetData>
      <sheetData sheetId="203">
        <row r="2">
          <cell r="B2">
            <v>0</v>
          </cell>
        </row>
      </sheetData>
      <sheetData sheetId="204">
        <row r="2">
          <cell r="B2">
            <v>0</v>
          </cell>
        </row>
      </sheetData>
      <sheetData sheetId="205">
        <row r="2">
          <cell r="B2">
            <v>0</v>
          </cell>
        </row>
      </sheetData>
      <sheetData sheetId="206">
        <row r="2">
          <cell r="B2">
            <v>0</v>
          </cell>
        </row>
      </sheetData>
      <sheetData sheetId="207">
        <row r="2">
          <cell r="B2">
            <v>0</v>
          </cell>
        </row>
      </sheetData>
      <sheetData sheetId="208"/>
      <sheetData sheetId="209"/>
      <sheetData sheetId="210"/>
      <sheetData sheetId="211">
        <row r="2">
          <cell r="B2">
            <v>0</v>
          </cell>
        </row>
      </sheetData>
      <sheetData sheetId="212"/>
      <sheetData sheetId="213"/>
      <sheetData sheetId="214">
        <row r="2">
          <cell r="B2">
            <v>0</v>
          </cell>
        </row>
      </sheetData>
      <sheetData sheetId="215">
        <row r="2">
          <cell r="B2">
            <v>0</v>
          </cell>
        </row>
      </sheetData>
      <sheetData sheetId="216">
        <row r="2">
          <cell r="B2">
            <v>0</v>
          </cell>
        </row>
      </sheetData>
      <sheetData sheetId="217">
        <row r="2">
          <cell r="B2">
            <v>0</v>
          </cell>
        </row>
      </sheetData>
      <sheetData sheetId="218">
        <row r="2">
          <cell r="B2">
            <v>0</v>
          </cell>
        </row>
      </sheetData>
      <sheetData sheetId="219">
        <row r="2">
          <cell r="B2">
            <v>0</v>
          </cell>
        </row>
      </sheetData>
      <sheetData sheetId="220">
        <row r="2">
          <cell r="B2">
            <v>0</v>
          </cell>
        </row>
      </sheetData>
      <sheetData sheetId="221">
        <row r="2">
          <cell r="B2">
            <v>0</v>
          </cell>
        </row>
      </sheetData>
      <sheetData sheetId="222">
        <row r="2">
          <cell r="B2">
            <v>0</v>
          </cell>
        </row>
      </sheetData>
      <sheetData sheetId="223">
        <row r="2">
          <cell r="B2">
            <v>0</v>
          </cell>
        </row>
      </sheetData>
      <sheetData sheetId="224">
        <row r="2">
          <cell r="B2">
            <v>0</v>
          </cell>
        </row>
      </sheetData>
      <sheetData sheetId="225">
        <row r="2">
          <cell r="B2">
            <v>0</v>
          </cell>
        </row>
      </sheetData>
      <sheetData sheetId="226">
        <row r="2">
          <cell r="B2">
            <v>0</v>
          </cell>
        </row>
      </sheetData>
      <sheetData sheetId="227">
        <row r="2">
          <cell r="B2">
            <v>0</v>
          </cell>
        </row>
      </sheetData>
      <sheetData sheetId="228">
        <row r="2">
          <cell r="B2">
            <v>0</v>
          </cell>
        </row>
      </sheetData>
      <sheetData sheetId="229">
        <row r="2">
          <cell r="B2">
            <v>0</v>
          </cell>
        </row>
      </sheetData>
      <sheetData sheetId="230">
        <row r="2">
          <cell r="B2">
            <v>0</v>
          </cell>
        </row>
      </sheetData>
      <sheetData sheetId="231">
        <row r="2">
          <cell r="B2">
            <v>0</v>
          </cell>
        </row>
      </sheetData>
      <sheetData sheetId="232">
        <row r="2">
          <cell r="B2">
            <v>0</v>
          </cell>
        </row>
      </sheetData>
      <sheetData sheetId="233">
        <row r="2">
          <cell r="B2">
            <v>0</v>
          </cell>
        </row>
      </sheetData>
      <sheetData sheetId="234">
        <row r="2">
          <cell r="B2">
            <v>0</v>
          </cell>
        </row>
      </sheetData>
      <sheetData sheetId="235"/>
      <sheetData sheetId="236"/>
      <sheetData sheetId="237">
        <row r="2">
          <cell r="B2">
            <v>0</v>
          </cell>
        </row>
      </sheetData>
      <sheetData sheetId="238">
        <row r="2">
          <cell r="B2">
            <v>0</v>
          </cell>
        </row>
      </sheetData>
      <sheetData sheetId="239">
        <row r="2">
          <cell r="B2">
            <v>0</v>
          </cell>
        </row>
      </sheetData>
      <sheetData sheetId="240">
        <row r="2">
          <cell r="B2">
            <v>0</v>
          </cell>
        </row>
      </sheetData>
      <sheetData sheetId="241">
        <row r="2">
          <cell r="B2">
            <v>0</v>
          </cell>
        </row>
      </sheetData>
      <sheetData sheetId="242">
        <row r="2">
          <cell r="B2">
            <v>0</v>
          </cell>
        </row>
      </sheetData>
      <sheetData sheetId="243">
        <row r="2">
          <cell r="B2">
            <v>0</v>
          </cell>
        </row>
      </sheetData>
      <sheetData sheetId="244">
        <row r="2">
          <cell r="B2">
            <v>0</v>
          </cell>
        </row>
      </sheetData>
      <sheetData sheetId="245">
        <row r="2">
          <cell r="B2">
            <v>0</v>
          </cell>
        </row>
      </sheetData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2">
          <cell r="B2">
            <v>0</v>
          </cell>
        </row>
      </sheetData>
      <sheetData sheetId="255">
        <row r="2">
          <cell r="B2">
            <v>0</v>
          </cell>
        </row>
      </sheetData>
      <sheetData sheetId="256">
        <row r="2">
          <cell r="B2">
            <v>0</v>
          </cell>
        </row>
      </sheetData>
      <sheetData sheetId="257">
        <row r="2">
          <cell r="B2">
            <v>0</v>
          </cell>
        </row>
      </sheetData>
      <sheetData sheetId="258">
        <row r="2">
          <cell r="B2">
            <v>0</v>
          </cell>
        </row>
      </sheetData>
      <sheetData sheetId="259">
        <row r="2">
          <cell r="B2">
            <v>0</v>
          </cell>
        </row>
      </sheetData>
      <sheetData sheetId="260">
        <row r="2">
          <cell r="B2">
            <v>0</v>
          </cell>
        </row>
      </sheetData>
      <sheetData sheetId="261">
        <row r="2">
          <cell r="B2">
            <v>0</v>
          </cell>
        </row>
      </sheetData>
      <sheetData sheetId="262">
        <row r="2">
          <cell r="B2">
            <v>0</v>
          </cell>
        </row>
      </sheetData>
      <sheetData sheetId="263">
        <row r="2">
          <cell r="B2">
            <v>0</v>
          </cell>
        </row>
      </sheetData>
      <sheetData sheetId="264">
        <row r="2">
          <cell r="B2">
            <v>0</v>
          </cell>
        </row>
      </sheetData>
      <sheetData sheetId="265">
        <row r="2">
          <cell r="B2">
            <v>0</v>
          </cell>
        </row>
      </sheetData>
      <sheetData sheetId="266">
        <row r="2">
          <cell r="B2">
            <v>0</v>
          </cell>
        </row>
      </sheetData>
      <sheetData sheetId="267">
        <row r="2">
          <cell r="B2">
            <v>0</v>
          </cell>
        </row>
      </sheetData>
      <sheetData sheetId="268">
        <row r="2">
          <cell r="B2">
            <v>0</v>
          </cell>
        </row>
      </sheetData>
      <sheetData sheetId="269">
        <row r="2">
          <cell r="B2">
            <v>0</v>
          </cell>
        </row>
      </sheetData>
      <sheetData sheetId="270">
        <row r="2">
          <cell r="B2">
            <v>0</v>
          </cell>
        </row>
      </sheetData>
      <sheetData sheetId="271">
        <row r="2">
          <cell r="B2">
            <v>0</v>
          </cell>
        </row>
      </sheetData>
      <sheetData sheetId="272">
        <row r="2">
          <cell r="B2">
            <v>0</v>
          </cell>
        </row>
      </sheetData>
      <sheetData sheetId="273">
        <row r="2">
          <cell r="B2">
            <v>0</v>
          </cell>
        </row>
      </sheetData>
      <sheetData sheetId="274">
        <row r="2">
          <cell r="B2">
            <v>0</v>
          </cell>
        </row>
      </sheetData>
      <sheetData sheetId="275">
        <row r="2">
          <cell r="B2">
            <v>0</v>
          </cell>
        </row>
      </sheetData>
      <sheetData sheetId="276">
        <row r="2">
          <cell r="B2">
            <v>0</v>
          </cell>
        </row>
      </sheetData>
      <sheetData sheetId="277">
        <row r="2">
          <cell r="B2">
            <v>0</v>
          </cell>
        </row>
      </sheetData>
      <sheetData sheetId="278">
        <row r="2">
          <cell r="B2">
            <v>0</v>
          </cell>
        </row>
      </sheetData>
      <sheetData sheetId="279">
        <row r="2">
          <cell r="B2">
            <v>0</v>
          </cell>
        </row>
      </sheetData>
      <sheetData sheetId="280">
        <row r="2">
          <cell r="B2">
            <v>0</v>
          </cell>
        </row>
      </sheetData>
      <sheetData sheetId="281">
        <row r="2">
          <cell r="B2">
            <v>0</v>
          </cell>
        </row>
      </sheetData>
      <sheetData sheetId="282">
        <row r="2">
          <cell r="B2">
            <v>0</v>
          </cell>
        </row>
      </sheetData>
      <sheetData sheetId="283"/>
      <sheetData sheetId="284">
        <row r="2">
          <cell r="B2">
            <v>0</v>
          </cell>
        </row>
      </sheetData>
      <sheetData sheetId="285">
        <row r="2">
          <cell r="B2">
            <v>0</v>
          </cell>
        </row>
      </sheetData>
      <sheetData sheetId="286">
        <row r="2">
          <cell r="B2">
            <v>0</v>
          </cell>
        </row>
      </sheetData>
      <sheetData sheetId="287">
        <row r="2">
          <cell r="B2">
            <v>0</v>
          </cell>
        </row>
      </sheetData>
      <sheetData sheetId="288">
        <row r="2">
          <cell r="B2">
            <v>0</v>
          </cell>
        </row>
      </sheetData>
      <sheetData sheetId="289">
        <row r="2">
          <cell r="B2">
            <v>0</v>
          </cell>
        </row>
      </sheetData>
      <sheetData sheetId="290">
        <row r="2">
          <cell r="B2">
            <v>0</v>
          </cell>
        </row>
      </sheetData>
      <sheetData sheetId="291">
        <row r="2">
          <cell r="B2">
            <v>0</v>
          </cell>
        </row>
      </sheetData>
      <sheetData sheetId="292"/>
      <sheetData sheetId="293"/>
      <sheetData sheetId="294"/>
      <sheetData sheetId="295"/>
      <sheetData sheetId="296"/>
      <sheetData sheetId="297">
        <row r="2">
          <cell r="B2">
            <v>0</v>
          </cell>
        </row>
      </sheetData>
      <sheetData sheetId="298">
        <row r="2">
          <cell r="B2">
            <v>0</v>
          </cell>
        </row>
      </sheetData>
      <sheetData sheetId="299">
        <row r="2">
          <cell r="B2">
            <v>0</v>
          </cell>
        </row>
      </sheetData>
      <sheetData sheetId="300">
        <row r="2">
          <cell r="B2">
            <v>0</v>
          </cell>
        </row>
      </sheetData>
      <sheetData sheetId="301"/>
      <sheetData sheetId="302"/>
      <sheetData sheetId="303"/>
      <sheetData sheetId="304"/>
      <sheetData sheetId="305"/>
      <sheetData sheetId="306"/>
      <sheetData sheetId="307">
        <row r="2">
          <cell r="B2">
            <v>0</v>
          </cell>
        </row>
      </sheetData>
      <sheetData sheetId="308">
        <row r="2">
          <cell r="B2">
            <v>0</v>
          </cell>
        </row>
      </sheetData>
      <sheetData sheetId="309">
        <row r="2">
          <cell r="B2">
            <v>0</v>
          </cell>
        </row>
      </sheetData>
      <sheetData sheetId="310">
        <row r="2">
          <cell r="B2">
            <v>0</v>
          </cell>
        </row>
      </sheetData>
      <sheetData sheetId="311">
        <row r="2">
          <cell r="B2">
            <v>0</v>
          </cell>
        </row>
      </sheetData>
      <sheetData sheetId="312">
        <row r="2">
          <cell r="B2">
            <v>0</v>
          </cell>
        </row>
      </sheetData>
      <sheetData sheetId="313">
        <row r="2">
          <cell r="B2">
            <v>0</v>
          </cell>
        </row>
      </sheetData>
      <sheetData sheetId="314">
        <row r="2">
          <cell r="B2">
            <v>0</v>
          </cell>
        </row>
      </sheetData>
      <sheetData sheetId="315">
        <row r="2">
          <cell r="B2">
            <v>0</v>
          </cell>
        </row>
      </sheetData>
      <sheetData sheetId="316">
        <row r="2">
          <cell r="B2">
            <v>0</v>
          </cell>
        </row>
      </sheetData>
      <sheetData sheetId="317">
        <row r="2">
          <cell r="B2">
            <v>0</v>
          </cell>
        </row>
      </sheetData>
      <sheetData sheetId="318">
        <row r="2">
          <cell r="B2">
            <v>0</v>
          </cell>
        </row>
      </sheetData>
      <sheetData sheetId="319">
        <row r="2">
          <cell r="B2">
            <v>0</v>
          </cell>
        </row>
      </sheetData>
      <sheetData sheetId="320">
        <row r="2">
          <cell r="B2">
            <v>0</v>
          </cell>
        </row>
      </sheetData>
      <sheetData sheetId="321">
        <row r="2">
          <cell r="B2">
            <v>0</v>
          </cell>
        </row>
      </sheetData>
      <sheetData sheetId="322">
        <row r="2">
          <cell r="B2">
            <v>0</v>
          </cell>
        </row>
      </sheetData>
      <sheetData sheetId="323">
        <row r="2">
          <cell r="B2">
            <v>0</v>
          </cell>
        </row>
      </sheetData>
      <sheetData sheetId="324">
        <row r="2">
          <cell r="B2">
            <v>0</v>
          </cell>
        </row>
      </sheetData>
      <sheetData sheetId="325">
        <row r="2">
          <cell r="B2">
            <v>0</v>
          </cell>
        </row>
      </sheetData>
      <sheetData sheetId="326">
        <row r="2">
          <cell r="B2">
            <v>0</v>
          </cell>
        </row>
      </sheetData>
      <sheetData sheetId="327">
        <row r="2">
          <cell r="B2">
            <v>0</v>
          </cell>
        </row>
      </sheetData>
      <sheetData sheetId="328">
        <row r="2">
          <cell r="B2">
            <v>0</v>
          </cell>
        </row>
      </sheetData>
      <sheetData sheetId="329">
        <row r="2">
          <cell r="B2">
            <v>0</v>
          </cell>
        </row>
      </sheetData>
      <sheetData sheetId="330">
        <row r="2">
          <cell r="B2">
            <v>0</v>
          </cell>
        </row>
      </sheetData>
      <sheetData sheetId="331">
        <row r="2">
          <cell r="B2">
            <v>0</v>
          </cell>
        </row>
      </sheetData>
      <sheetData sheetId="332">
        <row r="2">
          <cell r="B2">
            <v>0</v>
          </cell>
        </row>
      </sheetData>
      <sheetData sheetId="333">
        <row r="2">
          <cell r="B2">
            <v>0</v>
          </cell>
        </row>
      </sheetData>
      <sheetData sheetId="334"/>
      <sheetData sheetId="335"/>
      <sheetData sheetId="336">
        <row r="2">
          <cell r="B2">
            <v>0</v>
          </cell>
        </row>
      </sheetData>
      <sheetData sheetId="337">
        <row r="2">
          <cell r="B2">
            <v>0</v>
          </cell>
        </row>
      </sheetData>
      <sheetData sheetId="338">
        <row r="2">
          <cell r="B2">
            <v>0</v>
          </cell>
        </row>
      </sheetData>
      <sheetData sheetId="339">
        <row r="2">
          <cell r="B2">
            <v>0</v>
          </cell>
        </row>
      </sheetData>
      <sheetData sheetId="340">
        <row r="2">
          <cell r="B2">
            <v>0</v>
          </cell>
        </row>
      </sheetData>
      <sheetData sheetId="341">
        <row r="2">
          <cell r="B2">
            <v>0</v>
          </cell>
        </row>
      </sheetData>
      <sheetData sheetId="342">
        <row r="2">
          <cell r="B2">
            <v>0</v>
          </cell>
        </row>
      </sheetData>
      <sheetData sheetId="343">
        <row r="2">
          <cell r="B2">
            <v>0</v>
          </cell>
        </row>
      </sheetData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>
        <row r="2">
          <cell r="B2">
            <v>0</v>
          </cell>
        </row>
      </sheetData>
      <sheetData sheetId="355">
        <row r="2">
          <cell r="B2">
            <v>0</v>
          </cell>
        </row>
      </sheetData>
      <sheetData sheetId="356">
        <row r="2">
          <cell r="B2">
            <v>0</v>
          </cell>
        </row>
      </sheetData>
      <sheetData sheetId="357">
        <row r="2">
          <cell r="B2">
            <v>0</v>
          </cell>
        </row>
      </sheetData>
      <sheetData sheetId="358">
        <row r="2">
          <cell r="B2">
            <v>0</v>
          </cell>
        </row>
      </sheetData>
      <sheetData sheetId="359">
        <row r="2">
          <cell r="B2">
            <v>0</v>
          </cell>
        </row>
      </sheetData>
      <sheetData sheetId="360">
        <row r="2">
          <cell r="B2">
            <v>0</v>
          </cell>
        </row>
      </sheetData>
      <sheetData sheetId="361">
        <row r="2">
          <cell r="B2">
            <v>0</v>
          </cell>
        </row>
      </sheetData>
      <sheetData sheetId="362">
        <row r="2">
          <cell r="B2">
            <v>0</v>
          </cell>
        </row>
      </sheetData>
      <sheetData sheetId="363">
        <row r="2">
          <cell r="B2">
            <v>0</v>
          </cell>
        </row>
      </sheetData>
      <sheetData sheetId="364">
        <row r="2">
          <cell r="B2">
            <v>0</v>
          </cell>
        </row>
      </sheetData>
      <sheetData sheetId="365">
        <row r="2">
          <cell r="B2">
            <v>0</v>
          </cell>
        </row>
      </sheetData>
      <sheetData sheetId="366">
        <row r="2">
          <cell r="B2">
            <v>0</v>
          </cell>
        </row>
      </sheetData>
      <sheetData sheetId="367">
        <row r="2">
          <cell r="B2">
            <v>0</v>
          </cell>
        </row>
      </sheetData>
      <sheetData sheetId="368">
        <row r="2">
          <cell r="B2">
            <v>0</v>
          </cell>
        </row>
      </sheetData>
      <sheetData sheetId="369">
        <row r="2">
          <cell r="B2">
            <v>0</v>
          </cell>
        </row>
      </sheetData>
      <sheetData sheetId="370">
        <row r="2">
          <cell r="B2">
            <v>0</v>
          </cell>
        </row>
      </sheetData>
      <sheetData sheetId="371">
        <row r="2">
          <cell r="B2">
            <v>0</v>
          </cell>
        </row>
      </sheetData>
      <sheetData sheetId="372">
        <row r="2">
          <cell r="B2">
            <v>0</v>
          </cell>
        </row>
      </sheetData>
      <sheetData sheetId="373">
        <row r="2">
          <cell r="B2">
            <v>0</v>
          </cell>
        </row>
      </sheetData>
      <sheetData sheetId="374">
        <row r="2">
          <cell r="B2">
            <v>0</v>
          </cell>
        </row>
      </sheetData>
      <sheetData sheetId="375">
        <row r="2">
          <cell r="B2">
            <v>0</v>
          </cell>
        </row>
      </sheetData>
      <sheetData sheetId="376">
        <row r="2">
          <cell r="B2">
            <v>0</v>
          </cell>
        </row>
      </sheetData>
      <sheetData sheetId="377">
        <row r="2">
          <cell r="B2">
            <v>0</v>
          </cell>
        </row>
      </sheetData>
      <sheetData sheetId="378">
        <row r="2">
          <cell r="B2">
            <v>0</v>
          </cell>
        </row>
      </sheetData>
      <sheetData sheetId="379">
        <row r="2">
          <cell r="B2">
            <v>0</v>
          </cell>
        </row>
      </sheetData>
      <sheetData sheetId="380">
        <row r="2">
          <cell r="B2">
            <v>0</v>
          </cell>
        </row>
      </sheetData>
      <sheetData sheetId="381">
        <row r="2">
          <cell r="B2">
            <v>0</v>
          </cell>
        </row>
      </sheetData>
      <sheetData sheetId="382">
        <row r="2">
          <cell r="B2">
            <v>0</v>
          </cell>
        </row>
      </sheetData>
      <sheetData sheetId="383">
        <row r="2">
          <cell r="B2">
            <v>0</v>
          </cell>
        </row>
      </sheetData>
      <sheetData sheetId="384">
        <row r="2">
          <cell r="B2">
            <v>0</v>
          </cell>
        </row>
      </sheetData>
      <sheetData sheetId="385"/>
      <sheetData sheetId="386"/>
      <sheetData sheetId="387"/>
      <sheetData sheetId="388">
        <row r="2">
          <cell r="B2">
            <v>0</v>
          </cell>
        </row>
      </sheetData>
      <sheetData sheetId="389">
        <row r="2">
          <cell r="B2">
            <v>0</v>
          </cell>
        </row>
      </sheetData>
      <sheetData sheetId="390">
        <row r="2">
          <cell r="B2">
            <v>0</v>
          </cell>
        </row>
      </sheetData>
      <sheetData sheetId="391">
        <row r="2">
          <cell r="B2">
            <v>0</v>
          </cell>
        </row>
      </sheetData>
      <sheetData sheetId="392">
        <row r="2">
          <cell r="B2">
            <v>0</v>
          </cell>
        </row>
      </sheetData>
      <sheetData sheetId="393">
        <row r="2">
          <cell r="B2">
            <v>0</v>
          </cell>
        </row>
      </sheetData>
      <sheetData sheetId="394">
        <row r="2">
          <cell r="B2">
            <v>0</v>
          </cell>
        </row>
      </sheetData>
      <sheetData sheetId="395">
        <row r="2">
          <cell r="B2">
            <v>0</v>
          </cell>
        </row>
      </sheetData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>
        <row r="2">
          <cell r="B2">
            <v>0</v>
          </cell>
        </row>
      </sheetData>
      <sheetData sheetId="406">
        <row r="2">
          <cell r="B2">
            <v>0</v>
          </cell>
        </row>
      </sheetData>
      <sheetData sheetId="407">
        <row r="2">
          <cell r="B2">
            <v>0</v>
          </cell>
        </row>
      </sheetData>
      <sheetData sheetId="408">
        <row r="2">
          <cell r="B2">
            <v>0</v>
          </cell>
        </row>
      </sheetData>
      <sheetData sheetId="409">
        <row r="2">
          <cell r="B2">
            <v>0</v>
          </cell>
        </row>
      </sheetData>
      <sheetData sheetId="410">
        <row r="2">
          <cell r="B2">
            <v>0</v>
          </cell>
        </row>
      </sheetData>
      <sheetData sheetId="411">
        <row r="2">
          <cell r="B2">
            <v>0</v>
          </cell>
        </row>
      </sheetData>
      <sheetData sheetId="412">
        <row r="2">
          <cell r="B2">
            <v>0</v>
          </cell>
        </row>
      </sheetData>
      <sheetData sheetId="413">
        <row r="2">
          <cell r="B2">
            <v>0</v>
          </cell>
        </row>
      </sheetData>
      <sheetData sheetId="414">
        <row r="2">
          <cell r="B2">
            <v>0</v>
          </cell>
        </row>
      </sheetData>
      <sheetData sheetId="415">
        <row r="2">
          <cell r="B2">
            <v>0</v>
          </cell>
        </row>
      </sheetData>
      <sheetData sheetId="416">
        <row r="2">
          <cell r="B2">
            <v>0</v>
          </cell>
        </row>
      </sheetData>
      <sheetData sheetId="417">
        <row r="2">
          <cell r="B2">
            <v>0</v>
          </cell>
        </row>
      </sheetData>
      <sheetData sheetId="418">
        <row r="2">
          <cell r="B2">
            <v>0</v>
          </cell>
        </row>
      </sheetData>
      <sheetData sheetId="419">
        <row r="2">
          <cell r="B2">
            <v>0</v>
          </cell>
        </row>
      </sheetData>
      <sheetData sheetId="420">
        <row r="2">
          <cell r="B2">
            <v>0</v>
          </cell>
        </row>
      </sheetData>
      <sheetData sheetId="421">
        <row r="2">
          <cell r="B2">
            <v>0</v>
          </cell>
        </row>
      </sheetData>
      <sheetData sheetId="422">
        <row r="2">
          <cell r="B2">
            <v>0</v>
          </cell>
        </row>
      </sheetData>
      <sheetData sheetId="423">
        <row r="2">
          <cell r="B2">
            <v>0</v>
          </cell>
        </row>
      </sheetData>
      <sheetData sheetId="424">
        <row r="2">
          <cell r="B2">
            <v>0</v>
          </cell>
        </row>
      </sheetData>
      <sheetData sheetId="425">
        <row r="2">
          <cell r="B2">
            <v>0</v>
          </cell>
        </row>
      </sheetData>
      <sheetData sheetId="426">
        <row r="2">
          <cell r="B2">
            <v>0</v>
          </cell>
        </row>
      </sheetData>
      <sheetData sheetId="427">
        <row r="2">
          <cell r="B2">
            <v>0</v>
          </cell>
        </row>
      </sheetData>
      <sheetData sheetId="428">
        <row r="2">
          <cell r="B2">
            <v>0</v>
          </cell>
        </row>
      </sheetData>
      <sheetData sheetId="429">
        <row r="2">
          <cell r="B2">
            <v>0</v>
          </cell>
        </row>
      </sheetData>
      <sheetData sheetId="430">
        <row r="2">
          <cell r="B2">
            <v>0</v>
          </cell>
        </row>
      </sheetData>
      <sheetData sheetId="431">
        <row r="2">
          <cell r="B2">
            <v>0</v>
          </cell>
        </row>
      </sheetData>
      <sheetData sheetId="432">
        <row r="2">
          <cell r="B2">
            <v>0</v>
          </cell>
        </row>
      </sheetData>
      <sheetData sheetId="433">
        <row r="2">
          <cell r="B2">
            <v>0</v>
          </cell>
        </row>
      </sheetData>
      <sheetData sheetId="434">
        <row r="2">
          <cell r="B2">
            <v>0</v>
          </cell>
        </row>
      </sheetData>
      <sheetData sheetId="435">
        <row r="2">
          <cell r="B2">
            <v>0</v>
          </cell>
        </row>
      </sheetData>
      <sheetData sheetId="436">
        <row r="2">
          <cell r="B2">
            <v>0</v>
          </cell>
        </row>
      </sheetData>
      <sheetData sheetId="437">
        <row r="2">
          <cell r="B2">
            <v>0</v>
          </cell>
        </row>
      </sheetData>
      <sheetData sheetId="438">
        <row r="2">
          <cell r="B2">
            <v>0</v>
          </cell>
        </row>
      </sheetData>
      <sheetData sheetId="439"/>
      <sheetData sheetId="440">
        <row r="2">
          <cell r="B2">
            <v>0</v>
          </cell>
        </row>
      </sheetData>
      <sheetData sheetId="441">
        <row r="2">
          <cell r="B2">
            <v>0</v>
          </cell>
        </row>
      </sheetData>
      <sheetData sheetId="442">
        <row r="2">
          <cell r="B2">
            <v>0</v>
          </cell>
        </row>
      </sheetData>
      <sheetData sheetId="443">
        <row r="2">
          <cell r="B2">
            <v>0</v>
          </cell>
        </row>
      </sheetData>
      <sheetData sheetId="444"/>
      <sheetData sheetId="445"/>
      <sheetData sheetId="446"/>
      <sheetData sheetId="447"/>
      <sheetData sheetId="448"/>
      <sheetData sheetId="449"/>
      <sheetData sheetId="450"/>
      <sheetData sheetId="451">
        <row r="2">
          <cell r="B2">
            <v>0</v>
          </cell>
        </row>
      </sheetData>
      <sheetData sheetId="452">
        <row r="2">
          <cell r="B2">
            <v>0</v>
          </cell>
        </row>
      </sheetData>
      <sheetData sheetId="453">
        <row r="2">
          <cell r="B2">
            <v>0</v>
          </cell>
        </row>
      </sheetData>
      <sheetData sheetId="454">
        <row r="2">
          <cell r="B2">
            <v>0</v>
          </cell>
        </row>
      </sheetData>
      <sheetData sheetId="455"/>
      <sheetData sheetId="456"/>
      <sheetData sheetId="457"/>
      <sheetData sheetId="458"/>
      <sheetData sheetId="459">
        <row r="2">
          <cell r="B2">
            <v>0</v>
          </cell>
        </row>
      </sheetData>
      <sheetData sheetId="460">
        <row r="2">
          <cell r="B2">
            <v>0</v>
          </cell>
        </row>
      </sheetData>
      <sheetData sheetId="461">
        <row r="2">
          <cell r="B2">
            <v>0</v>
          </cell>
        </row>
      </sheetData>
      <sheetData sheetId="462">
        <row r="2">
          <cell r="B2">
            <v>0</v>
          </cell>
        </row>
      </sheetData>
      <sheetData sheetId="463">
        <row r="2">
          <cell r="B2">
            <v>0</v>
          </cell>
        </row>
      </sheetData>
      <sheetData sheetId="464">
        <row r="2">
          <cell r="B2">
            <v>0</v>
          </cell>
        </row>
      </sheetData>
      <sheetData sheetId="465">
        <row r="2">
          <cell r="B2">
            <v>0</v>
          </cell>
        </row>
      </sheetData>
      <sheetData sheetId="466">
        <row r="2">
          <cell r="B2">
            <v>0</v>
          </cell>
        </row>
      </sheetData>
      <sheetData sheetId="467">
        <row r="2">
          <cell r="B2">
            <v>0</v>
          </cell>
        </row>
      </sheetData>
      <sheetData sheetId="468">
        <row r="2">
          <cell r="B2">
            <v>0</v>
          </cell>
        </row>
      </sheetData>
      <sheetData sheetId="469">
        <row r="2">
          <cell r="B2">
            <v>0</v>
          </cell>
        </row>
      </sheetData>
      <sheetData sheetId="470">
        <row r="2">
          <cell r="B2">
            <v>0</v>
          </cell>
        </row>
      </sheetData>
      <sheetData sheetId="471">
        <row r="2">
          <cell r="B2">
            <v>0</v>
          </cell>
        </row>
      </sheetData>
      <sheetData sheetId="472">
        <row r="2">
          <cell r="B2">
            <v>0</v>
          </cell>
        </row>
      </sheetData>
      <sheetData sheetId="473">
        <row r="2">
          <cell r="B2">
            <v>0</v>
          </cell>
        </row>
      </sheetData>
      <sheetData sheetId="474">
        <row r="2">
          <cell r="B2">
            <v>0</v>
          </cell>
        </row>
      </sheetData>
      <sheetData sheetId="475">
        <row r="2">
          <cell r="B2">
            <v>0</v>
          </cell>
        </row>
      </sheetData>
      <sheetData sheetId="476">
        <row r="2">
          <cell r="B2">
            <v>0</v>
          </cell>
        </row>
      </sheetData>
      <sheetData sheetId="477">
        <row r="2">
          <cell r="B2">
            <v>0</v>
          </cell>
        </row>
      </sheetData>
      <sheetData sheetId="478">
        <row r="2">
          <cell r="B2">
            <v>0</v>
          </cell>
        </row>
      </sheetData>
      <sheetData sheetId="479">
        <row r="2">
          <cell r="B2">
            <v>0</v>
          </cell>
        </row>
      </sheetData>
      <sheetData sheetId="480">
        <row r="2">
          <cell r="B2">
            <v>0</v>
          </cell>
        </row>
      </sheetData>
      <sheetData sheetId="481">
        <row r="2">
          <cell r="B2">
            <v>0</v>
          </cell>
        </row>
      </sheetData>
      <sheetData sheetId="482">
        <row r="2">
          <cell r="B2">
            <v>0</v>
          </cell>
        </row>
      </sheetData>
      <sheetData sheetId="483">
        <row r="2">
          <cell r="B2">
            <v>0</v>
          </cell>
        </row>
      </sheetData>
      <sheetData sheetId="484" refreshError="1"/>
      <sheetData sheetId="485" refreshError="1"/>
      <sheetData sheetId="486" refreshError="1"/>
      <sheetData sheetId="487" refreshError="1"/>
      <sheetData sheetId="488">
        <row r="2">
          <cell r="B2">
            <v>0</v>
          </cell>
        </row>
      </sheetData>
      <sheetData sheetId="489">
        <row r="2">
          <cell r="B2">
            <v>0</v>
          </cell>
        </row>
      </sheetData>
      <sheetData sheetId="490">
        <row r="2">
          <cell r="B2">
            <v>0</v>
          </cell>
        </row>
      </sheetData>
      <sheetData sheetId="491">
        <row r="2">
          <cell r="B2">
            <v>0</v>
          </cell>
        </row>
      </sheetData>
      <sheetData sheetId="492">
        <row r="2">
          <cell r="B2">
            <v>0</v>
          </cell>
        </row>
      </sheetData>
      <sheetData sheetId="493">
        <row r="2">
          <cell r="B2">
            <v>0</v>
          </cell>
        </row>
      </sheetData>
      <sheetData sheetId="494">
        <row r="2">
          <cell r="B2">
            <v>0</v>
          </cell>
        </row>
      </sheetData>
      <sheetData sheetId="495">
        <row r="2">
          <cell r="B2">
            <v>0</v>
          </cell>
        </row>
      </sheetData>
      <sheetData sheetId="496">
        <row r="2">
          <cell r="B2">
            <v>0</v>
          </cell>
        </row>
      </sheetData>
      <sheetData sheetId="497">
        <row r="2">
          <cell r="B2">
            <v>0</v>
          </cell>
        </row>
      </sheetData>
      <sheetData sheetId="498">
        <row r="2">
          <cell r="B2">
            <v>0</v>
          </cell>
        </row>
      </sheetData>
      <sheetData sheetId="499">
        <row r="2">
          <cell r="B2">
            <v>0</v>
          </cell>
        </row>
      </sheetData>
      <sheetData sheetId="500">
        <row r="2">
          <cell r="B2">
            <v>0</v>
          </cell>
        </row>
      </sheetData>
      <sheetData sheetId="501">
        <row r="2">
          <cell r="B2">
            <v>0</v>
          </cell>
        </row>
      </sheetData>
      <sheetData sheetId="502"/>
      <sheetData sheetId="503"/>
      <sheetData sheetId="504"/>
      <sheetData sheetId="505"/>
      <sheetData sheetId="506"/>
      <sheetData sheetId="507">
        <row r="2">
          <cell r="B2">
            <v>0</v>
          </cell>
        </row>
      </sheetData>
      <sheetData sheetId="508">
        <row r="2">
          <cell r="B2">
            <v>0</v>
          </cell>
        </row>
      </sheetData>
      <sheetData sheetId="509">
        <row r="2">
          <cell r="B2">
            <v>0</v>
          </cell>
        </row>
      </sheetData>
      <sheetData sheetId="510">
        <row r="2">
          <cell r="B2">
            <v>0</v>
          </cell>
        </row>
      </sheetData>
      <sheetData sheetId="511">
        <row r="2">
          <cell r="B2">
            <v>0</v>
          </cell>
        </row>
      </sheetData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>
        <row r="2">
          <cell r="B2">
            <v>0</v>
          </cell>
        </row>
      </sheetData>
      <sheetData sheetId="523"/>
      <sheetData sheetId="524"/>
      <sheetData sheetId="525">
        <row r="2">
          <cell r="B2">
            <v>0</v>
          </cell>
        </row>
      </sheetData>
      <sheetData sheetId="526">
        <row r="2">
          <cell r="B2">
            <v>0</v>
          </cell>
        </row>
      </sheetData>
      <sheetData sheetId="527">
        <row r="2">
          <cell r="B2">
            <v>0</v>
          </cell>
        </row>
      </sheetData>
      <sheetData sheetId="528">
        <row r="2">
          <cell r="B2">
            <v>0</v>
          </cell>
        </row>
      </sheetData>
      <sheetData sheetId="529">
        <row r="2">
          <cell r="B2">
            <v>0</v>
          </cell>
        </row>
      </sheetData>
      <sheetData sheetId="530"/>
      <sheetData sheetId="531"/>
      <sheetData sheetId="532"/>
      <sheetData sheetId="533">
        <row r="2">
          <cell r="B2">
            <v>0</v>
          </cell>
        </row>
      </sheetData>
      <sheetData sheetId="534"/>
      <sheetData sheetId="535">
        <row r="2">
          <cell r="B2">
            <v>0</v>
          </cell>
        </row>
      </sheetData>
      <sheetData sheetId="536">
        <row r="2">
          <cell r="B2">
            <v>0</v>
          </cell>
        </row>
      </sheetData>
      <sheetData sheetId="537">
        <row r="2">
          <cell r="B2">
            <v>0</v>
          </cell>
        </row>
      </sheetData>
      <sheetData sheetId="538">
        <row r="2">
          <cell r="B2">
            <v>0</v>
          </cell>
        </row>
      </sheetData>
      <sheetData sheetId="539"/>
      <sheetData sheetId="540">
        <row r="2">
          <cell r="B2">
            <v>0</v>
          </cell>
        </row>
      </sheetData>
      <sheetData sheetId="541">
        <row r="2">
          <cell r="B2">
            <v>0</v>
          </cell>
        </row>
      </sheetData>
      <sheetData sheetId="542"/>
      <sheetData sheetId="543"/>
      <sheetData sheetId="544" refreshError="1"/>
      <sheetData sheetId="545"/>
      <sheetData sheetId="546" refreshError="1"/>
      <sheetData sheetId="547" refreshError="1"/>
      <sheetData sheetId="548" refreshError="1"/>
      <sheetData sheetId="549"/>
      <sheetData sheetId="550"/>
      <sheetData sheetId="551"/>
      <sheetData sheetId="552">
        <row r="2">
          <cell r="B2">
            <v>0</v>
          </cell>
        </row>
      </sheetData>
      <sheetData sheetId="553">
        <row r="2">
          <cell r="B2">
            <v>0</v>
          </cell>
        </row>
      </sheetData>
      <sheetData sheetId="554">
        <row r="2">
          <cell r="B2">
            <v>0</v>
          </cell>
        </row>
      </sheetData>
      <sheetData sheetId="555">
        <row r="2">
          <cell r="B2">
            <v>0</v>
          </cell>
        </row>
      </sheetData>
      <sheetData sheetId="556">
        <row r="2">
          <cell r="B2">
            <v>0</v>
          </cell>
        </row>
      </sheetData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>
        <row r="2">
          <cell r="B2">
            <v>0</v>
          </cell>
        </row>
      </sheetData>
      <sheetData sheetId="622">
        <row r="2">
          <cell r="B2">
            <v>0</v>
          </cell>
        </row>
      </sheetData>
      <sheetData sheetId="623">
        <row r="2">
          <cell r="B2">
            <v>0</v>
          </cell>
        </row>
      </sheetData>
      <sheetData sheetId="624">
        <row r="2">
          <cell r="B2">
            <v>0</v>
          </cell>
        </row>
      </sheetData>
      <sheetData sheetId="625">
        <row r="2">
          <cell r="B2">
            <v>0</v>
          </cell>
        </row>
      </sheetData>
      <sheetData sheetId="626">
        <row r="2">
          <cell r="B2">
            <v>0</v>
          </cell>
        </row>
      </sheetData>
      <sheetData sheetId="627">
        <row r="2">
          <cell r="B2">
            <v>0</v>
          </cell>
        </row>
      </sheetData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>
        <row r="2">
          <cell r="B2">
            <v>0</v>
          </cell>
        </row>
      </sheetData>
      <sheetData sheetId="639">
        <row r="2">
          <cell r="B2">
            <v>0</v>
          </cell>
        </row>
      </sheetData>
      <sheetData sheetId="640">
        <row r="2">
          <cell r="B2">
            <v>0</v>
          </cell>
        </row>
      </sheetData>
      <sheetData sheetId="641">
        <row r="2">
          <cell r="B2">
            <v>0</v>
          </cell>
        </row>
      </sheetData>
      <sheetData sheetId="642">
        <row r="2">
          <cell r="B2">
            <v>0</v>
          </cell>
        </row>
      </sheetData>
      <sheetData sheetId="643">
        <row r="2">
          <cell r="B2">
            <v>0</v>
          </cell>
        </row>
      </sheetData>
      <sheetData sheetId="644">
        <row r="2">
          <cell r="B2">
            <v>0</v>
          </cell>
        </row>
      </sheetData>
      <sheetData sheetId="645">
        <row r="2">
          <cell r="B2">
            <v>0</v>
          </cell>
        </row>
      </sheetData>
      <sheetData sheetId="646">
        <row r="2">
          <cell r="B2">
            <v>0</v>
          </cell>
        </row>
      </sheetData>
      <sheetData sheetId="647">
        <row r="2">
          <cell r="B2">
            <v>0</v>
          </cell>
        </row>
      </sheetData>
      <sheetData sheetId="648">
        <row r="2">
          <cell r="B2">
            <v>0</v>
          </cell>
        </row>
      </sheetData>
      <sheetData sheetId="649">
        <row r="2">
          <cell r="B2">
            <v>0</v>
          </cell>
        </row>
      </sheetData>
      <sheetData sheetId="650">
        <row r="2">
          <cell r="B2">
            <v>0</v>
          </cell>
        </row>
      </sheetData>
      <sheetData sheetId="651">
        <row r="2">
          <cell r="B2">
            <v>0</v>
          </cell>
        </row>
      </sheetData>
      <sheetData sheetId="652"/>
      <sheetData sheetId="653"/>
      <sheetData sheetId="654">
        <row r="2">
          <cell r="B2">
            <v>0</v>
          </cell>
        </row>
      </sheetData>
      <sheetData sheetId="655">
        <row r="2">
          <cell r="B2">
            <v>0</v>
          </cell>
        </row>
      </sheetData>
      <sheetData sheetId="656">
        <row r="2">
          <cell r="B2">
            <v>0</v>
          </cell>
        </row>
      </sheetData>
      <sheetData sheetId="657">
        <row r="2">
          <cell r="B2">
            <v>0</v>
          </cell>
        </row>
      </sheetData>
      <sheetData sheetId="658">
        <row r="2">
          <cell r="B2">
            <v>0</v>
          </cell>
        </row>
      </sheetData>
      <sheetData sheetId="659">
        <row r="2">
          <cell r="B2">
            <v>0</v>
          </cell>
        </row>
      </sheetData>
      <sheetData sheetId="660">
        <row r="2">
          <cell r="B2">
            <v>0</v>
          </cell>
        </row>
      </sheetData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>
        <row r="2">
          <cell r="B2">
            <v>0</v>
          </cell>
        </row>
      </sheetData>
      <sheetData sheetId="684">
        <row r="2">
          <cell r="B2">
            <v>0</v>
          </cell>
        </row>
      </sheetData>
      <sheetData sheetId="685"/>
      <sheetData sheetId="686"/>
      <sheetData sheetId="687"/>
      <sheetData sheetId="688"/>
      <sheetData sheetId="689">
        <row r="2">
          <cell r="B2">
            <v>0</v>
          </cell>
        </row>
      </sheetData>
      <sheetData sheetId="690">
        <row r="2">
          <cell r="B2">
            <v>0</v>
          </cell>
        </row>
      </sheetData>
      <sheetData sheetId="691">
        <row r="2">
          <cell r="B2">
            <v>0</v>
          </cell>
        </row>
      </sheetData>
      <sheetData sheetId="692">
        <row r="2">
          <cell r="B2">
            <v>0</v>
          </cell>
        </row>
      </sheetData>
      <sheetData sheetId="693">
        <row r="2">
          <cell r="B2">
            <v>0</v>
          </cell>
        </row>
      </sheetData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 refreshError="1"/>
      <sheetData sheetId="720" refreshError="1"/>
      <sheetData sheetId="721">
        <row r="2">
          <cell r="B2">
            <v>0</v>
          </cell>
        </row>
      </sheetData>
      <sheetData sheetId="722">
        <row r="2">
          <cell r="B2">
            <v>0</v>
          </cell>
        </row>
      </sheetData>
      <sheetData sheetId="723">
        <row r="2">
          <cell r="B2">
            <v>0</v>
          </cell>
        </row>
      </sheetData>
      <sheetData sheetId="724">
        <row r="2">
          <cell r="B2">
            <v>0</v>
          </cell>
        </row>
      </sheetData>
      <sheetData sheetId="725">
        <row r="2">
          <cell r="B2">
            <v>0</v>
          </cell>
        </row>
      </sheetData>
      <sheetData sheetId="726">
        <row r="2">
          <cell r="B2">
            <v>0</v>
          </cell>
        </row>
      </sheetData>
      <sheetData sheetId="727">
        <row r="2">
          <cell r="B2">
            <v>0</v>
          </cell>
        </row>
      </sheetData>
      <sheetData sheetId="728">
        <row r="2">
          <cell r="B2">
            <v>0</v>
          </cell>
        </row>
      </sheetData>
      <sheetData sheetId="729">
        <row r="2">
          <cell r="B2">
            <v>0</v>
          </cell>
        </row>
      </sheetData>
      <sheetData sheetId="730">
        <row r="2">
          <cell r="B2">
            <v>0</v>
          </cell>
        </row>
      </sheetData>
      <sheetData sheetId="731">
        <row r="2">
          <cell r="B2">
            <v>0</v>
          </cell>
        </row>
      </sheetData>
      <sheetData sheetId="732">
        <row r="2">
          <cell r="B2">
            <v>0</v>
          </cell>
        </row>
      </sheetData>
      <sheetData sheetId="733">
        <row r="2">
          <cell r="B2">
            <v>0</v>
          </cell>
        </row>
      </sheetData>
      <sheetData sheetId="734"/>
      <sheetData sheetId="735"/>
      <sheetData sheetId="736"/>
      <sheetData sheetId="737"/>
      <sheetData sheetId="738">
        <row r="2">
          <cell r="B2">
            <v>0</v>
          </cell>
        </row>
      </sheetData>
      <sheetData sheetId="739">
        <row r="2">
          <cell r="B2">
            <v>0</v>
          </cell>
        </row>
      </sheetData>
      <sheetData sheetId="740">
        <row r="2">
          <cell r="B2">
            <v>0</v>
          </cell>
        </row>
      </sheetData>
      <sheetData sheetId="741">
        <row r="2">
          <cell r="B2">
            <v>0</v>
          </cell>
        </row>
      </sheetData>
      <sheetData sheetId="742">
        <row r="2">
          <cell r="B2">
            <v>0</v>
          </cell>
        </row>
      </sheetData>
      <sheetData sheetId="743">
        <row r="2">
          <cell r="B2">
            <v>0</v>
          </cell>
        </row>
      </sheetData>
      <sheetData sheetId="744">
        <row r="2">
          <cell r="B2">
            <v>0</v>
          </cell>
        </row>
      </sheetData>
      <sheetData sheetId="745">
        <row r="2">
          <cell r="B2">
            <v>0</v>
          </cell>
        </row>
      </sheetData>
      <sheetData sheetId="746">
        <row r="2">
          <cell r="B2">
            <v>0</v>
          </cell>
        </row>
      </sheetData>
      <sheetData sheetId="747">
        <row r="2">
          <cell r="B2">
            <v>0</v>
          </cell>
        </row>
      </sheetData>
      <sheetData sheetId="748">
        <row r="2">
          <cell r="B2">
            <v>0</v>
          </cell>
        </row>
      </sheetData>
      <sheetData sheetId="749"/>
      <sheetData sheetId="750"/>
      <sheetData sheetId="751">
        <row r="2">
          <cell r="B2">
            <v>0</v>
          </cell>
        </row>
      </sheetData>
      <sheetData sheetId="752">
        <row r="2">
          <cell r="B2">
            <v>0</v>
          </cell>
        </row>
      </sheetData>
      <sheetData sheetId="753">
        <row r="2">
          <cell r="B2">
            <v>0</v>
          </cell>
        </row>
      </sheetData>
      <sheetData sheetId="754">
        <row r="2">
          <cell r="B2">
            <v>0</v>
          </cell>
        </row>
      </sheetData>
      <sheetData sheetId="755">
        <row r="2">
          <cell r="B2">
            <v>0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>
        <row r="2">
          <cell r="B2">
            <v>0</v>
          </cell>
        </row>
      </sheetData>
      <sheetData sheetId="772">
        <row r="2">
          <cell r="B2">
            <v>0</v>
          </cell>
        </row>
      </sheetData>
      <sheetData sheetId="773"/>
      <sheetData sheetId="774"/>
      <sheetData sheetId="775"/>
      <sheetData sheetId="776"/>
      <sheetData sheetId="777">
        <row r="2">
          <cell r="B2">
            <v>0</v>
          </cell>
        </row>
      </sheetData>
      <sheetData sheetId="778">
        <row r="2">
          <cell r="B2">
            <v>0</v>
          </cell>
        </row>
      </sheetData>
      <sheetData sheetId="779">
        <row r="2">
          <cell r="B2">
            <v>0</v>
          </cell>
        </row>
      </sheetData>
      <sheetData sheetId="780">
        <row r="2">
          <cell r="B2">
            <v>0</v>
          </cell>
        </row>
      </sheetData>
      <sheetData sheetId="781">
        <row r="2">
          <cell r="B2">
            <v>0</v>
          </cell>
        </row>
      </sheetData>
      <sheetData sheetId="782">
        <row r="2">
          <cell r="B2">
            <v>0</v>
          </cell>
        </row>
      </sheetData>
      <sheetData sheetId="783">
        <row r="2">
          <cell r="B2">
            <v>0</v>
          </cell>
        </row>
      </sheetData>
      <sheetData sheetId="784">
        <row r="2">
          <cell r="B2">
            <v>0</v>
          </cell>
        </row>
      </sheetData>
      <sheetData sheetId="785">
        <row r="2">
          <cell r="B2">
            <v>0</v>
          </cell>
        </row>
      </sheetData>
      <sheetData sheetId="786">
        <row r="2">
          <cell r="B2">
            <v>0</v>
          </cell>
        </row>
      </sheetData>
      <sheetData sheetId="787">
        <row r="2">
          <cell r="B2">
            <v>0</v>
          </cell>
        </row>
      </sheetData>
      <sheetData sheetId="788">
        <row r="2">
          <cell r="B2">
            <v>0</v>
          </cell>
        </row>
      </sheetData>
      <sheetData sheetId="789">
        <row r="2">
          <cell r="B2">
            <v>0</v>
          </cell>
        </row>
      </sheetData>
      <sheetData sheetId="790">
        <row r="2">
          <cell r="B2">
            <v>0</v>
          </cell>
        </row>
      </sheetData>
      <sheetData sheetId="791">
        <row r="2">
          <cell r="B2">
            <v>0</v>
          </cell>
        </row>
      </sheetData>
      <sheetData sheetId="792">
        <row r="2">
          <cell r="B2">
            <v>0</v>
          </cell>
        </row>
      </sheetData>
      <sheetData sheetId="793"/>
      <sheetData sheetId="794"/>
      <sheetData sheetId="795">
        <row r="2">
          <cell r="B2">
            <v>0</v>
          </cell>
        </row>
      </sheetData>
      <sheetData sheetId="796">
        <row r="2">
          <cell r="B2">
            <v>0</v>
          </cell>
        </row>
      </sheetData>
      <sheetData sheetId="797">
        <row r="2">
          <cell r="B2">
            <v>0</v>
          </cell>
        </row>
      </sheetData>
      <sheetData sheetId="798">
        <row r="2">
          <cell r="B2">
            <v>0</v>
          </cell>
        </row>
      </sheetData>
      <sheetData sheetId="799">
        <row r="2">
          <cell r="B2">
            <v>0</v>
          </cell>
        </row>
      </sheetData>
      <sheetData sheetId="800">
        <row r="2">
          <cell r="B2">
            <v>0</v>
          </cell>
        </row>
      </sheetData>
      <sheetData sheetId="801">
        <row r="2">
          <cell r="B2">
            <v>0</v>
          </cell>
        </row>
      </sheetData>
      <sheetData sheetId="802">
        <row r="2">
          <cell r="B2">
            <v>0</v>
          </cell>
        </row>
      </sheetData>
      <sheetData sheetId="803"/>
      <sheetData sheetId="804"/>
      <sheetData sheetId="805">
        <row r="2">
          <cell r="B2">
            <v>0</v>
          </cell>
        </row>
      </sheetData>
      <sheetData sheetId="806">
        <row r="2">
          <cell r="B2">
            <v>0</v>
          </cell>
        </row>
      </sheetData>
      <sheetData sheetId="807">
        <row r="2">
          <cell r="B2">
            <v>0</v>
          </cell>
        </row>
      </sheetData>
      <sheetData sheetId="808">
        <row r="2">
          <cell r="B2">
            <v>0</v>
          </cell>
        </row>
      </sheetData>
      <sheetData sheetId="809">
        <row r="2">
          <cell r="B2">
            <v>0</v>
          </cell>
        </row>
      </sheetData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>
        <row r="2">
          <cell r="B2">
            <v>0</v>
          </cell>
        </row>
      </sheetData>
      <sheetData sheetId="832">
        <row r="2">
          <cell r="B2">
            <v>0</v>
          </cell>
        </row>
      </sheetData>
      <sheetData sheetId="833">
        <row r="2">
          <cell r="B2">
            <v>0</v>
          </cell>
        </row>
      </sheetData>
      <sheetData sheetId="834">
        <row r="2">
          <cell r="B2">
            <v>0</v>
          </cell>
        </row>
      </sheetData>
      <sheetData sheetId="835">
        <row r="2">
          <cell r="B2">
            <v>0</v>
          </cell>
        </row>
      </sheetData>
      <sheetData sheetId="836">
        <row r="2">
          <cell r="B2">
            <v>0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>
        <row r="2">
          <cell r="B2">
            <v>0</v>
          </cell>
        </row>
      </sheetData>
      <sheetData sheetId="846">
        <row r="2">
          <cell r="B2">
            <v>0</v>
          </cell>
        </row>
      </sheetData>
      <sheetData sheetId="847">
        <row r="2">
          <cell r="B2">
            <v>0</v>
          </cell>
        </row>
      </sheetData>
      <sheetData sheetId="848">
        <row r="2">
          <cell r="B2">
            <v>0</v>
          </cell>
        </row>
      </sheetData>
      <sheetData sheetId="849">
        <row r="2">
          <cell r="B2">
            <v>0</v>
          </cell>
        </row>
      </sheetData>
      <sheetData sheetId="850">
        <row r="2">
          <cell r="B2">
            <v>0</v>
          </cell>
        </row>
      </sheetData>
      <sheetData sheetId="851">
        <row r="2">
          <cell r="B2">
            <v>0</v>
          </cell>
        </row>
      </sheetData>
      <sheetData sheetId="852">
        <row r="2">
          <cell r="B2">
            <v>0</v>
          </cell>
        </row>
      </sheetData>
      <sheetData sheetId="853">
        <row r="2">
          <cell r="B2">
            <v>0</v>
          </cell>
        </row>
      </sheetData>
      <sheetData sheetId="854">
        <row r="2">
          <cell r="B2">
            <v>0</v>
          </cell>
        </row>
      </sheetData>
      <sheetData sheetId="855">
        <row r="2">
          <cell r="B2">
            <v>0</v>
          </cell>
        </row>
      </sheetData>
      <sheetData sheetId="856">
        <row r="2">
          <cell r="B2">
            <v>0</v>
          </cell>
        </row>
      </sheetData>
      <sheetData sheetId="857">
        <row r="2">
          <cell r="B2">
            <v>0</v>
          </cell>
        </row>
      </sheetData>
      <sheetData sheetId="858">
        <row r="2">
          <cell r="B2">
            <v>0</v>
          </cell>
        </row>
      </sheetData>
      <sheetData sheetId="859">
        <row r="2">
          <cell r="B2">
            <v>0</v>
          </cell>
        </row>
      </sheetData>
      <sheetData sheetId="860">
        <row r="2">
          <cell r="B2">
            <v>0</v>
          </cell>
        </row>
      </sheetData>
      <sheetData sheetId="861">
        <row r="2">
          <cell r="B2">
            <v>0</v>
          </cell>
        </row>
      </sheetData>
      <sheetData sheetId="862">
        <row r="2">
          <cell r="B2">
            <v>0</v>
          </cell>
        </row>
      </sheetData>
      <sheetData sheetId="863">
        <row r="2">
          <cell r="B2">
            <v>0</v>
          </cell>
        </row>
      </sheetData>
      <sheetData sheetId="864">
        <row r="2">
          <cell r="B2">
            <v>0</v>
          </cell>
        </row>
      </sheetData>
      <sheetData sheetId="865">
        <row r="2">
          <cell r="B2">
            <v>0</v>
          </cell>
        </row>
      </sheetData>
      <sheetData sheetId="866">
        <row r="2">
          <cell r="B2">
            <v>0</v>
          </cell>
        </row>
      </sheetData>
      <sheetData sheetId="867">
        <row r="2">
          <cell r="B2">
            <v>0</v>
          </cell>
        </row>
      </sheetData>
      <sheetData sheetId="868">
        <row r="2">
          <cell r="B2">
            <v>0</v>
          </cell>
        </row>
      </sheetData>
      <sheetData sheetId="869">
        <row r="2">
          <cell r="B2">
            <v>0</v>
          </cell>
        </row>
      </sheetData>
      <sheetData sheetId="870">
        <row r="2">
          <cell r="B2">
            <v>0</v>
          </cell>
        </row>
      </sheetData>
      <sheetData sheetId="871">
        <row r="2">
          <cell r="B2">
            <v>0</v>
          </cell>
        </row>
      </sheetData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>
        <row r="2">
          <cell r="B2">
            <v>0</v>
          </cell>
        </row>
      </sheetData>
      <sheetData sheetId="898">
        <row r="2">
          <cell r="B2">
            <v>0</v>
          </cell>
        </row>
      </sheetData>
      <sheetData sheetId="899">
        <row r="2">
          <cell r="B2">
            <v>0</v>
          </cell>
        </row>
      </sheetData>
      <sheetData sheetId="900">
        <row r="2">
          <cell r="B2">
            <v>0</v>
          </cell>
        </row>
      </sheetData>
      <sheetData sheetId="901">
        <row r="2">
          <cell r="B2">
            <v>0</v>
          </cell>
        </row>
      </sheetData>
      <sheetData sheetId="902"/>
      <sheetData sheetId="903"/>
      <sheetData sheetId="904"/>
      <sheetData sheetId="905"/>
      <sheetData sheetId="906"/>
      <sheetData sheetId="907"/>
      <sheetData sheetId="908"/>
      <sheetData sheetId="909">
        <row r="2">
          <cell r="B2">
            <v>0</v>
          </cell>
        </row>
      </sheetData>
      <sheetData sheetId="910">
        <row r="2">
          <cell r="B2">
            <v>0</v>
          </cell>
        </row>
      </sheetData>
      <sheetData sheetId="911">
        <row r="2">
          <cell r="B2">
            <v>0</v>
          </cell>
        </row>
      </sheetData>
      <sheetData sheetId="912">
        <row r="2">
          <cell r="B2">
            <v>0</v>
          </cell>
        </row>
      </sheetData>
      <sheetData sheetId="913">
        <row r="2">
          <cell r="B2">
            <v>0</v>
          </cell>
        </row>
      </sheetData>
      <sheetData sheetId="914">
        <row r="2">
          <cell r="B2">
            <v>0</v>
          </cell>
        </row>
      </sheetData>
      <sheetData sheetId="915">
        <row r="2">
          <cell r="B2">
            <v>0</v>
          </cell>
        </row>
      </sheetData>
      <sheetData sheetId="916">
        <row r="2">
          <cell r="B2">
            <v>0</v>
          </cell>
        </row>
      </sheetData>
      <sheetData sheetId="917">
        <row r="2">
          <cell r="B2">
            <v>0</v>
          </cell>
        </row>
      </sheetData>
      <sheetData sheetId="918">
        <row r="2">
          <cell r="B2">
            <v>0</v>
          </cell>
        </row>
      </sheetData>
      <sheetData sheetId="919">
        <row r="2">
          <cell r="B2">
            <v>0</v>
          </cell>
        </row>
      </sheetData>
      <sheetData sheetId="920">
        <row r="2">
          <cell r="B2">
            <v>0</v>
          </cell>
        </row>
      </sheetData>
      <sheetData sheetId="921">
        <row r="2">
          <cell r="B2">
            <v>0</v>
          </cell>
        </row>
      </sheetData>
      <sheetData sheetId="922">
        <row r="2">
          <cell r="B2">
            <v>0</v>
          </cell>
        </row>
      </sheetData>
      <sheetData sheetId="923">
        <row r="2">
          <cell r="B2">
            <v>0</v>
          </cell>
        </row>
      </sheetData>
      <sheetData sheetId="924">
        <row r="2">
          <cell r="B2">
            <v>0</v>
          </cell>
        </row>
      </sheetData>
      <sheetData sheetId="925">
        <row r="2">
          <cell r="B2">
            <v>0</v>
          </cell>
        </row>
      </sheetData>
      <sheetData sheetId="926">
        <row r="2">
          <cell r="B2">
            <v>0</v>
          </cell>
        </row>
      </sheetData>
      <sheetData sheetId="927">
        <row r="2">
          <cell r="B2">
            <v>0</v>
          </cell>
        </row>
      </sheetData>
      <sheetData sheetId="928">
        <row r="2">
          <cell r="B2">
            <v>0</v>
          </cell>
        </row>
      </sheetData>
      <sheetData sheetId="929">
        <row r="2">
          <cell r="B2">
            <v>0</v>
          </cell>
        </row>
      </sheetData>
      <sheetData sheetId="930">
        <row r="2">
          <cell r="B2">
            <v>0</v>
          </cell>
        </row>
      </sheetData>
      <sheetData sheetId="931">
        <row r="2">
          <cell r="B2">
            <v>0</v>
          </cell>
        </row>
      </sheetData>
      <sheetData sheetId="932">
        <row r="2">
          <cell r="B2">
            <v>0</v>
          </cell>
        </row>
      </sheetData>
      <sheetData sheetId="933">
        <row r="2">
          <cell r="B2">
            <v>0</v>
          </cell>
        </row>
      </sheetData>
      <sheetData sheetId="934">
        <row r="2">
          <cell r="B2">
            <v>0</v>
          </cell>
        </row>
      </sheetData>
      <sheetData sheetId="935">
        <row r="2">
          <cell r="B2">
            <v>0</v>
          </cell>
        </row>
      </sheetData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>
        <row r="2">
          <cell r="B2">
            <v>0</v>
          </cell>
        </row>
      </sheetData>
      <sheetData sheetId="962">
        <row r="2">
          <cell r="B2">
            <v>0</v>
          </cell>
        </row>
      </sheetData>
      <sheetData sheetId="963">
        <row r="2">
          <cell r="B2">
            <v>0</v>
          </cell>
        </row>
      </sheetData>
      <sheetData sheetId="964">
        <row r="2">
          <cell r="B2">
            <v>0</v>
          </cell>
        </row>
      </sheetData>
      <sheetData sheetId="965">
        <row r="2">
          <cell r="B2">
            <v>0</v>
          </cell>
        </row>
      </sheetData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>
        <row r="2">
          <cell r="B2">
            <v>0</v>
          </cell>
        </row>
      </sheetData>
      <sheetData sheetId="977">
        <row r="2">
          <cell r="B2">
            <v>0</v>
          </cell>
        </row>
      </sheetData>
      <sheetData sheetId="978">
        <row r="2">
          <cell r="B2">
            <v>0</v>
          </cell>
        </row>
      </sheetData>
      <sheetData sheetId="979">
        <row r="2">
          <cell r="B2">
            <v>0</v>
          </cell>
        </row>
      </sheetData>
      <sheetData sheetId="980">
        <row r="2">
          <cell r="B2">
            <v>0</v>
          </cell>
        </row>
      </sheetData>
      <sheetData sheetId="981">
        <row r="2">
          <cell r="B2">
            <v>0</v>
          </cell>
        </row>
      </sheetData>
      <sheetData sheetId="982">
        <row r="2">
          <cell r="B2">
            <v>0</v>
          </cell>
        </row>
      </sheetData>
      <sheetData sheetId="983">
        <row r="2">
          <cell r="B2">
            <v>0</v>
          </cell>
        </row>
      </sheetData>
      <sheetData sheetId="984">
        <row r="2">
          <cell r="B2">
            <v>0</v>
          </cell>
        </row>
      </sheetData>
      <sheetData sheetId="985">
        <row r="2">
          <cell r="B2">
            <v>0</v>
          </cell>
        </row>
      </sheetData>
      <sheetData sheetId="986">
        <row r="2">
          <cell r="B2">
            <v>0</v>
          </cell>
        </row>
      </sheetData>
      <sheetData sheetId="987">
        <row r="2">
          <cell r="B2">
            <v>0</v>
          </cell>
        </row>
      </sheetData>
      <sheetData sheetId="988">
        <row r="2">
          <cell r="B2">
            <v>0</v>
          </cell>
        </row>
      </sheetData>
      <sheetData sheetId="989">
        <row r="2">
          <cell r="B2">
            <v>0</v>
          </cell>
        </row>
      </sheetData>
      <sheetData sheetId="990">
        <row r="2">
          <cell r="B2">
            <v>0</v>
          </cell>
        </row>
      </sheetData>
      <sheetData sheetId="991">
        <row r="2">
          <cell r="B2">
            <v>0</v>
          </cell>
        </row>
      </sheetData>
      <sheetData sheetId="992">
        <row r="2">
          <cell r="B2">
            <v>0</v>
          </cell>
        </row>
      </sheetData>
      <sheetData sheetId="993">
        <row r="2">
          <cell r="B2">
            <v>0</v>
          </cell>
        </row>
      </sheetData>
      <sheetData sheetId="994">
        <row r="2">
          <cell r="B2">
            <v>0</v>
          </cell>
        </row>
      </sheetData>
      <sheetData sheetId="995">
        <row r="2">
          <cell r="B2">
            <v>0</v>
          </cell>
        </row>
      </sheetData>
      <sheetData sheetId="996">
        <row r="2">
          <cell r="B2">
            <v>0</v>
          </cell>
        </row>
      </sheetData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>
        <row r="2">
          <cell r="B2">
            <v>0</v>
          </cell>
        </row>
      </sheetData>
      <sheetData sheetId="1026">
        <row r="2">
          <cell r="B2">
            <v>0</v>
          </cell>
        </row>
      </sheetData>
      <sheetData sheetId="1027">
        <row r="2">
          <cell r="B2">
            <v>0</v>
          </cell>
        </row>
      </sheetData>
      <sheetData sheetId="1028">
        <row r="2">
          <cell r="B2">
            <v>0</v>
          </cell>
        </row>
      </sheetData>
      <sheetData sheetId="1029">
        <row r="2">
          <cell r="B2">
            <v>0</v>
          </cell>
        </row>
      </sheetData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>
        <row r="2">
          <cell r="B2">
            <v>0</v>
          </cell>
        </row>
      </sheetData>
      <sheetData sheetId="1067">
        <row r="2">
          <cell r="B2">
            <v>0</v>
          </cell>
        </row>
      </sheetData>
      <sheetData sheetId="1068">
        <row r="2">
          <cell r="B2">
            <v>0</v>
          </cell>
        </row>
      </sheetData>
      <sheetData sheetId="1069">
        <row r="2">
          <cell r="B2">
            <v>0</v>
          </cell>
        </row>
      </sheetData>
      <sheetData sheetId="1070">
        <row r="2">
          <cell r="B2">
            <v>0</v>
          </cell>
        </row>
      </sheetData>
      <sheetData sheetId="1071">
        <row r="2">
          <cell r="B2">
            <v>0</v>
          </cell>
        </row>
      </sheetData>
      <sheetData sheetId="1072">
        <row r="2">
          <cell r="B2">
            <v>0</v>
          </cell>
        </row>
      </sheetData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>
        <row r="2">
          <cell r="B2">
            <v>0</v>
          </cell>
        </row>
      </sheetData>
      <sheetData sheetId="1098">
        <row r="2">
          <cell r="B2">
            <v>0</v>
          </cell>
        </row>
      </sheetData>
      <sheetData sheetId="1099">
        <row r="2">
          <cell r="B2">
            <v>0</v>
          </cell>
        </row>
      </sheetData>
      <sheetData sheetId="1100">
        <row r="2">
          <cell r="B2">
            <v>0</v>
          </cell>
        </row>
      </sheetData>
      <sheetData sheetId="1101">
        <row r="2">
          <cell r="B2">
            <v>0</v>
          </cell>
        </row>
      </sheetData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>
        <row r="2">
          <cell r="B2">
            <v>0</v>
          </cell>
        </row>
      </sheetData>
      <sheetData sheetId="1135">
        <row r="2">
          <cell r="B2">
            <v>0</v>
          </cell>
        </row>
      </sheetData>
      <sheetData sheetId="1136">
        <row r="2">
          <cell r="B2">
            <v>0</v>
          </cell>
        </row>
      </sheetData>
      <sheetData sheetId="1137">
        <row r="2">
          <cell r="B2">
            <v>0</v>
          </cell>
        </row>
      </sheetData>
      <sheetData sheetId="1138">
        <row r="2">
          <cell r="B2">
            <v>0</v>
          </cell>
        </row>
      </sheetData>
      <sheetData sheetId="1139">
        <row r="2">
          <cell r="B2">
            <v>0</v>
          </cell>
        </row>
      </sheetData>
      <sheetData sheetId="1140">
        <row r="2">
          <cell r="B2">
            <v>0</v>
          </cell>
        </row>
      </sheetData>
      <sheetData sheetId="1141"/>
      <sheetData sheetId="1142"/>
      <sheetData sheetId="1143">
        <row r="2">
          <cell r="B2">
            <v>0</v>
          </cell>
        </row>
      </sheetData>
      <sheetData sheetId="1144">
        <row r="2">
          <cell r="B2">
            <v>0</v>
          </cell>
        </row>
      </sheetData>
      <sheetData sheetId="1145">
        <row r="2">
          <cell r="B2">
            <v>0</v>
          </cell>
        </row>
      </sheetData>
      <sheetData sheetId="1146">
        <row r="2">
          <cell r="B2">
            <v>0</v>
          </cell>
        </row>
      </sheetData>
      <sheetData sheetId="1147">
        <row r="2">
          <cell r="B2">
            <v>0</v>
          </cell>
        </row>
      </sheetData>
      <sheetData sheetId="1148">
        <row r="2">
          <cell r="B2">
            <v>0</v>
          </cell>
        </row>
      </sheetData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>
        <row r="2">
          <cell r="B2">
            <v>0</v>
          </cell>
        </row>
      </sheetData>
      <sheetData sheetId="1162">
        <row r="2">
          <cell r="B2">
            <v>0</v>
          </cell>
        </row>
      </sheetData>
      <sheetData sheetId="1163">
        <row r="2">
          <cell r="B2">
            <v>0</v>
          </cell>
        </row>
      </sheetData>
      <sheetData sheetId="1164">
        <row r="2">
          <cell r="B2">
            <v>0</v>
          </cell>
        </row>
      </sheetData>
      <sheetData sheetId="1165">
        <row r="2">
          <cell r="B2">
            <v>0</v>
          </cell>
        </row>
      </sheetData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>
        <row r="2">
          <cell r="B2">
            <v>0</v>
          </cell>
        </row>
      </sheetData>
      <sheetData sheetId="1201">
        <row r="2">
          <cell r="B2">
            <v>0</v>
          </cell>
        </row>
      </sheetData>
      <sheetData sheetId="1202">
        <row r="2">
          <cell r="B2">
            <v>0</v>
          </cell>
        </row>
      </sheetData>
      <sheetData sheetId="1203">
        <row r="2">
          <cell r="B2">
            <v>0</v>
          </cell>
        </row>
      </sheetData>
      <sheetData sheetId="1204">
        <row r="2">
          <cell r="B2">
            <v>0</v>
          </cell>
        </row>
      </sheetData>
      <sheetData sheetId="1205">
        <row r="2">
          <cell r="B2">
            <v>0</v>
          </cell>
        </row>
      </sheetData>
      <sheetData sheetId="1206">
        <row r="2">
          <cell r="B2">
            <v>0</v>
          </cell>
        </row>
      </sheetData>
      <sheetData sheetId="1207"/>
      <sheetData sheetId="1208"/>
      <sheetData sheetId="1209"/>
      <sheetData sheetId="1210"/>
      <sheetData sheetId="1211"/>
      <sheetData sheetId="1212"/>
      <sheetData sheetId="1213">
        <row r="2">
          <cell r="B2">
            <v>0</v>
          </cell>
        </row>
      </sheetData>
      <sheetData sheetId="1214">
        <row r="2">
          <cell r="B2">
            <v>0</v>
          </cell>
        </row>
      </sheetData>
      <sheetData sheetId="1215">
        <row r="2">
          <cell r="B2">
            <v>0</v>
          </cell>
        </row>
      </sheetData>
      <sheetData sheetId="1216">
        <row r="2">
          <cell r="B2">
            <v>0</v>
          </cell>
        </row>
      </sheetData>
      <sheetData sheetId="1217">
        <row r="2">
          <cell r="B2">
            <v>0</v>
          </cell>
        </row>
      </sheetData>
      <sheetData sheetId="1218"/>
      <sheetData sheetId="1219"/>
      <sheetData sheetId="1220"/>
      <sheetData sheetId="1221"/>
      <sheetData sheetId="1222">
        <row r="2">
          <cell r="B2">
            <v>0</v>
          </cell>
        </row>
      </sheetData>
      <sheetData sheetId="1223">
        <row r="2">
          <cell r="B2">
            <v>0</v>
          </cell>
        </row>
      </sheetData>
      <sheetData sheetId="1224">
        <row r="2">
          <cell r="B2">
            <v>0</v>
          </cell>
        </row>
      </sheetData>
      <sheetData sheetId="1225">
        <row r="2">
          <cell r="B2">
            <v>0</v>
          </cell>
        </row>
      </sheetData>
      <sheetData sheetId="1226">
        <row r="2">
          <cell r="B2">
            <v>0</v>
          </cell>
        </row>
      </sheetData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/>
      <sheetData sheetId="1280">
        <row r="2">
          <cell r="B2">
            <v>0</v>
          </cell>
        </row>
      </sheetData>
      <sheetData sheetId="1281">
        <row r="2">
          <cell r="B2">
            <v>0</v>
          </cell>
        </row>
      </sheetData>
      <sheetData sheetId="1282">
        <row r="2">
          <cell r="B2">
            <v>0</v>
          </cell>
        </row>
      </sheetData>
      <sheetData sheetId="1283">
        <row r="2">
          <cell r="B2">
            <v>0</v>
          </cell>
        </row>
      </sheetData>
      <sheetData sheetId="1284">
        <row r="2">
          <cell r="B2">
            <v>0</v>
          </cell>
        </row>
      </sheetData>
      <sheetData sheetId="1285">
        <row r="2">
          <cell r="B2">
            <v>0</v>
          </cell>
        </row>
      </sheetData>
      <sheetData sheetId="1286">
        <row r="2">
          <cell r="B2">
            <v>0</v>
          </cell>
        </row>
      </sheetData>
      <sheetData sheetId="1287">
        <row r="2">
          <cell r="B2">
            <v>0</v>
          </cell>
        </row>
      </sheetData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 refreshError="1"/>
      <sheetData sheetId="1346"/>
      <sheetData sheetId="1347"/>
      <sheetData sheetId="1348"/>
      <sheetData sheetId="1349">
        <row r="2">
          <cell r="B2">
            <v>0</v>
          </cell>
        </row>
      </sheetData>
      <sheetData sheetId="1350">
        <row r="2">
          <cell r="B2">
            <v>0</v>
          </cell>
        </row>
      </sheetData>
      <sheetData sheetId="1351">
        <row r="2">
          <cell r="B2">
            <v>0</v>
          </cell>
        </row>
      </sheetData>
      <sheetData sheetId="1352">
        <row r="2">
          <cell r="B2">
            <v>0</v>
          </cell>
        </row>
      </sheetData>
      <sheetData sheetId="1353">
        <row r="2">
          <cell r="B2">
            <v>0</v>
          </cell>
        </row>
      </sheetData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>
        <row r="2">
          <cell r="B2">
            <v>0</v>
          </cell>
        </row>
      </sheetData>
      <sheetData sheetId="1391">
        <row r="2">
          <cell r="B2">
            <v>0</v>
          </cell>
        </row>
      </sheetData>
      <sheetData sheetId="1392">
        <row r="2">
          <cell r="B2">
            <v>0</v>
          </cell>
        </row>
      </sheetData>
      <sheetData sheetId="1393">
        <row r="2">
          <cell r="B2">
            <v>0</v>
          </cell>
        </row>
      </sheetData>
      <sheetData sheetId="1394">
        <row r="2">
          <cell r="B2">
            <v>0</v>
          </cell>
        </row>
      </sheetData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/>
      <sheetData sheetId="1431"/>
      <sheetData sheetId="1432">
        <row r="2">
          <cell r="B2">
            <v>0</v>
          </cell>
        </row>
      </sheetData>
      <sheetData sheetId="1433">
        <row r="2">
          <cell r="B2">
            <v>0</v>
          </cell>
        </row>
      </sheetData>
      <sheetData sheetId="1434">
        <row r="2">
          <cell r="B2">
            <v>0</v>
          </cell>
        </row>
      </sheetData>
      <sheetData sheetId="1435">
        <row r="2">
          <cell r="B2">
            <v>0</v>
          </cell>
        </row>
      </sheetData>
      <sheetData sheetId="1436">
        <row r="2">
          <cell r="B2">
            <v>0</v>
          </cell>
        </row>
      </sheetData>
      <sheetData sheetId="1437">
        <row r="2">
          <cell r="B2">
            <v>0</v>
          </cell>
        </row>
      </sheetData>
      <sheetData sheetId="1438">
        <row r="2">
          <cell r="B2">
            <v>0</v>
          </cell>
        </row>
      </sheetData>
      <sheetData sheetId="1439">
        <row r="2">
          <cell r="B2">
            <v>0</v>
          </cell>
        </row>
      </sheetData>
      <sheetData sheetId="1440">
        <row r="2">
          <cell r="B2">
            <v>0</v>
          </cell>
        </row>
      </sheetData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/>
      <sheetData sheetId="1505"/>
      <sheetData sheetId="1506"/>
      <sheetData sheetId="1507">
        <row r="2">
          <cell r="B2">
            <v>0</v>
          </cell>
        </row>
      </sheetData>
      <sheetData sheetId="1508">
        <row r="2">
          <cell r="B2">
            <v>0</v>
          </cell>
        </row>
      </sheetData>
      <sheetData sheetId="1509">
        <row r="2">
          <cell r="B2">
            <v>0</v>
          </cell>
        </row>
      </sheetData>
      <sheetData sheetId="1510">
        <row r="2">
          <cell r="B2">
            <v>0</v>
          </cell>
        </row>
      </sheetData>
      <sheetData sheetId="1511">
        <row r="2">
          <cell r="B2">
            <v>0</v>
          </cell>
        </row>
      </sheetData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>
        <row r="2">
          <cell r="B2">
            <v>0</v>
          </cell>
        </row>
      </sheetData>
      <sheetData sheetId="1547">
        <row r="2">
          <cell r="B2">
            <v>0</v>
          </cell>
        </row>
      </sheetData>
      <sheetData sheetId="1548">
        <row r="2">
          <cell r="B2">
            <v>0</v>
          </cell>
        </row>
      </sheetData>
      <sheetData sheetId="1549">
        <row r="2">
          <cell r="B2">
            <v>0</v>
          </cell>
        </row>
      </sheetData>
      <sheetData sheetId="1550">
        <row r="2">
          <cell r="B2">
            <v>0</v>
          </cell>
        </row>
      </sheetData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>
        <row r="2">
          <cell r="B2">
            <v>0</v>
          </cell>
        </row>
      </sheetData>
      <sheetData sheetId="1586">
        <row r="2">
          <cell r="B2">
            <v>0</v>
          </cell>
        </row>
      </sheetData>
      <sheetData sheetId="1587">
        <row r="2">
          <cell r="B2">
            <v>0</v>
          </cell>
        </row>
      </sheetData>
      <sheetData sheetId="1588">
        <row r="2">
          <cell r="B2">
            <v>0</v>
          </cell>
        </row>
      </sheetData>
      <sheetData sheetId="1589">
        <row r="2">
          <cell r="B2">
            <v>0</v>
          </cell>
        </row>
      </sheetData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>
        <row r="2">
          <cell r="B2">
            <v>0</v>
          </cell>
        </row>
      </sheetData>
      <sheetData sheetId="1651">
        <row r="2">
          <cell r="B2">
            <v>0</v>
          </cell>
        </row>
      </sheetData>
      <sheetData sheetId="1652">
        <row r="2">
          <cell r="B2">
            <v>0</v>
          </cell>
        </row>
      </sheetData>
      <sheetData sheetId="1653">
        <row r="2">
          <cell r="B2">
            <v>0</v>
          </cell>
        </row>
      </sheetData>
      <sheetData sheetId="1654">
        <row r="2">
          <cell r="B2">
            <v>0</v>
          </cell>
        </row>
      </sheetData>
      <sheetData sheetId="1655">
        <row r="2">
          <cell r="B2">
            <v>0</v>
          </cell>
        </row>
      </sheetData>
      <sheetData sheetId="1656">
        <row r="2">
          <cell r="B2">
            <v>0</v>
          </cell>
        </row>
      </sheetData>
      <sheetData sheetId="1657">
        <row r="2">
          <cell r="B2">
            <v>0</v>
          </cell>
        </row>
      </sheetData>
      <sheetData sheetId="1658">
        <row r="2">
          <cell r="B2">
            <v>0</v>
          </cell>
        </row>
      </sheetData>
      <sheetData sheetId="1659">
        <row r="2">
          <cell r="B2">
            <v>0</v>
          </cell>
        </row>
      </sheetData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>
        <row r="2">
          <cell r="B2">
            <v>0</v>
          </cell>
        </row>
      </sheetData>
      <sheetData sheetId="1723">
        <row r="2">
          <cell r="B2">
            <v>0</v>
          </cell>
        </row>
      </sheetData>
      <sheetData sheetId="1724">
        <row r="2">
          <cell r="B2">
            <v>0</v>
          </cell>
        </row>
      </sheetData>
      <sheetData sheetId="1725">
        <row r="2">
          <cell r="B2">
            <v>0</v>
          </cell>
        </row>
      </sheetData>
      <sheetData sheetId="1726">
        <row r="2">
          <cell r="B2">
            <v>0</v>
          </cell>
        </row>
      </sheetData>
      <sheetData sheetId="1727">
        <row r="2">
          <cell r="B2">
            <v>0</v>
          </cell>
        </row>
      </sheetData>
      <sheetData sheetId="1728">
        <row r="2">
          <cell r="B2">
            <v>0</v>
          </cell>
        </row>
      </sheetData>
      <sheetData sheetId="1729">
        <row r="2">
          <cell r="B2">
            <v>0</v>
          </cell>
        </row>
      </sheetData>
      <sheetData sheetId="1730">
        <row r="2">
          <cell r="B2">
            <v>0</v>
          </cell>
        </row>
      </sheetData>
      <sheetData sheetId="1731">
        <row r="2">
          <cell r="B2">
            <v>0</v>
          </cell>
        </row>
      </sheetData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>
        <row r="2">
          <cell r="B2">
            <v>0</v>
          </cell>
        </row>
      </sheetData>
      <sheetData sheetId="1831">
        <row r="2">
          <cell r="B2">
            <v>0</v>
          </cell>
        </row>
      </sheetData>
      <sheetData sheetId="1832">
        <row r="2">
          <cell r="B2">
            <v>0</v>
          </cell>
        </row>
      </sheetData>
      <sheetData sheetId="1833">
        <row r="2">
          <cell r="B2">
            <v>0</v>
          </cell>
        </row>
      </sheetData>
      <sheetData sheetId="1834">
        <row r="2">
          <cell r="B2">
            <v>0</v>
          </cell>
        </row>
      </sheetData>
      <sheetData sheetId="1835">
        <row r="2">
          <cell r="B2">
            <v>0</v>
          </cell>
        </row>
      </sheetData>
      <sheetData sheetId="1836">
        <row r="2">
          <cell r="B2">
            <v>0</v>
          </cell>
        </row>
      </sheetData>
      <sheetData sheetId="1837">
        <row r="2">
          <cell r="B2">
            <v>0</v>
          </cell>
        </row>
      </sheetData>
      <sheetData sheetId="1838">
        <row r="2">
          <cell r="B2">
            <v>0</v>
          </cell>
        </row>
      </sheetData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>
        <row r="2">
          <cell r="B2">
            <v>0</v>
          </cell>
        </row>
      </sheetData>
      <sheetData sheetId="1939">
        <row r="2">
          <cell r="B2">
            <v>0</v>
          </cell>
        </row>
      </sheetData>
      <sheetData sheetId="1940">
        <row r="2">
          <cell r="B2">
            <v>0</v>
          </cell>
        </row>
      </sheetData>
      <sheetData sheetId="1941">
        <row r="2">
          <cell r="B2">
            <v>0</v>
          </cell>
        </row>
      </sheetData>
      <sheetData sheetId="1942">
        <row r="2">
          <cell r="B2">
            <v>0</v>
          </cell>
        </row>
      </sheetData>
      <sheetData sheetId="1943">
        <row r="2">
          <cell r="B2">
            <v>0</v>
          </cell>
        </row>
      </sheetData>
      <sheetData sheetId="1944">
        <row r="2">
          <cell r="B2">
            <v>0</v>
          </cell>
        </row>
      </sheetData>
      <sheetData sheetId="1945">
        <row r="2">
          <cell r="B2">
            <v>0</v>
          </cell>
        </row>
      </sheetData>
      <sheetData sheetId="1946">
        <row r="2">
          <cell r="B2">
            <v>0</v>
          </cell>
        </row>
      </sheetData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>
        <row r="2">
          <cell r="B2">
            <v>0</v>
          </cell>
        </row>
      </sheetData>
      <sheetData sheetId="2047">
        <row r="2">
          <cell r="B2">
            <v>0</v>
          </cell>
        </row>
      </sheetData>
      <sheetData sheetId="2048">
        <row r="2">
          <cell r="B2">
            <v>0</v>
          </cell>
        </row>
      </sheetData>
      <sheetData sheetId="2049">
        <row r="2">
          <cell r="B2">
            <v>0</v>
          </cell>
        </row>
      </sheetData>
      <sheetData sheetId="2050">
        <row r="2">
          <cell r="B2">
            <v>0</v>
          </cell>
        </row>
      </sheetData>
      <sheetData sheetId="2051">
        <row r="2">
          <cell r="B2">
            <v>0</v>
          </cell>
        </row>
      </sheetData>
      <sheetData sheetId="2052">
        <row r="2">
          <cell r="B2">
            <v>0</v>
          </cell>
        </row>
      </sheetData>
      <sheetData sheetId="2053">
        <row r="2">
          <cell r="B2">
            <v>0</v>
          </cell>
        </row>
      </sheetData>
      <sheetData sheetId="2054">
        <row r="2">
          <cell r="B2">
            <v>0</v>
          </cell>
        </row>
      </sheetData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>
        <row r="2">
          <cell r="B2">
            <v>0</v>
          </cell>
        </row>
      </sheetData>
      <sheetData sheetId="2155">
        <row r="2">
          <cell r="B2">
            <v>0</v>
          </cell>
        </row>
      </sheetData>
      <sheetData sheetId="2156">
        <row r="2">
          <cell r="B2">
            <v>0</v>
          </cell>
        </row>
      </sheetData>
      <sheetData sheetId="2157">
        <row r="2">
          <cell r="B2">
            <v>0</v>
          </cell>
        </row>
      </sheetData>
      <sheetData sheetId="2158">
        <row r="2">
          <cell r="B2">
            <v>0</v>
          </cell>
        </row>
      </sheetData>
      <sheetData sheetId="2159">
        <row r="2">
          <cell r="B2">
            <v>0</v>
          </cell>
        </row>
      </sheetData>
      <sheetData sheetId="2160">
        <row r="2">
          <cell r="B2">
            <v>0</v>
          </cell>
        </row>
      </sheetData>
      <sheetData sheetId="2161">
        <row r="2">
          <cell r="B2">
            <v>0</v>
          </cell>
        </row>
      </sheetData>
      <sheetData sheetId="2162">
        <row r="2">
          <cell r="B2">
            <v>0</v>
          </cell>
        </row>
      </sheetData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>
        <row r="2">
          <cell r="B2">
            <v>0</v>
          </cell>
        </row>
      </sheetData>
      <sheetData sheetId="2263">
        <row r="2">
          <cell r="B2">
            <v>0</v>
          </cell>
        </row>
      </sheetData>
      <sheetData sheetId="2264">
        <row r="2">
          <cell r="B2">
            <v>0</v>
          </cell>
        </row>
      </sheetData>
      <sheetData sheetId="2265">
        <row r="2">
          <cell r="B2">
            <v>0</v>
          </cell>
        </row>
      </sheetData>
      <sheetData sheetId="2266">
        <row r="2">
          <cell r="B2">
            <v>0</v>
          </cell>
        </row>
      </sheetData>
      <sheetData sheetId="2267">
        <row r="2">
          <cell r="B2">
            <v>0</v>
          </cell>
        </row>
      </sheetData>
      <sheetData sheetId="2268">
        <row r="2">
          <cell r="B2">
            <v>0</v>
          </cell>
        </row>
      </sheetData>
      <sheetData sheetId="2269">
        <row r="2">
          <cell r="B2">
            <v>0</v>
          </cell>
        </row>
      </sheetData>
      <sheetData sheetId="2270">
        <row r="2">
          <cell r="B2">
            <v>0</v>
          </cell>
        </row>
      </sheetData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>
        <row r="2">
          <cell r="B2">
            <v>0</v>
          </cell>
        </row>
      </sheetData>
      <sheetData sheetId="2371">
        <row r="2">
          <cell r="B2">
            <v>0</v>
          </cell>
        </row>
      </sheetData>
      <sheetData sheetId="2372">
        <row r="2">
          <cell r="B2">
            <v>0</v>
          </cell>
        </row>
      </sheetData>
      <sheetData sheetId="2373">
        <row r="2">
          <cell r="B2">
            <v>0</v>
          </cell>
        </row>
      </sheetData>
      <sheetData sheetId="2374">
        <row r="2">
          <cell r="B2">
            <v>0</v>
          </cell>
        </row>
      </sheetData>
      <sheetData sheetId="2375">
        <row r="2">
          <cell r="B2">
            <v>0</v>
          </cell>
        </row>
      </sheetData>
      <sheetData sheetId="2376">
        <row r="2">
          <cell r="B2">
            <v>0</v>
          </cell>
        </row>
      </sheetData>
      <sheetData sheetId="2377">
        <row r="2">
          <cell r="B2">
            <v>0</v>
          </cell>
        </row>
      </sheetData>
      <sheetData sheetId="2378">
        <row r="2">
          <cell r="B2">
            <v>0</v>
          </cell>
        </row>
      </sheetData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>
        <row r="2">
          <cell r="B2">
            <v>0</v>
          </cell>
        </row>
      </sheetData>
      <sheetData sheetId="2479">
        <row r="2">
          <cell r="B2">
            <v>0</v>
          </cell>
        </row>
      </sheetData>
      <sheetData sheetId="2480">
        <row r="2">
          <cell r="B2">
            <v>0</v>
          </cell>
        </row>
      </sheetData>
      <sheetData sheetId="2481">
        <row r="2">
          <cell r="B2">
            <v>0</v>
          </cell>
        </row>
      </sheetData>
      <sheetData sheetId="2482">
        <row r="2">
          <cell r="B2">
            <v>0</v>
          </cell>
        </row>
      </sheetData>
      <sheetData sheetId="2483">
        <row r="2">
          <cell r="B2">
            <v>0</v>
          </cell>
        </row>
      </sheetData>
      <sheetData sheetId="2484">
        <row r="2">
          <cell r="B2">
            <v>0</v>
          </cell>
        </row>
      </sheetData>
      <sheetData sheetId="2485">
        <row r="2">
          <cell r="B2">
            <v>0</v>
          </cell>
        </row>
      </sheetData>
      <sheetData sheetId="2486">
        <row r="2">
          <cell r="B2">
            <v>0</v>
          </cell>
        </row>
      </sheetData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>
        <row r="2">
          <cell r="B2">
            <v>0</v>
          </cell>
        </row>
      </sheetData>
      <sheetData sheetId="2646">
        <row r="2">
          <cell r="B2">
            <v>0</v>
          </cell>
        </row>
      </sheetData>
      <sheetData sheetId="2647">
        <row r="2">
          <cell r="B2">
            <v>0</v>
          </cell>
        </row>
      </sheetData>
      <sheetData sheetId="2648">
        <row r="2">
          <cell r="B2">
            <v>0</v>
          </cell>
        </row>
      </sheetData>
      <sheetData sheetId="2649">
        <row r="2">
          <cell r="B2">
            <v>0</v>
          </cell>
        </row>
      </sheetData>
      <sheetData sheetId="2650">
        <row r="2">
          <cell r="B2">
            <v>0</v>
          </cell>
        </row>
      </sheetData>
      <sheetData sheetId="2651">
        <row r="2">
          <cell r="B2">
            <v>0</v>
          </cell>
        </row>
      </sheetData>
      <sheetData sheetId="2652">
        <row r="2">
          <cell r="B2">
            <v>0</v>
          </cell>
        </row>
      </sheetData>
      <sheetData sheetId="2653">
        <row r="2">
          <cell r="B2">
            <v>0</v>
          </cell>
        </row>
      </sheetData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>
        <row r="2">
          <cell r="B2">
            <v>0</v>
          </cell>
        </row>
      </sheetData>
      <sheetData sheetId="2754">
        <row r="2">
          <cell r="B2">
            <v>0</v>
          </cell>
        </row>
      </sheetData>
      <sheetData sheetId="2755">
        <row r="2">
          <cell r="B2">
            <v>0</v>
          </cell>
        </row>
      </sheetData>
      <sheetData sheetId="2756">
        <row r="2">
          <cell r="B2">
            <v>0</v>
          </cell>
        </row>
      </sheetData>
      <sheetData sheetId="2757">
        <row r="2">
          <cell r="B2">
            <v>0</v>
          </cell>
        </row>
      </sheetData>
      <sheetData sheetId="2758">
        <row r="2">
          <cell r="B2">
            <v>0</v>
          </cell>
        </row>
      </sheetData>
      <sheetData sheetId="2759">
        <row r="2">
          <cell r="B2">
            <v>0</v>
          </cell>
        </row>
      </sheetData>
      <sheetData sheetId="2760">
        <row r="2">
          <cell r="B2">
            <v>0</v>
          </cell>
        </row>
      </sheetData>
      <sheetData sheetId="2761">
        <row r="2">
          <cell r="B2">
            <v>0</v>
          </cell>
        </row>
      </sheetData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>
        <row r="2">
          <cell r="B2">
            <v>0</v>
          </cell>
        </row>
      </sheetData>
      <sheetData sheetId="2868">
        <row r="2">
          <cell r="B2">
            <v>0</v>
          </cell>
        </row>
      </sheetData>
      <sheetData sheetId="2869">
        <row r="2">
          <cell r="B2">
            <v>0</v>
          </cell>
        </row>
      </sheetData>
      <sheetData sheetId="2870">
        <row r="2">
          <cell r="B2">
            <v>0</v>
          </cell>
        </row>
      </sheetData>
      <sheetData sheetId="2871">
        <row r="2">
          <cell r="B2">
            <v>0</v>
          </cell>
        </row>
      </sheetData>
      <sheetData sheetId="2872">
        <row r="2">
          <cell r="B2">
            <v>0</v>
          </cell>
        </row>
      </sheetData>
      <sheetData sheetId="2873">
        <row r="2">
          <cell r="B2">
            <v>0</v>
          </cell>
        </row>
      </sheetData>
      <sheetData sheetId="2874">
        <row r="2">
          <cell r="B2">
            <v>0</v>
          </cell>
        </row>
      </sheetData>
      <sheetData sheetId="2875">
        <row r="2">
          <cell r="B2">
            <v>0</v>
          </cell>
        </row>
      </sheetData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nsolidated"/>
      <sheetName val="WizerExpenses"/>
      <sheetName val="Sheet2"/>
      <sheetName val="Sheet3"/>
      <sheetName val="det income"/>
      <sheetName val="det_income"/>
      <sheetName val="November 2012"/>
      <sheetName val="AnnualTax 12"/>
      <sheetName val="det_income1"/>
      <sheetName val="November_2012"/>
      <sheetName val="AnnualTax_12"/>
      <sheetName val="det_income2"/>
      <sheetName val="November_20121"/>
      <sheetName val="AnnualTax_121"/>
      <sheetName val="det_income3"/>
      <sheetName val="det_income4"/>
      <sheetName val="det_income5"/>
      <sheetName val="det_income7"/>
      <sheetName val="det_income6"/>
      <sheetName val="det_income8"/>
      <sheetName val="det_income9"/>
      <sheetName val="det_income10"/>
      <sheetName val="det_income11"/>
      <sheetName val="det_income12"/>
      <sheetName val="det_income13"/>
      <sheetName val="det_income14"/>
      <sheetName val=" Test on depreciation"/>
      <sheetName val="det_income15"/>
      <sheetName val="November_20122"/>
      <sheetName val="AnnualTax_122"/>
      <sheetName val="DATABANK"/>
      <sheetName val="Other Allowances"/>
      <sheetName val="Pension"/>
      <sheetName val="Input"/>
      <sheetName val="11300k53"/>
      <sheetName val="det_income16"/>
      <sheetName val="November_20123"/>
      <sheetName val="AnnualTax_123"/>
      <sheetName val="_Test_on_depreciation"/>
      <sheetName val="Other_Allowances"/>
      <sheetName val="det_income17"/>
      <sheetName val="November_20124"/>
      <sheetName val="AnnualTax_124"/>
      <sheetName val="_Test_on_depreciation2"/>
      <sheetName val="_Test_on_depreciation1"/>
      <sheetName val="det_income18"/>
      <sheetName val="November_20125"/>
      <sheetName val="AnnualTax_125"/>
      <sheetName val="_Test_on_depreciation3"/>
    </sheetNames>
    <sheetDataSet>
      <sheetData sheetId="0"/>
      <sheetData sheetId="1"/>
      <sheetData sheetId="2"/>
      <sheetData sheetId="3">
        <row r="7">
          <cell r="C7" t="str">
            <v>AC Maintainance</v>
          </cell>
        </row>
        <row r="8">
          <cell r="C8" t="str">
            <v>Advertisement</v>
          </cell>
        </row>
        <row r="9">
          <cell r="C9" t="str">
            <v>Audit Fees</v>
          </cell>
        </row>
        <row r="10">
          <cell r="C10" t="str">
            <v>Communication &amp; Postage</v>
          </cell>
        </row>
        <row r="11">
          <cell r="C11" t="str">
            <v>Computer Accessories</v>
          </cell>
        </row>
        <row r="12">
          <cell r="C12" t="str">
            <v>Conferencing &amp; Training Expenses</v>
          </cell>
        </row>
        <row r="13">
          <cell r="C13" t="str">
            <v>Diesel</v>
          </cell>
        </row>
        <row r="14">
          <cell r="C14" t="str">
            <v>Donations</v>
          </cell>
        </row>
        <row r="15">
          <cell r="C15" t="str">
            <v>Electricity Bill</v>
          </cell>
        </row>
        <row r="16">
          <cell r="C16" t="str">
            <v>Fine</v>
          </cell>
        </row>
        <row r="17">
          <cell r="C17" t="str">
            <v>Fuel</v>
          </cell>
        </row>
        <row r="18">
          <cell r="C18" t="str">
            <v>Furniture</v>
          </cell>
        </row>
        <row r="19">
          <cell r="C19" t="str">
            <v>Generator Maintainance</v>
          </cell>
        </row>
        <row r="20">
          <cell r="C20" t="str">
            <v>Insurance</v>
          </cell>
        </row>
        <row r="21">
          <cell r="C21" t="str">
            <v>Investments</v>
          </cell>
        </row>
        <row r="22">
          <cell r="C22" t="str">
            <v>Legal Fees</v>
          </cell>
        </row>
        <row r="23">
          <cell r="C23" t="str">
            <v>Meal &amp; Entertainment</v>
          </cell>
        </row>
        <row r="24">
          <cell r="C24" t="str">
            <v>Medical Expenses</v>
          </cell>
        </row>
        <row r="25">
          <cell r="C25" t="str">
            <v>Office Consumables</v>
          </cell>
        </row>
        <row r="26">
          <cell r="C26" t="str">
            <v>Office Equipments</v>
          </cell>
        </row>
        <row r="27">
          <cell r="C27" t="str">
            <v>Office Maintenance</v>
          </cell>
        </row>
        <row r="28">
          <cell r="C28" t="str">
            <v>Other Professional Fees</v>
          </cell>
        </row>
        <row r="29">
          <cell r="C29" t="str">
            <v>Premium Due</v>
          </cell>
        </row>
        <row r="30">
          <cell r="C30" t="str">
            <v>Renovation Cost</v>
          </cell>
        </row>
        <row r="31">
          <cell r="C31" t="str">
            <v>Rent</v>
          </cell>
        </row>
        <row r="32">
          <cell r="C32" t="str">
            <v>Salaries</v>
          </cell>
        </row>
        <row r="33">
          <cell r="C33" t="str">
            <v>Security Levy</v>
          </cell>
        </row>
        <row r="34">
          <cell r="C34" t="str">
            <v>Stationeries</v>
          </cell>
        </row>
        <row r="35">
          <cell r="C35" t="str">
            <v>Tickets</v>
          </cell>
        </row>
        <row r="36">
          <cell r="C36" t="str">
            <v>Travel Expenses</v>
          </cell>
        </row>
        <row r="37">
          <cell r="C37" t="str">
            <v>Vehcle Lease Payment</v>
          </cell>
        </row>
        <row r="38">
          <cell r="C38" t="str">
            <v>Vehicle Maintenance</v>
          </cell>
        </row>
        <row r="39">
          <cell r="C39" t="str">
            <v>Water Bill</v>
          </cell>
        </row>
      </sheetData>
      <sheetData sheetId="4"/>
      <sheetData sheetId="5" refreshError="1"/>
      <sheetData sheetId="6"/>
      <sheetData sheetId="7" refreshError="1"/>
      <sheetData sheetId="8" refreshError="1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inancial Summary"/>
      <sheetName val="Correction Journal"/>
      <sheetName val="Provision Journal"/>
      <sheetName val="MPR"/>
    </sheetNames>
    <sheetDataSet>
      <sheetData sheetId="0" refreshError="1">
        <row r="3">
          <cell r="B3" t="str">
            <v>MAY '2010</v>
          </cell>
        </row>
        <row r="4">
          <cell r="B4" t="str">
            <v>APRIL '2010</v>
          </cell>
        </row>
        <row r="5">
          <cell r="A5" t="str">
            <v>ACTUAL</v>
          </cell>
        </row>
        <row r="6">
          <cell r="A6" t="str">
            <v>BUDGET</v>
          </cell>
        </row>
        <row r="7">
          <cell r="B7">
            <v>0.23</v>
          </cell>
        </row>
        <row r="8">
          <cell r="B8" t="str">
            <v>MAY 31, 2010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inancial Summary"/>
      <sheetName val="Correction Journal"/>
      <sheetName val="Provision Journal"/>
      <sheetName val="MPR"/>
    </sheetNames>
    <sheetDataSet>
      <sheetData sheetId="0" refreshError="1">
        <row r="3">
          <cell r="B3" t="str">
            <v>MAY '2010</v>
          </cell>
        </row>
        <row r="4">
          <cell r="B4" t="str">
            <v>APRIL '2010</v>
          </cell>
        </row>
        <row r="5">
          <cell r="A5" t="str">
            <v>ACTUAL</v>
          </cell>
        </row>
        <row r="6">
          <cell r="A6" t="str">
            <v>BUDGET</v>
          </cell>
        </row>
        <row r="7">
          <cell r="B7">
            <v>0.23</v>
          </cell>
        </row>
        <row r="8">
          <cell r="B8" t="str">
            <v>MAY 31, 2010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inancial Summary"/>
      <sheetName val="Correction Journal"/>
      <sheetName val="Provision Journal"/>
      <sheetName val="MPR"/>
    </sheetNames>
    <sheetDataSet>
      <sheetData sheetId="0" refreshError="1">
        <row r="3">
          <cell r="B3" t="str">
            <v>MAY '2010</v>
          </cell>
        </row>
        <row r="4">
          <cell r="B4" t="str">
            <v>APRIL '2010</v>
          </cell>
        </row>
        <row r="5">
          <cell r="A5" t="str">
            <v>ACTUAL</v>
          </cell>
        </row>
        <row r="6">
          <cell r="A6" t="str">
            <v>BUDGET</v>
          </cell>
        </row>
        <row r="7">
          <cell r="B7">
            <v>0.23</v>
          </cell>
        </row>
        <row r="8">
          <cell r="B8" t="str">
            <v>MAY 31, 2010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put"/>
      <sheetName val="Financial Summary"/>
      <sheetName val="Correction Journal"/>
      <sheetName val="Provision Journal"/>
      <sheetName val="MPR"/>
    </sheetNames>
    <sheetDataSet>
      <sheetData sheetId="0" refreshError="1">
        <row r="3">
          <cell r="B3" t="str">
            <v>MAY '2010</v>
          </cell>
        </row>
        <row r="4">
          <cell r="B4" t="str">
            <v>APRIL '2010</v>
          </cell>
        </row>
        <row r="5">
          <cell r="A5" t="str">
            <v>ACTUAL</v>
          </cell>
        </row>
        <row r="6">
          <cell r="A6" t="str">
            <v>BUDGET</v>
          </cell>
        </row>
        <row r="7">
          <cell r="B7">
            <v>0.23</v>
          </cell>
        </row>
        <row r="8">
          <cell r="B8" t="str">
            <v>MAY 31, 2010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BANK"/>
      <sheetName val="PAYROLL"/>
      <sheetName val="Dialog13"/>
      <sheetName val="Dialog12"/>
      <sheetName val="Dialog11"/>
      <sheetName val="Dialog9"/>
      <sheetName val="Dialog8"/>
      <sheetName val="Dialog10"/>
      <sheetName val="Dialog5"/>
      <sheetName val="Dialog4"/>
      <sheetName val="Dialog7"/>
      <sheetName val="Dialog6"/>
      <sheetName val="Dialog3"/>
      <sheetName val="Dialog2"/>
      <sheetName val="Pension"/>
      <sheetName val="PAYE"/>
      <sheetName val="Other Allowances"/>
      <sheetName val="December 2009 NEFT"/>
      <sheetName val="Issues"/>
      <sheetName val="Track Protection"/>
      <sheetName val="Dialog1"/>
      <sheetName val="Sheet1"/>
      <sheetName val="Sheet1 (2)"/>
      <sheetName val="Net Pay Check"/>
      <sheetName val="Module1"/>
      <sheetName val="HP December 2009 Payroll"/>
      <sheetName val="Input"/>
      <sheetName val="Other_Allowances"/>
      <sheetName val="December_2009_NEFT"/>
      <sheetName val="Track_Protection"/>
      <sheetName val="Sheet1_(2)"/>
      <sheetName val="Net_Pay_Check"/>
      <sheetName val="HP_December_2009_Payroll"/>
      <sheetName val="Codes"/>
      <sheetName val="gl pnl"/>
      <sheetName val="N-Client Information"/>
      <sheetName val="Other_Allowances1"/>
      <sheetName val="December_2009_NEFT1"/>
      <sheetName val="Track_Protection1"/>
      <sheetName val="Sheet1_(2)1"/>
      <sheetName val="Net_Pay_Check1"/>
      <sheetName val="HP_December_2009_Payroll1"/>
      <sheetName val="gl_pnl"/>
      <sheetName val="N-Client_Information"/>
      <sheetName val="Other_Allowances2"/>
      <sheetName val="December_2009_NEFT2"/>
      <sheetName val="Track_Protection2"/>
      <sheetName val="Sheet1_(2)2"/>
      <sheetName val="Net_Pay_Check2"/>
      <sheetName val="HP_December_2009_Payroll2"/>
      <sheetName val="gl_pnl1"/>
      <sheetName val="N-Client_Information1"/>
      <sheetName val="GAS_GRP"/>
      <sheetName val="PDS3"/>
      <sheetName val="Other_Allowances5"/>
      <sheetName val="December_2009_NEFT5"/>
      <sheetName val="Track_Protection5"/>
      <sheetName val="Sheet1_(2)5"/>
      <sheetName val="Net_Pay_Check5"/>
      <sheetName val="HP_December_2009_Payroll5"/>
      <sheetName val="gl_pnl4"/>
      <sheetName val="N-Client_Information4"/>
      <sheetName val="Other_Allowances3"/>
      <sheetName val="December_2009_NEFT3"/>
      <sheetName val="Track_Protection3"/>
      <sheetName val="Sheet1_(2)3"/>
      <sheetName val="Net_Pay_Check3"/>
      <sheetName val="HP_December_2009_Payroll3"/>
      <sheetName val="gl_pnl2"/>
      <sheetName val="N-Client_Information2"/>
      <sheetName val="Other_Allowances4"/>
      <sheetName val="December_2009_NEFT4"/>
      <sheetName val="Track_Protection4"/>
      <sheetName val="Sheet1_(2)4"/>
      <sheetName val="Net_Pay_Check4"/>
      <sheetName val="HP_December_2009_Payroll4"/>
      <sheetName val="gl_pnl3"/>
      <sheetName val="N-Client_Information3"/>
      <sheetName val="Other_Allowances7"/>
      <sheetName val="December_2009_NEFT7"/>
      <sheetName val="Track_Protection7"/>
      <sheetName val="Sheet1_(2)7"/>
      <sheetName val="Net_Pay_Check7"/>
      <sheetName val="HP_December_2009_Payroll7"/>
      <sheetName val="Other_Allowances6"/>
      <sheetName val="December_2009_NEFT6"/>
      <sheetName val="Track_Protection6"/>
      <sheetName val="Sheet1_(2)6"/>
      <sheetName val="Net_Pay_Check6"/>
      <sheetName val="HP_December_2009_Payroll6"/>
      <sheetName val="Other_Allowances8"/>
      <sheetName val="December_2009_NEFT8"/>
      <sheetName val="Track_Protection8"/>
      <sheetName val="Sheet1_(2)8"/>
      <sheetName val="Net_Pay_Check8"/>
      <sheetName val="HP_December_2009_Payroll8"/>
      <sheetName val="Other_Allowances9"/>
      <sheetName val="December_2009_NEFT9"/>
      <sheetName val="Track_Protection9"/>
      <sheetName val="Sheet1_(2)9"/>
      <sheetName val="Net_Pay_Check9"/>
      <sheetName val="HP_December_2009_Payroll9"/>
      <sheetName val="Other_Allowances10"/>
      <sheetName val="December_2009_NEFT10"/>
      <sheetName val="Track_Protection10"/>
      <sheetName val="Sheet1_(2)10"/>
      <sheetName val="Net_Pay_Check10"/>
      <sheetName val="HP_December_2009_Payroll10"/>
      <sheetName val="Other_Allowances11"/>
      <sheetName val="December_2009_NEFT11"/>
      <sheetName val="Track_Protection11"/>
      <sheetName val="Sheet1_(2)11"/>
      <sheetName val="Net_Pay_Check11"/>
      <sheetName val="HP_December_2009_Payroll11"/>
      <sheetName val="Other_Allowances12"/>
      <sheetName val="December_2009_NEFT12"/>
      <sheetName val="Track_Protection12"/>
      <sheetName val="Sheet1_(2)12"/>
      <sheetName val="Net_Pay_Check12"/>
      <sheetName val="HP_December_2009_Payroll12"/>
      <sheetName val="Other_Allowances13"/>
      <sheetName val="December_2009_NEFT13"/>
      <sheetName val="Track_Protection13"/>
      <sheetName val="Sheet1_(2)13"/>
      <sheetName val="Net_Pay_Check13"/>
      <sheetName val="HP_December_2009_Payroll13"/>
      <sheetName val="Other_Allowances14"/>
      <sheetName val="December_2009_NEFT14"/>
      <sheetName val="Track_Protection14"/>
      <sheetName val="Sheet1_(2)14"/>
      <sheetName val="Net_Pay_Check14"/>
      <sheetName val="HP_December_2009_Payroll14"/>
      <sheetName val="LOANS"/>
      <sheetName val="ANNUAL CTC"/>
      <sheetName val="2007_TB"/>
      <sheetName val="Revised_ending_2006_TB"/>
      <sheetName val="Old_TB-_2007"/>
      <sheetName val="IN_ADDRMKT"/>
      <sheetName val="Other_Allowances15"/>
      <sheetName val="December_2009_NEFT15"/>
      <sheetName val="Track_Protection15"/>
      <sheetName val="Sheet1_(2)15"/>
      <sheetName val="Net_Pay_Check15"/>
      <sheetName val="HP_December_2009_Payroll15"/>
      <sheetName val="gl_pnl5"/>
      <sheetName val="N-Client_Information5"/>
      <sheetName val="ANNUAL_CTC"/>
      <sheetName val="BALSHEET TEMPLATE"/>
      <sheetName val="LCY BALSHEET WKS"/>
      <sheetName val="B"/>
      <sheetName val="Other_Allowances16"/>
      <sheetName val="December_2009_NEFT16"/>
      <sheetName val="Track_Protection16"/>
      <sheetName val="Sheet1_(2)16"/>
      <sheetName val="Net_Pay_Check16"/>
      <sheetName val="HP_December_2009_Payroll16"/>
      <sheetName val="gl_pnl6"/>
      <sheetName val="N-Client_Information6"/>
      <sheetName val="ANNUAL_CTC1"/>
      <sheetName val="BALSHEET_TEMPLATE"/>
      <sheetName val="LCY_BALSHEET_WKS"/>
      <sheetName val="Other_Allowances17"/>
      <sheetName val="December_2009_NEFT17"/>
      <sheetName val="Track_Protection17"/>
      <sheetName val="Sheet1_(2)17"/>
      <sheetName val="Net_Pay_Check17"/>
      <sheetName val="HP_December_2009_Payroll17"/>
      <sheetName val="gl_pnl7"/>
      <sheetName val="N-Client_Information7"/>
      <sheetName val="ANNUAL_CTC2"/>
      <sheetName val="Other_Allowances18"/>
      <sheetName val="December_2009_NEFT18"/>
      <sheetName val="Track_Protection18"/>
      <sheetName val="Sheet1_(2)18"/>
      <sheetName val="Net_Pay_Check18"/>
      <sheetName val="HP_December_2009_Payroll18"/>
      <sheetName val="gl_pnl8"/>
      <sheetName val="N-Client_Information8"/>
      <sheetName val="ANNUAL_CTC3"/>
    </sheetNames>
    <sheetDataSet>
      <sheetData sheetId="0">
        <row r="8">
          <cell r="A8" t="str">
            <v>S/N</v>
          </cell>
          <cell r="B8" t="str">
            <v>STAFF NAME</v>
          </cell>
          <cell r="C8" t="str">
            <v>GROSS INCOME</v>
          </cell>
          <cell r="D8" t="str">
            <v>BASIC PAY</v>
          </cell>
          <cell r="E8" t="str">
            <v>HOUSING ALLOW.</v>
          </cell>
          <cell r="F8" t="str">
            <v>TRANSPORT ALLOW.</v>
          </cell>
          <cell r="G8" t="str">
            <v>MEAL ALLOW.</v>
          </cell>
          <cell r="H8" t="str">
            <v>UTILITY ALLOW.</v>
          </cell>
          <cell r="I8" t="str">
            <v>LEAVE ALLOW.</v>
          </cell>
          <cell r="J8" t="str">
            <v>ENTERTAINMENT</v>
          </cell>
          <cell r="K8" t="str">
            <v>MAINTENANCE ALLOW.</v>
          </cell>
          <cell r="L8" t="str">
            <v>FUEL ALLOW.</v>
          </cell>
          <cell r="M8" t="str">
            <v>DEPENDENT REL. ALLOW.</v>
          </cell>
          <cell r="N8" t="str">
            <v>BASIC PAY</v>
          </cell>
          <cell r="O8" t="str">
            <v>HOUSING ALLOW.</v>
          </cell>
          <cell r="P8" t="str">
            <v>TRANSPORT ALLOW.</v>
          </cell>
          <cell r="Q8" t="str">
            <v>MEAL ALLOW.</v>
          </cell>
          <cell r="R8" t="str">
            <v>UTILITY ALLOW.</v>
          </cell>
          <cell r="S8" t="str">
            <v>LEAVE ALLOW.</v>
          </cell>
          <cell r="T8" t="str">
            <v>ENTERTAINMENT</v>
          </cell>
          <cell r="U8" t="str">
            <v>Car Allowance</v>
          </cell>
          <cell r="V8" t="str">
            <v>Upfront</v>
          </cell>
          <cell r="W8" t="str">
            <v>Children Allw.</v>
          </cell>
          <cell r="X8" t="str">
            <v>LIFE ASSURANCE</v>
          </cell>
          <cell r="Y8" t="str">
            <v>EMPLOYEE ID NOS</v>
          </cell>
          <cell r="Z8" t="str">
            <v>EMPLOYEE ID NOS</v>
          </cell>
          <cell r="AA8" t="str">
            <v>NSITF NO.</v>
          </cell>
          <cell r="AB8" t="str">
            <v>Department</v>
          </cell>
          <cell r="AC8" t="str">
            <v>DATE OF EMPLOYMENT</v>
          </cell>
          <cell r="AD8" t="str">
            <v>GROSS INCOME</v>
          </cell>
          <cell r="AE8">
            <v>0</v>
          </cell>
          <cell r="AF8" t="str">
            <v>Date</v>
          </cell>
        </row>
        <row r="9">
          <cell r="A9">
            <v>1</v>
          </cell>
          <cell r="B9" t="str">
            <v>IWUCHUKWU, CHIOMA NADIA</v>
          </cell>
          <cell r="C9">
            <v>8482788.7200000007</v>
          </cell>
          <cell r="D9">
            <v>7537989.75</v>
          </cell>
          <cell r="E9">
            <v>150000</v>
          </cell>
          <cell r="F9">
            <v>20000</v>
          </cell>
          <cell r="G9">
            <v>5000</v>
          </cell>
          <cell r="H9">
            <v>10000</v>
          </cell>
          <cell r="I9">
            <v>753798.98</v>
          </cell>
          <cell r="J9">
            <v>6000</v>
          </cell>
          <cell r="K9">
            <v>0</v>
          </cell>
          <cell r="L9">
            <v>222000</v>
          </cell>
          <cell r="M9">
            <v>4000</v>
          </cell>
          <cell r="N9">
            <v>280000</v>
          </cell>
          <cell r="O9" t="str">
            <v>7852024</v>
          </cell>
          <cell r="P9" t="str">
            <v>19080291-4</v>
          </cell>
          <cell r="Q9" t="str">
            <v>PERSONAL SYSTEMS GROUP</v>
          </cell>
          <cell r="R9">
            <v>36678</v>
          </cell>
          <cell r="S9">
            <v>578950.91</v>
          </cell>
          <cell r="T9">
            <v>6947410.9199999999</v>
          </cell>
          <cell r="U9">
            <v>280000</v>
          </cell>
          <cell r="V9">
            <v>280000</v>
          </cell>
          <cell r="W9">
            <v>280000</v>
          </cell>
          <cell r="X9">
            <v>280000</v>
          </cell>
          <cell r="Y9">
            <v>280000</v>
          </cell>
          <cell r="Z9" t="str">
            <v>7852024</v>
          </cell>
          <cell r="AA9" t="str">
            <v>19080291-4</v>
          </cell>
          <cell r="AB9" t="str">
            <v>PERSONAL SYSTEMS GROUP</v>
          </cell>
          <cell r="AC9">
            <v>36678</v>
          </cell>
          <cell r="AD9">
            <v>36678</v>
          </cell>
          <cell r="AE9">
            <v>578950.91</v>
          </cell>
          <cell r="AF9">
            <v>578950.5</v>
          </cell>
          <cell r="AG9">
            <v>6947410.9199999999</v>
          </cell>
        </row>
        <row r="10">
          <cell r="A10">
            <v>2</v>
          </cell>
          <cell r="B10" t="str">
            <v>OKPAKA, CHUKWUMA</v>
          </cell>
          <cell r="C10">
            <v>8002852.3200000003</v>
          </cell>
          <cell r="D10">
            <v>7101683.9299999997</v>
          </cell>
          <cell r="E10">
            <v>150000</v>
          </cell>
          <cell r="F10">
            <v>20000</v>
          </cell>
          <cell r="G10">
            <v>5000</v>
          </cell>
          <cell r="H10">
            <v>10000</v>
          </cell>
          <cell r="I10">
            <v>710168.39</v>
          </cell>
          <cell r="J10">
            <v>6000</v>
          </cell>
          <cell r="K10">
            <v>0</v>
          </cell>
          <cell r="L10">
            <v>222000</v>
          </cell>
          <cell r="M10">
            <v>4000</v>
          </cell>
          <cell r="N10">
            <v>145000</v>
          </cell>
          <cell r="O10">
            <v>86987.520000000004</v>
          </cell>
          <cell r="P10">
            <v>5000</v>
          </cell>
          <cell r="Q10" t="str">
            <v>8141708</v>
          </cell>
          <cell r="R10" t="str">
            <v>96-02-10010982-4</v>
          </cell>
          <cell r="S10" t="str">
            <v>ENTERPRISE SYSTEMS GROUP</v>
          </cell>
          <cell r="T10">
            <v>36342</v>
          </cell>
          <cell r="U10">
            <v>145000</v>
          </cell>
          <cell r="V10">
            <v>86987.520000000004</v>
          </cell>
          <cell r="W10">
            <v>5000</v>
          </cell>
          <cell r="X10">
            <v>5000</v>
          </cell>
          <cell r="Y10">
            <v>5000</v>
          </cell>
          <cell r="Z10" t="str">
            <v>8141708</v>
          </cell>
          <cell r="AA10" t="str">
            <v>96-02-10010982-4</v>
          </cell>
          <cell r="AB10" t="str">
            <v>ENTERPRISE SYSTEMS GROUP</v>
          </cell>
          <cell r="AC10">
            <v>36342</v>
          </cell>
          <cell r="AD10">
            <v>36342</v>
          </cell>
          <cell r="AE10">
            <v>502091.99</v>
          </cell>
          <cell r="AF10">
            <v>502091.75</v>
          </cell>
          <cell r="AG10">
            <v>6025103.9000000004</v>
          </cell>
        </row>
        <row r="11">
          <cell r="A11">
            <v>3</v>
          </cell>
          <cell r="B11" t="str">
            <v>FABIYI, LADI</v>
          </cell>
          <cell r="C11">
            <v>7200000</v>
          </cell>
          <cell r="D11">
            <v>6371818.1799999997</v>
          </cell>
          <cell r="E11">
            <v>150000</v>
          </cell>
          <cell r="F11">
            <v>20000</v>
          </cell>
          <cell r="G11">
            <v>5000</v>
          </cell>
          <cell r="H11">
            <v>10000</v>
          </cell>
          <cell r="I11">
            <v>637181.81999999995</v>
          </cell>
          <cell r="J11">
            <v>6000</v>
          </cell>
          <cell r="K11">
            <v>0</v>
          </cell>
          <cell r="L11">
            <v>222000</v>
          </cell>
          <cell r="M11">
            <v>4000</v>
          </cell>
          <cell r="N11">
            <v>145000</v>
          </cell>
          <cell r="O11" t="str">
            <v>7741922</v>
          </cell>
          <cell r="P11" t="str">
            <v>00-02-50023506-0</v>
          </cell>
          <cell r="Q11" t="str">
            <v>HEWLETT-PACKARD SERVICES</v>
          </cell>
          <cell r="R11">
            <v>36831</v>
          </cell>
          <cell r="S11">
            <v>352972.39</v>
          </cell>
          <cell r="T11">
            <v>4235668.68</v>
          </cell>
          <cell r="U11">
            <v>145000</v>
          </cell>
          <cell r="V11">
            <v>145000</v>
          </cell>
          <cell r="W11">
            <v>145000</v>
          </cell>
          <cell r="X11">
            <v>145000</v>
          </cell>
          <cell r="Y11">
            <v>145000</v>
          </cell>
          <cell r="Z11" t="str">
            <v>7741922</v>
          </cell>
          <cell r="AA11" t="str">
            <v>00-02-50023506-0</v>
          </cell>
          <cell r="AB11" t="str">
            <v>HEWLETT-PACKARD SERVICES</v>
          </cell>
          <cell r="AC11">
            <v>36831</v>
          </cell>
          <cell r="AD11">
            <v>36831</v>
          </cell>
          <cell r="AE11">
            <v>352972.39</v>
          </cell>
          <cell r="AF11">
            <v>352972.25</v>
          </cell>
          <cell r="AG11">
            <v>4235668.68</v>
          </cell>
        </row>
        <row r="12">
          <cell r="A12">
            <v>4</v>
          </cell>
          <cell r="B12" t="str">
            <v>ABUBAKAR, EDMUND</v>
          </cell>
          <cell r="C12">
            <v>1934815.44</v>
          </cell>
          <cell r="D12">
            <v>1585286.76</v>
          </cell>
          <cell r="E12">
            <v>150000</v>
          </cell>
          <cell r="F12">
            <v>20000</v>
          </cell>
          <cell r="G12">
            <v>5000</v>
          </cell>
          <cell r="H12">
            <v>10000</v>
          </cell>
          <cell r="I12">
            <v>158528.68</v>
          </cell>
          <cell r="J12">
            <v>6000</v>
          </cell>
          <cell r="K12">
            <v>0</v>
          </cell>
          <cell r="L12">
            <v>222000</v>
          </cell>
          <cell r="M12">
            <v>4000</v>
          </cell>
          <cell r="N12">
            <v>120000</v>
          </cell>
          <cell r="O12">
            <v>10000</v>
          </cell>
          <cell r="P12" t="str">
            <v>7852036</v>
          </cell>
          <cell r="Q12" t="str">
            <v>15663528-6</v>
          </cell>
          <cell r="R12" t="str">
            <v>HEWLETT-PACKARD SERVICES</v>
          </cell>
          <cell r="S12">
            <v>37060</v>
          </cell>
          <cell r="T12">
            <v>157494.13</v>
          </cell>
          <cell r="U12">
            <v>120000</v>
          </cell>
          <cell r="V12">
            <v>120000</v>
          </cell>
          <cell r="W12">
            <v>10000</v>
          </cell>
          <cell r="X12">
            <v>10000</v>
          </cell>
          <cell r="Y12">
            <v>10000</v>
          </cell>
          <cell r="Z12" t="str">
            <v>7852036</v>
          </cell>
          <cell r="AA12" t="str">
            <v>15663528-6</v>
          </cell>
          <cell r="AB12" t="str">
            <v>HEWLETT-PACKARD SERVICES</v>
          </cell>
          <cell r="AC12">
            <v>37060</v>
          </cell>
          <cell r="AD12">
            <v>37060</v>
          </cell>
          <cell r="AE12">
            <v>157494.13</v>
          </cell>
          <cell r="AF12">
            <v>157494.125</v>
          </cell>
          <cell r="AG12">
            <v>1889929.6</v>
          </cell>
        </row>
        <row r="13">
          <cell r="A13">
            <v>5</v>
          </cell>
          <cell r="B13" t="str">
            <v>ONYEJE, TERAE</v>
          </cell>
          <cell r="C13">
            <v>7292160</v>
          </cell>
          <cell r="D13">
            <v>6455600</v>
          </cell>
          <cell r="E13">
            <v>150000</v>
          </cell>
          <cell r="F13">
            <v>20000</v>
          </cell>
          <cell r="G13">
            <v>5000</v>
          </cell>
          <cell r="H13">
            <v>10000</v>
          </cell>
          <cell r="I13">
            <v>645560</v>
          </cell>
          <cell r="J13">
            <v>6000</v>
          </cell>
          <cell r="K13">
            <v>0</v>
          </cell>
          <cell r="L13">
            <v>222000</v>
          </cell>
          <cell r="M13">
            <v>4000</v>
          </cell>
          <cell r="N13">
            <v>145000</v>
          </cell>
          <cell r="O13">
            <v>2500</v>
          </cell>
          <cell r="P13" t="str">
            <v>7852025</v>
          </cell>
          <cell r="Q13" t="str">
            <v>96-02-10005656-9</v>
          </cell>
          <cell r="R13" t="str">
            <v>ENTERPRISE SYSTEMS GROUP</v>
          </cell>
          <cell r="S13">
            <v>37012</v>
          </cell>
          <cell r="T13">
            <v>332800.23</v>
          </cell>
          <cell r="U13">
            <v>145000</v>
          </cell>
          <cell r="V13">
            <v>145000</v>
          </cell>
          <cell r="W13">
            <v>2500</v>
          </cell>
          <cell r="X13">
            <v>2500</v>
          </cell>
          <cell r="Y13">
            <v>2500</v>
          </cell>
          <cell r="Z13" t="str">
            <v>7852025</v>
          </cell>
          <cell r="AA13" t="str">
            <v>96-02-10005656-9</v>
          </cell>
          <cell r="AB13" t="str">
            <v>ENTERPRISE SYSTEMS GROUP</v>
          </cell>
          <cell r="AC13">
            <v>37012</v>
          </cell>
          <cell r="AD13">
            <v>37012</v>
          </cell>
          <cell r="AE13">
            <v>332800.23</v>
          </cell>
          <cell r="AF13">
            <v>332800</v>
          </cell>
          <cell r="AG13">
            <v>3993602.76</v>
          </cell>
        </row>
        <row r="14">
          <cell r="A14">
            <v>6</v>
          </cell>
          <cell r="B14" t="str">
            <v>DIBOR KEN</v>
          </cell>
          <cell r="C14">
            <v>11439064.039999999</v>
          </cell>
          <cell r="D14">
            <v>10225512.76</v>
          </cell>
          <cell r="E14">
            <v>150000</v>
          </cell>
          <cell r="F14">
            <v>20000</v>
          </cell>
          <cell r="G14">
            <v>5000</v>
          </cell>
          <cell r="H14">
            <v>10000</v>
          </cell>
          <cell r="I14">
            <v>1022551.28</v>
          </cell>
          <cell r="J14">
            <v>6000</v>
          </cell>
          <cell r="K14">
            <v>0</v>
          </cell>
          <cell r="L14">
            <v>222000</v>
          </cell>
          <cell r="M14">
            <v>4000</v>
          </cell>
          <cell r="N14">
            <v>180000</v>
          </cell>
          <cell r="O14" t="str">
            <v>20062485</v>
          </cell>
          <cell r="P14" t="str">
            <v>MANAGER,SERVICE SEGMENT</v>
          </cell>
          <cell r="Q14">
            <v>38082</v>
          </cell>
          <cell r="R14">
            <v>289287</v>
          </cell>
          <cell r="S14">
            <v>3471444</v>
          </cell>
          <cell r="T14">
            <v>3471444</v>
          </cell>
          <cell r="U14">
            <v>180000</v>
          </cell>
          <cell r="V14">
            <v>180000</v>
          </cell>
          <cell r="W14">
            <v>180000</v>
          </cell>
          <cell r="X14">
            <v>180000</v>
          </cell>
          <cell r="Y14">
            <v>180000</v>
          </cell>
          <cell r="Z14" t="str">
            <v>20062485</v>
          </cell>
          <cell r="AA14">
            <v>180000</v>
          </cell>
          <cell r="AB14" t="str">
            <v>MANAGER,SERVICE SEGMENT</v>
          </cell>
          <cell r="AC14">
            <v>38082</v>
          </cell>
          <cell r="AD14">
            <v>38082</v>
          </cell>
          <cell r="AE14">
            <v>289287</v>
          </cell>
          <cell r="AF14">
            <v>289287</v>
          </cell>
          <cell r="AG14">
            <v>3471444</v>
          </cell>
        </row>
        <row r="15">
          <cell r="A15">
            <v>7</v>
          </cell>
          <cell r="B15" t="str">
            <v>OYENIYI KAZEEM</v>
          </cell>
          <cell r="C15">
            <v>2491228.4</v>
          </cell>
          <cell r="D15">
            <v>2091116.73</v>
          </cell>
          <cell r="E15">
            <v>150000</v>
          </cell>
          <cell r="F15">
            <v>20000</v>
          </cell>
          <cell r="G15">
            <v>5000</v>
          </cell>
          <cell r="H15">
            <v>10000</v>
          </cell>
          <cell r="I15">
            <v>209111.67</v>
          </cell>
          <cell r="J15">
            <v>6000</v>
          </cell>
          <cell r="K15">
            <v>0</v>
          </cell>
          <cell r="L15">
            <v>222000</v>
          </cell>
          <cell r="M15">
            <v>4000</v>
          </cell>
          <cell r="N15">
            <v>120000</v>
          </cell>
          <cell r="O15" t="str">
            <v>-</v>
          </cell>
          <cell r="P15" t="str">
            <v>PERSONAL SYSTEMS GROUP</v>
          </cell>
          <cell r="Q15">
            <v>171600</v>
          </cell>
          <cell r="R15">
            <v>2059200</v>
          </cell>
          <cell r="S15">
            <v>2059200</v>
          </cell>
          <cell r="T15">
            <v>2059200</v>
          </cell>
          <cell r="U15">
            <v>120000</v>
          </cell>
          <cell r="V15">
            <v>120000</v>
          </cell>
          <cell r="W15">
            <v>120000</v>
          </cell>
          <cell r="X15">
            <v>120000</v>
          </cell>
          <cell r="Y15">
            <v>120000</v>
          </cell>
          <cell r="Z15" t="str">
            <v>-</v>
          </cell>
          <cell r="AA15">
            <v>120000</v>
          </cell>
          <cell r="AB15" t="str">
            <v>PERSONAL SYSTEMS GROUP</v>
          </cell>
          <cell r="AC15">
            <v>120000</v>
          </cell>
          <cell r="AD15">
            <v>120000</v>
          </cell>
          <cell r="AE15">
            <v>171600</v>
          </cell>
          <cell r="AF15">
            <v>171600</v>
          </cell>
          <cell r="AG15">
            <v>2059200</v>
          </cell>
        </row>
        <row r="16">
          <cell r="A16">
            <v>8</v>
          </cell>
          <cell r="B16" t="str">
            <v>IME AKPAN UMO</v>
          </cell>
          <cell r="C16">
            <v>12571200</v>
          </cell>
          <cell r="D16">
            <v>11254727.27</v>
          </cell>
          <cell r="E16">
            <v>150000</v>
          </cell>
          <cell r="F16">
            <v>20000</v>
          </cell>
          <cell r="G16">
            <v>5000</v>
          </cell>
          <cell r="H16">
            <v>10000</v>
          </cell>
          <cell r="I16">
            <v>1125472.73</v>
          </cell>
          <cell r="J16">
            <v>6000</v>
          </cell>
          <cell r="K16">
            <v>0</v>
          </cell>
          <cell r="L16">
            <v>222000</v>
          </cell>
          <cell r="M16">
            <v>4000</v>
          </cell>
          <cell r="N16">
            <v>280000</v>
          </cell>
          <cell r="O16">
            <v>431998.81</v>
          </cell>
          <cell r="P16" t="str">
            <v>-</v>
          </cell>
          <cell r="Q16" t="str">
            <v>ENTERPRISE ACCOUNT MANAGER</v>
          </cell>
          <cell r="R16">
            <v>554560.81999999995</v>
          </cell>
          <cell r="S16">
            <v>6654729.8399999999</v>
          </cell>
          <cell r="T16">
            <v>6654728</v>
          </cell>
          <cell r="U16">
            <v>280000</v>
          </cell>
          <cell r="V16">
            <v>431998.81</v>
          </cell>
          <cell r="W16">
            <v>431998.75</v>
          </cell>
          <cell r="X16">
            <v>431998.75</v>
          </cell>
          <cell r="Y16">
            <v>431998.75</v>
          </cell>
          <cell r="Z16" t="str">
            <v>-</v>
          </cell>
          <cell r="AA16">
            <v>431998.75</v>
          </cell>
          <cell r="AB16" t="str">
            <v>ENTERPRISE ACCOUNT MANAGER</v>
          </cell>
          <cell r="AC16">
            <v>431998.75</v>
          </cell>
          <cell r="AD16">
            <v>431998.75</v>
          </cell>
          <cell r="AE16">
            <v>554560.81999999995</v>
          </cell>
          <cell r="AF16">
            <v>554560.5</v>
          </cell>
          <cell r="AG16">
            <v>6654729.8399999999</v>
          </cell>
        </row>
        <row r="17">
          <cell r="A17">
            <v>9</v>
          </cell>
          <cell r="B17" t="str">
            <v>ADEMOLA OMONI</v>
          </cell>
          <cell r="C17">
            <v>3166350</v>
          </cell>
          <cell r="D17">
            <v>2704863.64</v>
          </cell>
          <cell r="E17">
            <v>150000</v>
          </cell>
          <cell r="F17">
            <v>20000</v>
          </cell>
          <cell r="G17">
            <v>5000</v>
          </cell>
          <cell r="H17">
            <v>10000</v>
          </cell>
          <cell r="I17">
            <v>270486.36</v>
          </cell>
          <cell r="J17">
            <v>6000</v>
          </cell>
          <cell r="K17">
            <v>0</v>
          </cell>
          <cell r="L17">
            <v>222000</v>
          </cell>
          <cell r="M17">
            <v>4000</v>
          </cell>
          <cell r="N17">
            <v>120000</v>
          </cell>
          <cell r="O17" t="str">
            <v>-</v>
          </cell>
          <cell r="P17" t="str">
            <v>ENTERPRISE ACCOUNT MANAGER</v>
          </cell>
          <cell r="Q17">
            <v>270542.33</v>
          </cell>
          <cell r="R17">
            <v>3246507.96</v>
          </cell>
          <cell r="S17">
            <v>3246506</v>
          </cell>
          <cell r="T17">
            <v>3246506</v>
          </cell>
          <cell r="U17">
            <v>120000</v>
          </cell>
          <cell r="V17">
            <v>120000</v>
          </cell>
          <cell r="W17">
            <v>120000</v>
          </cell>
          <cell r="X17">
            <v>120000</v>
          </cell>
          <cell r="Y17">
            <v>120000</v>
          </cell>
          <cell r="Z17" t="str">
            <v>-</v>
          </cell>
          <cell r="AA17">
            <v>120000</v>
          </cell>
          <cell r="AB17" t="str">
            <v>ENTERPRISE ACCOUNT MANAGER</v>
          </cell>
          <cell r="AC17">
            <v>120000</v>
          </cell>
          <cell r="AD17">
            <v>120000</v>
          </cell>
          <cell r="AE17">
            <v>270542.33</v>
          </cell>
          <cell r="AF17">
            <v>270542.25</v>
          </cell>
          <cell r="AG17">
            <v>3246507.96</v>
          </cell>
        </row>
        <row r="18">
          <cell r="A18">
            <v>10</v>
          </cell>
          <cell r="B18" t="str">
            <v>ADENIYI KANYINOLA</v>
          </cell>
          <cell r="C18">
            <v>3321522.96</v>
          </cell>
          <cell r="D18">
            <v>2845929.96</v>
          </cell>
          <cell r="E18">
            <v>150000</v>
          </cell>
          <cell r="F18">
            <v>20000</v>
          </cell>
          <cell r="G18">
            <v>5000</v>
          </cell>
          <cell r="H18">
            <v>10000</v>
          </cell>
          <cell r="I18">
            <v>284593</v>
          </cell>
          <cell r="J18">
            <v>6000</v>
          </cell>
          <cell r="K18">
            <v>0</v>
          </cell>
          <cell r="L18">
            <v>222000</v>
          </cell>
          <cell r="M18">
            <v>4000</v>
          </cell>
          <cell r="N18">
            <v>120000</v>
          </cell>
          <cell r="O18" t="str">
            <v>-</v>
          </cell>
          <cell r="P18" t="str">
            <v>ENTERPRISE ACCOUNT MANAGER</v>
          </cell>
          <cell r="Q18">
            <v>185000</v>
          </cell>
          <cell r="R18">
            <v>2220000</v>
          </cell>
          <cell r="S18">
            <v>2220000</v>
          </cell>
          <cell r="T18">
            <v>2220000</v>
          </cell>
          <cell r="U18">
            <v>120000</v>
          </cell>
          <cell r="V18">
            <v>120000</v>
          </cell>
          <cell r="W18">
            <v>120000</v>
          </cell>
          <cell r="X18">
            <v>120000</v>
          </cell>
          <cell r="Y18">
            <v>120000</v>
          </cell>
          <cell r="Z18" t="str">
            <v>-</v>
          </cell>
          <cell r="AA18">
            <v>120000</v>
          </cell>
          <cell r="AB18" t="str">
            <v>ENTERPRISE ACCOUNT MANAGER</v>
          </cell>
          <cell r="AC18">
            <v>120000</v>
          </cell>
          <cell r="AD18">
            <v>120000</v>
          </cell>
          <cell r="AE18">
            <v>185000</v>
          </cell>
          <cell r="AF18">
            <v>185000</v>
          </cell>
          <cell r="AG18">
            <v>2220000</v>
          </cell>
        </row>
        <row r="19">
          <cell r="A19">
            <v>11</v>
          </cell>
          <cell r="B19" t="str">
            <v>EMEKA ONYEOKORO</v>
          </cell>
          <cell r="C19">
            <v>6153193.0800000001</v>
          </cell>
          <cell r="D19">
            <v>5420175.5300000003</v>
          </cell>
          <cell r="E19">
            <v>150000</v>
          </cell>
          <cell r="F19">
            <v>20000</v>
          </cell>
          <cell r="G19">
            <v>5000</v>
          </cell>
          <cell r="H19">
            <v>10000</v>
          </cell>
          <cell r="I19">
            <v>542017.55000000005</v>
          </cell>
          <cell r="J19">
            <v>6000</v>
          </cell>
          <cell r="K19">
            <v>0</v>
          </cell>
          <cell r="L19">
            <v>222000</v>
          </cell>
          <cell r="M19">
            <v>4000</v>
          </cell>
          <cell r="N19">
            <v>145000</v>
          </cell>
          <cell r="O19">
            <v>166077.76000000001</v>
          </cell>
          <cell r="P19" t="str">
            <v>-</v>
          </cell>
          <cell r="Q19" t="str">
            <v>ENTERPRISE ACCOUNT MANAGER</v>
          </cell>
          <cell r="R19">
            <v>331096.02</v>
          </cell>
          <cell r="S19">
            <v>3973152.24</v>
          </cell>
          <cell r="T19">
            <v>3973152</v>
          </cell>
          <cell r="U19">
            <v>145000</v>
          </cell>
          <cell r="V19">
            <v>166077.76000000001</v>
          </cell>
          <cell r="W19">
            <v>166077.75</v>
          </cell>
          <cell r="X19">
            <v>166077.75</v>
          </cell>
          <cell r="Y19">
            <v>166077.75</v>
          </cell>
          <cell r="Z19" t="str">
            <v>-</v>
          </cell>
          <cell r="AA19">
            <v>166077.75</v>
          </cell>
          <cell r="AB19" t="str">
            <v>ENTERPRISE ACCOUNT MANAGER</v>
          </cell>
          <cell r="AC19">
            <v>166077.75</v>
          </cell>
          <cell r="AD19">
            <v>166077.75</v>
          </cell>
          <cell r="AE19">
            <v>331096.02</v>
          </cell>
          <cell r="AF19">
            <v>331096</v>
          </cell>
          <cell r="AG19">
            <v>3973152.24</v>
          </cell>
        </row>
        <row r="20">
          <cell r="A20">
            <v>12</v>
          </cell>
          <cell r="B20" t="str">
            <v>BUKUNMI SEWEJE</v>
          </cell>
          <cell r="C20">
            <v>8074999.9199999999</v>
          </cell>
          <cell r="D20">
            <v>7167272.6500000004</v>
          </cell>
          <cell r="E20">
            <v>150000</v>
          </cell>
          <cell r="F20">
            <v>20000</v>
          </cell>
          <cell r="G20">
            <v>5000</v>
          </cell>
          <cell r="H20">
            <v>10000</v>
          </cell>
          <cell r="I20">
            <v>716727.27</v>
          </cell>
          <cell r="J20">
            <v>6000</v>
          </cell>
          <cell r="K20">
            <v>0</v>
          </cell>
          <cell r="L20">
            <v>222000</v>
          </cell>
          <cell r="M20">
            <v>4000</v>
          </cell>
          <cell r="N20">
            <v>180000</v>
          </cell>
          <cell r="O20" t="str">
            <v>-</v>
          </cell>
          <cell r="P20" t="str">
            <v>ENTERPRISE ACCOUNT MANAGER</v>
          </cell>
          <cell r="Q20">
            <v>181396.25</v>
          </cell>
          <cell r="R20">
            <v>2176755</v>
          </cell>
          <cell r="S20">
            <v>2176754</v>
          </cell>
          <cell r="T20">
            <v>2176754</v>
          </cell>
          <cell r="U20">
            <v>180000</v>
          </cell>
          <cell r="V20">
            <v>180000</v>
          </cell>
          <cell r="W20">
            <v>180000</v>
          </cell>
          <cell r="X20">
            <v>180000</v>
          </cell>
          <cell r="Y20">
            <v>180000</v>
          </cell>
          <cell r="Z20" t="str">
            <v>-</v>
          </cell>
          <cell r="AA20">
            <v>180000</v>
          </cell>
          <cell r="AB20" t="str">
            <v>ENTERPRISE ACCOUNT MANAGER</v>
          </cell>
          <cell r="AC20">
            <v>180000</v>
          </cell>
          <cell r="AD20">
            <v>180000</v>
          </cell>
          <cell r="AE20">
            <v>181396.25</v>
          </cell>
          <cell r="AF20">
            <v>181396.25</v>
          </cell>
          <cell r="AG20">
            <v>2176755</v>
          </cell>
        </row>
        <row r="21">
          <cell r="A21">
            <v>13</v>
          </cell>
          <cell r="B21" t="str">
            <v>ONYIA OKECHUKWU</v>
          </cell>
          <cell r="C21">
            <v>12609999.960000001</v>
          </cell>
          <cell r="D21">
            <v>11289999.960000001</v>
          </cell>
          <cell r="E21">
            <v>150000</v>
          </cell>
          <cell r="F21">
            <v>20000</v>
          </cell>
          <cell r="G21">
            <v>5000</v>
          </cell>
          <cell r="H21">
            <v>10000</v>
          </cell>
          <cell r="I21">
            <v>1129000</v>
          </cell>
          <cell r="J21">
            <v>6000</v>
          </cell>
          <cell r="K21">
            <v>0</v>
          </cell>
          <cell r="L21">
            <v>222000</v>
          </cell>
          <cell r="M21">
            <v>4000</v>
          </cell>
          <cell r="N21">
            <v>145000</v>
          </cell>
          <cell r="O21">
            <v>260000</v>
          </cell>
          <cell r="P21" t="str">
            <v>-</v>
          </cell>
          <cell r="Q21" t="str">
            <v>ENTERPRISE ACCOUNT MANAGER</v>
          </cell>
          <cell r="R21">
            <v>416666.67</v>
          </cell>
          <cell r="S21">
            <v>5000000</v>
          </cell>
          <cell r="T21">
            <v>5000000</v>
          </cell>
          <cell r="U21">
            <v>145000</v>
          </cell>
          <cell r="V21">
            <v>260000</v>
          </cell>
          <cell r="W21">
            <v>260000</v>
          </cell>
          <cell r="X21">
            <v>260000</v>
          </cell>
          <cell r="Y21">
            <v>260000</v>
          </cell>
          <cell r="Z21" t="str">
            <v>-</v>
          </cell>
          <cell r="AA21">
            <v>260000</v>
          </cell>
          <cell r="AB21" t="str">
            <v>ENTERPRISE ACCOUNT MANAGER</v>
          </cell>
          <cell r="AC21">
            <v>260000</v>
          </cell>
          <cell r="AD21">
            <v>260000</v>
          </cell>
          <cell r="AE21">
            <v>416666.67</v>
          </cell>
          <cell r="AF21">
            <v>416666.5</v>
          </cell>
          <cell r="AG21">
            <v>5000000</v>
          </cell>
        </row>
        <row r="22">
          <cell r="A22">
            <v>14</v>
          </cell>
          <cell r="B22" t="str">
            <v>MATHEW OLUOKUN</v>
          </cell>
          <cell r="C22">
            <v>4564839.5199999996</v>
          </cell>
          <cell r="D22">
            <v>3976217.75</v>
          </cell>
          <cell r="E22">
            <v>150000</v>
          </cell>
          <cell r="F22">
            <v>20000</v>
          </cell>
          <cell r="G22">
            <v>5000</v>
          </cell>
          <cell r="H22">
            <v>10000</v>
          </cell>
          <cell r="I22">
            <v>397621.78</v>
          </cell>
          <cell r="J22">
            <v>6000</v>
          </cell>
          <cell r="K22">
            <v>0</v>
          </cell>
          <cell r="L22">
            <v>222000</v>
          </cell>
          <cell r="M22">
            <v>4000</v>
          </cell>
          <cell r="N22">
            <v>145000</v>
          </cell>
          <cell r="O22" t="str">
            <v>-</v>
          </cell>
          <cell r="P22" t="str">
            <v>ENTERPRISE ACCOUNT MANAGER</v>
          </cell>
          <cell r="Q22">
            <v>347069.96</v>
          </cell>
          <cell r="R22">
            <v>4164839.52</v>
          </cell>
          <cell r="S22">
            <v>4164838</v>
          </cell>
          <cell r="T22">
            <v>4164838</v>
          </cell>
          <cell r="U22">
            <v>145000</v>
          </cell>
          <cell r="V22">
            <v>145000</v>
          </cell>
          <cell r="W22">
            <v>145000</v>
          </cell>
          <cell r="X22">
            <v>145000</v>
          </cell>
          <cell r="Y22">
            <v>145000</v>
          </cell>
          <cell r="Z22" t="str">
            <v>-</v>
          </cell>
          <cell r="AA22">
            <v>145000</v>
          </cell>
          <cell r="AB22" t="str">
            <v>ENTERPRISE ACCOUNT MANAGER</v>
          </cell>
          <cell r="AC22">
            <v>145000</v>
          </cell>
          <cell r="AD22">
            <v>145000</v>
          </cell>
          <cell r="AE22">
            <v>347069.96</v>
          </cell>
          <cell r="AF22">
            <v>347069.75</v>
          </cell>
          <cell r="AG22">
            <v>4164839.52</v>
          </cell>
        </row>
        <row r="23">
          <cell r="A23">
            <v>15</v>
          </cell>
          <cell r="B23" t="str">
            <v>EJIKE ONYENOKPORO</v>
          </cell>
          <cell r="C23">
            <v>10128451.439999999</v>
          </cell>
          <cell r="D23">
            <v>9034046.7599999998</v>
          </cell>
          <cell r="E23">
            <v>150000</v>
          </cell>
          <cell r="F23">
            <v>20000</v>
          </cell>
          <cell r="G23">
            <v>5000</v>
          </cell>
          <cell r="H23">
            <v>10000</v>
          </cell>
          <cell r="I23">
            <v>903404.68</v>
          </cell>
          <cell r="J23">
            <v>6000</v>
          </cell>
          <cell r="K23">
            <v>0</v>
          </cell>
          <cell r="L23">
            <v>222000</v>
          </cell>
          <cell r="M23">
            <v>4000</v>
          </cell>
          <cell r="N23">
            <v>180000</v>
          </cell>
          <cell r="O23" t="str">
            <v>-</v>
          </cell>
          <cell r="P23" t="str">
            <v>ENTERPRISE ACCOUNT MANAGER</v>
          </cell>
          <cell r="Q23">
            <v>762300</v>
          </cell>
          <cell r="R23">
            <v>9147600</v>
          </cell>
          <cell r="S23">
            <v>9147600</v>
          </cell>
          <cell r="T23">
            <v>9147600</v>
          </cell>
          <cell r="U23">
            <v>180000</v>
          </cell>
          <cell r="V23">
            <v>180000</v>
          </cell>
          <cell r="W23">
            <v>180000</v>
          </cell>
          <cell r="X23">
            <v>180000</v>
          </cell>
          <cell r="Y23">
            <v>180000</v>
          </cell>
          <cell r="Z23" t="str">
            <v>-</v>
          </cell>
          <cell r="AA23">
            <v>180000</v>
          </cell>
          <cell r="AB23" t="str">
            <v>ENTERPRISE ACCOUNT MANAGER</v>
          </cell>
          <cell r="AC23">
            <v>180000</v>
          </cell>
          <cell r="AD23">
            <v>180000</v>
          </cell>
          <cell r="AE23">
            <v>762300</v>
          </cell>
          <cell r="AF23">
            <v>762300</v>
          </cell>
          <cell r="AG23">
            <v>9147600</v>
          </cell>
        </row>
        <row r="24">
          <cell r="A24">
            <v>16</v>
          </cell>
          <cell r="B24" t="str">
            <v>KEHINDE POPOOLA</v>
          </cell>
          <cell r="C24">
            <v>2400000</v>
          </cell>
          <cell r="D24">
            <v>2008181.82</v>
          </cell>
          <cell r="E24">
            <v>150000</v>
          </cell>
          <cell r="F24">
            <v>20000</v>
          </cell>
          <cell r="G24">
            <v>5000</v>
          </cell>
          <cell r="H24">
            <v>10000</v>
          </cell>
          <cell r="I24">
            <v>200818.18</v>
          </cell>
          <cell r="J24">
            <v>6000</v>
          </cell>
          <cell r="K24">
            <v>0</v>
          </cell>
          <cell r="L24">
            <v>222000</v>
          </cell>
          <cell r="M24">
            <v>4000</v>
          </cell>
          <cell r="N24">
            <v>120000</v>
          </cell>
          <cell r="O24" t="str">
            <v>-</v>
          </cell>
          <cell r="P24" t="str">
            <v>ENTERPRISE ACCOUNT MANAGER</v>
          </cell>
          <cell r="Q24">
            <v>200000</v>
          </cell>
          <cell r="R24">
            <v>2400000</v>
          </cell>
          <cell r="S24">
            <v>2400000</v>
          </cell>
          <cell r="T24">
            <v>2400000</v>
          </cell>
          <cell r="U24">
            <v>120000</v>
          </cell>
          <cell r="V24">
            <v>120000</v>
          </cell>
          <cell r="W24">
            <v>120000</v>
          </cell>
          <cell r="X24">
            <v>120000</v>
          </cell>
          <cell r="Y24">
            <v>120000</v>
          </cell>
          <cell r="Z24" t="str">
            <v>-</v>
          </cell>
          <cell r="AA24">
            <v>120000</v>
          </cell>
          <cell r="AB24" t="str">
            <v>ENTERPRISE ACCOUNT MANAGER</v>
          </cell>
          <cell r="AC24">
            <v>120000</v>
          </cell>
          <cell r="AD24">
            <v>120000</v>
          </cell>
          <cell r="AE24">
            <v>200000</v>
          </cell>
          <cell r="AF24">
            <v>200000</v>
          </cell>
          <cell r="AG24">
            <v>2400000</v>
          </cell>
        </row>
        <row r="25">
          <cell r="A25">
            <v>17</v>
          </cell>
          <cell r="B25" t="str">
            <v>ADEYEMI OKEOWO</v>
          </cell>
          <cell r="C25">
            <v>4535600.04</v>
          </cell>
          <cell r="D25">
            <v>3949636.4</v>
          </cell>
          <cell r="E25">
            <v>150000</v>
          </cell>
          <cell r="F25">
            <v>20000</v>
          </cell>
          <cell r="G25">
            <v>5000</v>
          </cell>
          <cell r="H25">
            <v>10000</v>
          </cell>
          <cell r="I25">
            <v>394963.64</v>
          </cell>
          <cell r="J25">
            <v>6000</v>
          </cell>
          <cell r="K25">
            <v>0</v>
          </cell>
          <cell r="L25">
            <v>222000</v>
          </cell>
          <cell r="M25">
            <v>4000</v>
          </cell>
          <cell r="N25">
            <v>120000</v>
          </cell>
          <cell r="O25" t="str">
            <v>-</v>
          </cell>
          <cell r="P25" t="str">
            <v>ENTERPRISE ACCOUNT MANAGER</v>
          </cell>
          <cell r="Q25">
            <v>362966.67</v>
          </cell>
          <cell r="R25">
            <v>4355600</v>
          </cell>
          <cell r="S25">
            <v>4355600</v>
          </cell>
          <cell r="T25">
            <v>4355600</v>
          </cell>
          <cell r="U25">
            <v>120000</v>
          </cell>
          <cell r="V25">
            <v>120000</v>
          </cell>
          <cell r="W25">
            <v>120000</v>
          </cell>
          <cell r="X25">
            <v>120000</v>
          </cell>
          <cell r="Y25">
            <v>120000</v>
          </cell>
          <cell r="Z25" t="str">
            <v>-</v>
          </cell>
          <cell r="AA25">
            <v>120000</v>
          </cell>
          <cell r="AB25" t="str">
            <v>ENTERPRISE ACCOUNT MANAGER</v>
          </cell>
          <cell r="AC25">
            <v>120000</v>
          </cell>
          <cell r="AD25">
            <v>120000</v>
          </cell>
          <cell r="AE25">
            <v>362966.67</v>
          </cell>
          <cell r="AF25">
            <v>362966.5</v>
          </cell>
          <cell r="AG25">
            <v>4355600</v>
          </cell>
        </row>
        <row r="26">
          <cell r="A26">
            <v>18</v>
          </cell>
          <cell r="B26" t="str">
            <v>CHRISTIE ELENDU</v>
          </cell>
          <cell r="C26">
            <v>3900000</v>
          </cell>
          <cell r="D26">
            <v>3371818.18</v>
          </cell>
          <cell r="E26">
            <v>150000</v>
          </cell>
          <cell r="F26">
            <v>20000</v>
          </cell>
          <cell r="G26">
            <v>5000</v>
          </cell>
          <cell r="H26">
            <v>10000</v>
          </cell>
          <cell r="I26">
            <v>337181.82</v>
          </cell>
          <cell r="J26">
            <v>6000</v>
          </cell>
          <cell r="K26">
            <v>0</v>
          </cell>
          <cell r="L26">
            <v>222000</v>
          </cell>
          <cell r="M26">
            <v>4000</v>
          </cell>
          <cell r="N26">
            <v>145000</v>
          </cell>
          <cell r="O26">
            <v>130000</v>
          </cell>
          <cell r="P26" t="str">
            <v>-</v>
          </cell>
          <cell r="Q26" t="str">
            <v>PARTNER SALES PARTNER REPRESENTATIVE</v>
          </cell>
          <cell r="R26">
            <v>39090</v>
          </cell>
          <cell r="S26">
            <v>250000</v>
          </cell>
          <cell r="T26">
            <v>3000000</v>
          </cell>
          <cell r="U26">
            <v>145000</v>
          </cell>
          <cell r="V26">
            <v>130000</v>
          </cell>
          <cell r="W26">
            <v>130000</v>
          </cell>
          <cell r="X26">
            <v>130000</v>
          </cell>
          <cell r="Y26">
            <v>130000</v>
          </cell>
          <cell r="Z26" t="str">
            <v>-</v>
          </cell>
          <cell r="AA26">
            <v>130000</v>
          </cell>
          <cell r="AB26" t="str">
            <v>PARTNER SALES PARTNER REPRESENTATIVE</v>
          </cell>
          <cell r="AC26">
            <v>39090</v>
          </cell>
          <cell r="AD26">
            <v>39090</v>
          </cell>
          <cell r="AE26">
            <v>250000</v>
          </cell>
          <cell r="AF26">
            <v>250000</v>
          </cell>
          <cell r="AG26">
            <v>3000000</v>
          </cell>
        </row>
        <row r="27">
          <cell r="A27">
            <v>19</v>
          </cell>
          <cell r="B27" t="str">
            <v>ADEBISI GRILLO</v>
          </cell>
          <cell r="C27">
            <v>1886625</v>
          </cell>
          <cell r="D27">
            <v>1541477.27</v>
          </cell>
          <cell r="E27">
            <v>150000</v>
          </cell>
          <cell r="F27">
            <v>20000</v>
          </cell>
          <cell r="G27">
            <v>5000</v>
          </cell>
          <cell r="H27">
            <v>10000</v>
          </cell>
          <cell r="I27">
            <v>154147.73000000001</v>
          </cell>
          <cell r="J27">
            <v>6000</v>
          </cell>
          <cell r="K27">
            <v>0</v>
          </cell>
          <cell r="L27">
            <v>0</v>
          </cell>
          <cell r="M27">
            <v>4000</v>
          </cell>
          <cell r="N27">
            <v>0</v>
          </cell>
          <cell r="O27" t="str">
            <v>-</v>
          </cell>
          <cell r="P27" t="str">
            <v>ENTERPRISE ACCOUNT MANAGER</v>
          </cell>
          <cell r="Q27">
            <v>39084</v>
          </cell>
          <cell r="R27">
            <v>150000</v>
          </cell>
          <cell r="S27">
            <v>1800000</v>
          </cell>
          <cell r="T27">
            <v>1800000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 t="str">
            <v>-</v>
          </cell>
          <cell r="AA27">
            <v>0</v>
          </cell>
          <cell r="AB27" t="str">
            <v>ENTERPRISE ACCOUNT MANAGER</v>
          </cell>
          <cell r="AC27">
            <v>39084</v>
          </cell>
          <cell r="AD27">
            <v>39084</v>
          </cell>
          <cell r="AE27">
            <v>150000</v>
          </cell>
          <cell r="AF27">
            <v>150000</v>
          </cell>
          <cell r="AG27">
            <v>1800000</v>
          </cell>
        </row>
        <row r="28">
          <cell r="A28">
            <v>20</v>
          </cell>
          <cell r="B28" t="str">
            <v>CHUKWUEMEKA CHUKWUKA</v>
          </cell>
          <cell r="C28">
            <v>5763566.1600000001</v>
          </cell>
          <cell r="D28">
            <v>5065969.24</v>
          </cell>
          <cell r="E28">
            <v>150000</v>
          </cell>
          <cell r="F28">
            <v>20000</v>
          </cell>
          <cell r="G28">
            <v>5000</v>
          </cell>
          <cell r="H28">
            <v>10000</v>
          </cell>
          <cell r="I28">
            <v>506596.92</v>
          </cell>
          <cell r="J28">
            <v>6000</v>
          </cell>
          <cell r="K28">
            <v>0</v>
          </cell>
          <cell r="L28">
            <v>222000</v>
          </cell>
          <cell r="M28">
            <v>4000</v>
          </cell>
          <cell r="N28">
            <v>145000</v>
          </cell>
          <cell r="O28">
            <v>149800</v>
          </cell>
          <cell r="P28" t="str">
            <v>-</v>
          </cell>
          <cell r="Q28" t="str">
            <v>ENTERPRISE ACCOUNT MANAGER PUBLIC SECTOR</v>
          </cell>
          <cell r="R28">
            <v>39104</v>
          </cell>
          <cell r="S28">
            <v>350000</v>
          </cell>
          <cell r="T28">
            <v>4200000</v>
          </cell>
          <cell r="U28">
            <v>145000</v>
          </cell>
          <cell r="V28">
            <v>149800</v>
          </cell>
          <cell r="W28">
            <v>149800</v>
          </cell>
          <cell r="X28">
            <v>149800</v>
          </cell>
          <cell r="Y28">
            <v>149800</v>
          </cell>
          <cell r="Z28" t="str">
            <v>-</v>
          </cell>
          <cell r="AA28">
            <v>149800</v>
          </cell>
          <cell r="AB28" t="str">
            <v>ENTERPRISE ACCOUNT MANAGER PUBLIC SECTOR</v>
          </cell>
          <cell r="AC28">
            <v>39104</v>
          </cell>
          <cell r="AD28">
            <v>39104</v>
          </cell>
          <cell r="AE28">
            <v>350000</v>
          </cell>
          <cell r="AF28">
            <v>350000</v>
          </cell>
          <cell r="AG28">
            <v>4200000</v>
          </cell>
        </row>
        <row r="29">
          <cell r="A29">
            <v>21</v>
          </cell>
          <cell r="B29" t="str">
            <v>PHILIP AJIFOWOBAJE</v>
          </cell>
          <cell r="C29">
            <v>2205900</v>
          </cell>
          <cell r="D29">
            <v>1831727.27</v>
          </cell>
          <cell r="E29">
            <v>150000</v>
          </cell>
          <cell r="F29">
            <v>20000</v>
          </cell>
          <cell r="G29">
            <v>5000</v>
          </cell>
          <cell r="H29">
            <v>10000</v>
          </cell>
          <cell r="I29">
            <v>183172.73</v>
          </cell>
          <cell r="J29">
            <v>6000</v>
          </cell>
          <cell r="K29">
            <v>0</v>
          </cell>
          <cell r="L29">
            <v>222000</v>
          </cell>
          <cell r="M29">
            <v>4000</v>
          </cell>
          <cell r="N29">
            <v>120000</v>
          </cell>
          <cell r="O29">
            <v>77400</v>
          </cell>
          <cell r="P29" t="str">
            <v>-</v>
          </cell>
          <cell r="Q29" t="str">
            <v>PRODUCT SPECIALIST REPRESENTATIVE (SOLUTION)</v>
          </cell>
          <cell r="R29">
            <v>39099</v>
          </cell>
          <cell r="S29">
            <v>150000</v>
          </cell>
          <cell r="T29">
            <v>1800000</v>
          </cell>
          <cell r="U29">
            <v>120000</v>
          </cell>
          <cell r="V29">
            <v>77400</v>
          </cell>
          <cell r="W29">
            <v>77400</v>
          </cell>
          <cell r="X29">
            <v>77400</v>
          </cell>
          <cell r="Y29">
            <v>77400</v>
          </cell>
          <cell r="Z29" t="str">
            <v>-</v>
          </cell>
          <cell r="AA29">
            <v>77400</v>
          </cell>
          <cell r="AB29" t="str">
            <v>PRODUCT SPECIALIST REPRESENTATIVE (SOLUTION)</v>
          </cell>
          <cell r="AC29">
            <v>39099</v>
          </cell>
          <cell r="AD29">
            <v>39099</v>
          </cell>
          <cell r="AE29">
            <v>150000</v>
          </cell>
          <cell r="AF29">
            <v>150000</v>
          </cell>
          <cell r="AG29">
            <v>1800000</v>
          </cell>
        </row>
        <row r="30">
          <cell r="A30">
            <v>22</v>
          </cell>
          <cell r="B30" t="str">
            <v>AHMED SHABANI</v>
          </cell>
          <cell r="C30">
            <v>2107195.2000000002</v>
          </cell>
          <cell r="D30">
            <v>1741995.64</v>
          </cell>
          <cell r="E30">
            <v>150000</v>
          </cell>
          <cell r="F30">
            <v>20000</v>
          </cell>
          <cell r="G30">
            <v>5000</v>
          </cell>
          <cell r="H30">
            <v>10000</v>
          </cell>
          <cell r="I30">
            <v>174199.56</v>
          </cell>
          <cell r="J30">
            <v>6000</v>
          </cell>
          <cell r="K30">
            <v>0</v>
          </cell>
          <cell r="L30">
            <v>222000</v>
          </cell>
          <cell r="M30">
            <v>4000</v>
          </cell>
          <cell r="N30">
            <v>120000</v>
          </cell>
          <cell r="O30" t="str">
            <v>-</v>
          </cell>
          <cell r="P30">
            <v>39146</v>
          </cell>
          <cell r="Q30">
            <v>184841.67</v>
          </cell>
          <cell r="R30">
            <v>2218100.04</v>
          </cell>
          <cell r="S30">
            <v>2218100</v>
          </cell>
          <cell r="T30">
            <v>2218100</v>
          </cell>
          <cell r="U30">
            <v>120000</v>
          </cell>
          <cell r="V30">
            <v>120000</v>
          </cell>
          <cell r="W30">
            <v>120000</v>
          </cell>
          <cell r="X30">
            <v>120000</v>
          </cell>
          <cell r="Y30">
            <v>120000</v>
          </cell>
          <cell r="Z30" t="str">
            <v>-</v>
          </cell>
          <cell r="AA30">
            <v>120000</v>
          </cell>
          <cell r="AB30">
            <v>120000</v>
          </cell>
          <cell r="AC30">
            <v>39146</v>
          </cell>
          <cell r="AD30">
            <v>39146</v>
          </cell>
          <cell r="AE30">
            <v>184841.67</v>
          </cell>
          <cell r="AF30">
            <v>184841.625</v>
          </cell>
          <cell r="AG30">
            <v>2218100.04</v>
          </cell>
        </row>
        <row r="31">
          <cell r="A31">
            <v>23</v>
          </cell>
          <cell r="B31" t="str">
            <v>ODO-EFFIONG ANNIE</v>
          </cell>
          <cell r="C31">
            <v>4804800.0539999995</v>
          </cell>
          <cell r="D31">
            <v>4194363.6900000004</v>
          </cell>
          <cell r="E31">
            <v>150000</v>
          </cell>
          <cell r="F31">
            <v>20000</v>
          </cell>
          <cell r="G31">
            <v>5000</v>
          </cell>
          <cell r="H31">
            <v>10000</v>
          </cell>
          <cell r="I31">
            <v>419436.37</v>
          </cell>
          <cell r="J31">
            <v>6000</v>
          </cell>
          <cell r="K31">
            <v>0</v>
          </cell>
          <cell r="L31">
            <v>222000</v>
          </cell>
          <cell r="M31">
            <v>4000</v>
          </cell>
          <cell r="N31">
            <v>145000</v>
          </cell>
          <cell r="O31">
            <v>160110</v>
          </cell>
          <cell r="P31" t="str">
            <v>-</v>
          </cell>
          <cell r="Q31">
            <v>39204</v>
          </cell>
          <cell r="R31">
            <v>325000</v>
          </cell>
          <cell r="S31">
            <v>3900000</v>
          </cell>
          <cell r="T31">
            <v>3900000</v>
          </cell>
          <cell r="U31">
            <v>145000</v>
          </cell>
          <cell r="V31">
            <v>160110</v>
          </cell>
          <cell r="W31">
            <v>160110</v>
          </cell>
          <cell r="X31">
            <v>160110</v>
          </cell>
          <cell r="Y31">
            <v>160110</v>
          </cell>
          <cell r="Z31" t="str">
            <v>-</v>
          </cell>
          <cell r="AA31">
            <v>160110</v>
          </cell>
          <cell r="AB31">
            <v>160110</v>
          </cell>
          <cell r="AC31">
            <v>39204</v>
          </cell>
          <cell r="AD31">
            <v>39204</v>
          </cell>
          <cell r="AE31">
            <v>325000</v>
          </cell>
          <cell r="AF31">
            <v>325000</v>
          </cell>
          <cell r="AG31">
            <v>3900000</v>
          </cell>
        </row>
        <row r="32">
          <cell r="A32">
            <v>24</v>
          </cell>
          <cell r="B32" t="str">
            <v>KOJO IFEYINWA AGATHA-CHRISTY</v>
          </cell>
          <cell r="C32">
            <v>5499999.96</v>
          </cell>
          <cell r="D32">
            <v>4826363.5999999996</v>
          </cell>
          <cell r="E32">
            <v>150000</v>
          </cell>
          <cell r="F32">
            <v>20000</v>
          </cell>
          <cell r="G32">
            <v>5000</v>
          </cell>
          <cell r="H32">
            <v>10000</v>
          </cell>
          <cell r="I32">
            <v>482636.36</v>
          </cell>
          <cell r="J32">
            <v>6000</v>
          </cell>
          <cell r="K32">
            <v>0</v>
          </cell>
          <cell r="L32">
            <v>222000</v>
          </cell>
          <cell r="M32">
            <v>4000</v>
          </cell>
          <cell r="N32">
            <v>145000</v>
          </cell>
          <cell r="O32" t="str">
            <v>-</v>
          </cell>
          <cell r="P32">
            <v>39204</v>
          </cell>
          <cell r="Q32">
            <v>458333.33</v>
          </cell>
          <cell r="R32">
            <v>5499999.96</v>
          </cell>
          <cell r="S32">
            <v>5499996</v>
          </cell>
          <cell r="T32">
            <v>5499996</v>
          </cell>
          <cell r="U32">
            <v>145000</v>
          </cell>
          <cell r="V32">
            <v>145000</v>
          </cell>
          <cell r="W32">
            <v>145000</v>
          </cell>
          <cell r="X32">
            <v>145000</v>
          </cell>
          <cell r="Y32">
            <v>145000</v>
          </cell>
          <cell r="Z32" t="str">
            <v>-</v>
          </cell>
          <cell r="AA32">
            <v>145000</v>
          </cell>
          <cell r="AB32">
            <v>145000</v>
          </cell>
          <cell r="AC32">
            <v>39204</v>
          </cell>
          <cell r="AD32">
            <v>39204</v>
          </cell>
          <cell r="AE32">
            <v>458333.33</v>
          </cell>
          <cell r="AF32">
            <v>458333.25</v>
          </cell>
          <cell r="AG32">
            <v>5499999.96</v>
          </cell>
        </row>
        <row r="33">
          <cell r="A33">
            <v>25</v>
          </cell>
          <cell r="B33" t="str">
            <v>YAKUBU HUSSAINI</v>
          </cell>
          <cell r="C33">
            <v>5431999.9199999999</v>
          </cell>
          <cell r="D33">
            <v>4764545.38</v>
          </cell>
          <cell r="E33">
            <v>150000</v>
          </cell>
          <cell r="F33">
            <v>20000</v>
          </cell>
          <cell r="G33">
            <v>5000</v>
          </cell>
          <cell r="H33">
            <v>10000</v>
          </cell>
          <cell r="I33">
            <v>476454.54</v>
          </cell>
          <cell r="J33">
            <v>6000</v>
          </cell>
          <cell r="K33">
            <v>0</v>
          </cell>
          <cell r="L33">
            <v>222000</v>
          </cell>
          <cell r="M33">
            <v>4000</v>
          </cell>
          <cell r="N33">
            <v>145000</v>
          </cell>
          <cell r="O33">
            <v>112000</v>
          </cell>
          <cell r="P33" t="str">
            <v>-</v>
          </cell>
          <cell r="Q33">
            <v>39204</v>
          </cell>
          <cell r="R33">
            <v>250000</v>
          </cell>
          <cell r="S33">
            <v>3000000</v>
          </cell>
          <cell r="T33">
            <v>3000000</v>
          </cell>
          <cell r="U33">
            <v>145000</v>
          </cell>
          <cell r="V33">
            <v>112000</v>
          </cell>
          <cell r="W33">
            <v>112000</v>
          </cell>
          <cell r="X33">
            <v>112000</v>
          </cell>
          <cell r="Y33">
            <v>112000</v>
          </cell>
          <cell r="Z33" t="str">
            <v>-</v>
          </cell>
          <cell r="AA33">
            <v>112000</v>
          </cell>
          <cell r="AB33">
            <v>112000</v>
          </cell>
          <cell r="AC33">
            <v>39204</v>
          </cell>
          <cell r="AD33">
            <v>39204</v>
          </cell>
          <cell r="AE33">
            <v>250000</v>
          </cell>
          <cell r="AF33">
            <v>250000</v>
          </cell>
          <cell r="AG33">
            <v>3000000</v>
          </cell>
        </row>
        <row r="34">
          <cell r="A34">
            <v>26</v>
          </cell>
          <cell r="B34" t="str">
            <v>RUTH LEBECHUKWU UZONDU</v>
          </cell>
          <cell r="C34">
            <v>3800000.04</v>
          </cell>
          <cell r="D34">
            <v>3280909.13</v>
          </cell>
          <cell r="E34">
            <v>150000</v>
          </cell>
          <cell r="F34">
            <v>20000</v>
          </cell>
          <cell r="G34">
            <v>5000</v>
          </cell>
          <cell r="H34">
            <v>10000</v>
          </cell>
          <cell r="I34">
            <v>328090.90999999997</v>
          </cell>
          <cell r="J34">
            <v>6000</v>
          </cell>
          <cell r="K34">
            <v>0</v>
          </cell>
          <cell r="L34">
            <v>222000</v>
          </cell>
          <cell r="M34">
            <v>4000</v>
          </cell>
          <cell r="N34">
            <v>145000</v>
          </cell>
          <cell r="O34" t="str">
            <v>-</v>
          </cell>
          <cell r="P34">
            <v>39234</v>
          </cell>
          <cell r="Q34">
            <v>250000</v>
          </cell>
          <cell r="R34">
            <v>3000000</v>
          </cell>
          <cell r="S34">
            <v>3000000</v>
          </cell>
          <cell r="T34">
            <v>3000000</v>
          </cell>
          <cell r="U34">
            <v>145000</v>
          </cell>
          <cell r="V34">
            <v>145000</v>
          </cell>
          <cell r="W34">
            <v>145000</v>
          </cell>
          <cell r="X34">
            <v>145000</v>
          </cell>
          <cell r="Y34">
            <v>145000</v>
          </cell>
          <cell r="Z34" t="str">
            <v>-</v>
          </cell>
          <cell r="AA34">
            <v>145000</v>
          </cell>
          <cell r="AB34">
            <v>145000</v>
          </cell>
          <cell r="AC34">
            <v>39234</v>
          </cell>
          <cell r="AD34">
            <v>39234</v>
          </cell>
          <cell r="AE34">
            <v>250000</v>
          </cell>
          <cell r="AF34">
            <v>250000</v>
          </cell>
          <cell r="AG34">
            <v>3000000</v>
          </cell>
        </row>
        <row r="35">
          <cell r="A35">
            <v>27</v>
          </cell>
          <cell r="B35" t="str">
            <v>PAULINE INENEMOH</v>
          </cell>
          <cell r="C35">
            <v>2850000</v>
          </cell>
          <cell r="D35">
            <v>2417272.73</v>
          </cell>
          <cell r="E35">
            <v>150000</v>
          </cell>
          <cell r="F35">
            <v>20000</v>
          </cell>
          <cell r="G35">
            <v>5000</v>
          </cell>
          <cell r="H35">
            <v>10000</v>
          </cell>
          <cell r="I35">
            <v>241727.27</v>
          </cell>
          <cell r="J35">
            <v>6000</v>
          </cell>
          <cell r="K35">
            <v>0</v>
          </cell>
          <cell r="L35">
            <v>222000</v>
          </cell>
          <cell r="M35">
            <v>4000</v>
          </cell>
          <cell r="N35">
            <v>145000</v>
          </cell>
          <cell r="O35">
            <v>100000</v>
          </cell>
          <cell r="P35" t="str">
            <v>-</v>
          </cell>
          <cell r="Q35">
            <v>39237</v>
          </cell>
          <cell r="R35">
            <v>250000</v>
          </cell>
          <cell r="S35">
            <v>3000000</v>
          </cell>
          <cell r="T35">
            <v>3000000</v>
          </cell>
          <cell r="U35">
            <v>145000</v>
          </cell>
          <cell r="V35">
            <v>100000</v>
          </cell>
          <cell r="W35">
            <v>100000</v>
          </cell>
          <cell r="X35">
            <v>100000</v>
          </cell>
          <cell r="Y35">
            <v>100000</v>
          </cell>
          <cell r="Z35" t="str">
            <v>-</v>
          </cell>
          <cell r="AA35">
            <v>100000</v>
          </cell>
          <cell r="AB35">
            <v>100000</v>
          </cell>
          <cell r="AC35">
            <v>39237</v>
          </cell>
          <cell r="AD35">
            <v>39237</v>
          </cell>
          <cell r="AE35">
            <v>250000</v>
          </cell>
          <cell r="AF35">
            <v>250000</v>
          </cell>
          <cell r="AG35">
            <v>3000000</v>
          </cell>
        </row>
        <row r="36">
          <cell r="A36">
            <v>28</v>
          </cell>
          <cell r="B36" t="str">
            <v>MARTINS KANAYO NDIGWE</v>
          </cell>
          <cell r="C36">
            <v>6120000</v>
          </cell>
          <cell r="D36">
            <v>5390000</v>
          </cell>
          <cell r="E36">
            <v>150000</v>
          </cell>
          <cell r="F36">
            <v>20000</v>
          </cell>
          <cell r="G36">
            <v>5000</v>
          </cell>
          <cell r="H36">
            <v>10000</v>
          </cell>
          <cell r="I36">
            <v>539000</v>
          </cell>
          <cell r="J36">
            <v>6000</v>
          </cell>
          <cell r="K36">
            <v>0</v>
          </cell>
          <cell r="L36">
            <v>222000</v>
          </cell>
          <cell r="M36">
            <v>4000</v>
          </cell>
          <cell r="N36">
            <v>145000</v>
          </cell>
          <cell r="O36">
            <v>170000</v>
          </cell>
          <cell r="P36" t="str">
            <v>-</v>
          </cell>
          <cell r="Q36">
            <v>39248</v>
          </cell>
          <cell r="R36">
            <v>425000</v>
          </cell>
          <cell r="S36">
            <v>5100000</v>
          </cell>
          <cell r="T36">
            <v>5100000</v>
          </cell>
          <cell r="U36">
            <v>145000</v>
          </cell>
          <cell r="V36">
            <v>170000</v>
          </cell>
          <cell r="W36">
            <v>170000</v>
          </cell>
          <cell r="X36">
            <v>170000</v>
          </cell>
          <cell r="Y36">
            <v>170000</v>
          </cell>
          <cell r="Z36" t="str">
            <v>-</v>
          </cell>
          <cell r="AA36">
            <v>170000</v>
          </cell>
          <cell r="AB36">
            <v>170000</v>
          </cell>
          <cell r="AC36">
            <v>39248</v>
          </cell>
          <cell r="AD36">
            <v>39248</v>
          </cell>
          <cell r="AE36">
            <v>425000</v>
          </cell>
          <cell r="AF36">
            <v>425000</v>
          </cell>
          <cell r="AG36">
            <v>5100000</v>
          </cell>
        </row>
        <row r="37">
          <cell r="A37">
            <v>29</v>
          </cell>
          <cell r="B37" t="str">
            <v>TOSIN OKUBANJO</v>
          </cell>
          <cell r="C37">
            <v>3828000</v>
          </cell>
          <cell r="D37">
            <v>3306363.64</v>
          </cell>
          <cell r="E37">
            <v>150000</v>
          </cell>
          <cell r="F37">
            <v>20000</v>
          </cell>
          <cell r="G37">
            <v>5000</v>
          </cell>
          <cell r="H37">
            <v>10000</v>
          </cell>
          <cell r="I37">
            <v>330636.36</v>
          </cell>
          <cell r="J37">
            <v>6000</v>
          </cell>
          <cell r="K37">
            <v>0</v>
          </cell>
          <cell r="L37">
            <v>222000</v>
          </cell>
          <cell r="M37">
            <v>4000</v>
          </cell>
          <cell r="N37">
            <v>145000</v>
          </cell>
          <cell r="O37" t="str">
            <v>-</v>
          </cell>
          <cell r="P37">
            <v>39295</v>
          </cell>
          <cell r="Q37">
            <v>319000</v>
          </cell>
          <cell r="R37">
            <v>3828000</v>
          </cell>
          <cell r="S37">
            <v>3828000</v>
          </cell>
          <cell r="T37">
            <v>3828000</v>
          </cell>
          <cell r="U37">
            <v>145000</v>
          </cell>
          <cell r="V37">
            <v>145000</v>
          </cell>
          <cell r="W37">
            <v>145000</v>
          </cell>
          <cell r="X37">
            <v>145000</v>
          </cell>
          <cell r="Y37">
            <v>145000</v>
          </cell>
          <cell r="Z37" t="str">
            <v>-</v>
          </cell>
          <cell r="AA37">
            <v>145000</v>
          </cell>
          <cell r="AB37">
            <v>145000</v>
          </cell>
          <cell r="AC37">
            <v>39295</v>
          </cell>
          <cell r="AD37">
            <v>39295</v>
          </cell>
          <cell r="AE37">
            <v>319000</v>
          </cell>
          <cell r="AF37">
            <v>319000</v>
          </cell>
          <cell r="AG37">
            <v>3828000</v>
          </cell>
        </row>
        <row r="38">
          <cell r="A38">
            <v>30</v>
          </cell>
          <cell r="B38" t="str">
            <v>GEORGE CHINONSO MEDEBEM</v>
          </cell>
          <cell r="C38">
            <v>7275000</v>
          </cell>
          <cell r="D38">
            <v>6440000</v>
          </cell>
          <cell r="E38">
            <v>150000</v>
          </cell>
          <cell r="F38">
            <v>20000</v>
          </cell>
          <cell r="G38">
            <v>5000</v>
          </cell>
          <cell r="H38">
            <v>10000</v>
          </cell>
          <cell r="I38">
            <v>644000</v>
          </cell>
          <cell r="J38">
            <v>6000</v>
          </cell>
          <cell r="K38">
            <v>0</v>
          </cell>
          <cell r="L38">
            <v>222000</v>
          </cell>
          <cell r="M38">
            <v>4000</v>
          </cell>
          <cell r="N38">
            <v>145000</v>
          </cell>
          <cell r="O38">
            <v>150000</v>
          </cell>
          <cell r="P38" t="str">
            <v>-</v>
          </cell>
          <cell r="Q38">
            <v>39328</v>
          </cell>
          <cell r="R38">
            <v>319000</v>
          </cell>
          <cell r="S38">
            <v>3828000</v>
          </cell>
          <cell r="T38">
            <v>3828000</v>
          </cell>
          <cell r="U38">
            <v>145000</v>
          </cell>
          <cell r="V38">
            <v>150000</v>
          </cell>
          <cell r="W38">
            <v>150000</v>
          </cell>
          <cell r="X38">
            <v>150000</v>
          </cell>
          <cell r="Y38">
            <v>150000</v>
          </cell>
          <cell r="Z38" t="str">
            <v>-</v>
          </cell>
          <cell r="AA38">
            <v>150000</v>
          </cell>
          <cell r="AB38">
            <v>150000</v>
          </cell>
          <cell r="AC38">
            <v>39328</v>
          </cell>
          <cell r="AD38">
            <v>39328</v>
          </cell>
          <cell r="AE38">
            <v>319000</v>
          </cell>
          <cell r="AF38">
            <v>319000</v>
          </cell>
          <cell r="AG38">
            <v>3828000</v>
          </cell>
        </row>
        <row r="39">
          <cell r="A39">
            <v>31</v>
          </cell>
          <cell r="B39" t="str">
            <v>IZUORA ARINZE</v>
          </cell>
          <cell r="C39">
            <v>8740000.0800000001</v>
          </cell>
          <cell r="D39">
            <v>7771818.25</v>
          </cell>
          <cell r="E39">
            <v>150000</v>
          </cell>
          <cell r="F39">
            <v>20000</v>
          </cell>
          <cell r="G39">
            <v>5000</v>
          </cell>
          <cell r="H39">
            <v>10000</v>
          </cell>
          <cell r="I39">
            <v>777181.83</v>
          </cell>
          <cell r="J39">
            <v>6000</v>
          </cell>
          <cell r="K39">
            <v>0</v>
          </cell>
          <cell r="L39">
            <v>222000</v>
          </cell>
          <cell r="M39">
            <v>4000</v>
          </cell>
          <cell r="N39">
            <v>145000</v>
          </cell>
          <cell r="O39" t="str">
            <v>-</v>
          </cell>
          <cell r="P39">
            <v>39370</v>
          </cell>
          <cell r="Q39">
            <v>319000</v>
          </cell>
          <cell r="R39">
            <v>3828000</v>
          </cell>
          <cell r="S39">
            <v>3828000</v>
          </cell>
          <cell r="T39">
            <v>3828000</v>
          </cell>
          <cell r="U39">
            <v>145000</v>
          </cell>
          <cell r="V39">
            <v>145000</v>
          </cell>
          <cell r="W39">
            <v>145000</v>
          </cell>
          <cell r="X39">
            <v>145000</v>
          </cell>
          <cell r="Y39">
            <v>145000</v>
          </cell>
          <cell r="Z39" t="str">
            <v>-</v>
          </cell>
          <cell r="AA39">
            <v>145000</v>
          </cell>
          <cell r="AB39">
            <v>145000</v>
          </cell>
          <cell r="AC39">
            <v>39370</v>
          </cell>
          <cell r="AD39">
            <v>39370</v>
          </cell>
          <cell r="AE39">
            <v>319000</v>
          </cell>
          <cell r="AF39">
            <v>319000</v>
          </cell>
          <cell r="AG39">
            <v>3828000</v>
          </cell>
        </row>
        <row r="40">
          <cell r="A40">
            <v>32</v>
          </cell>
          <cell r="B40" t="str">
            <v>GAMBO OLUFEMI SANUSI</v>
          </cell>
          <cell r="C40">
            <v>8930000</v>
          </cell>
          <cell r="D40">
            <v>7944545.4500000002</v>
          </cell>
          <cell r="E40">
            <v>150000</v>
          </cell>
          <cell r="F40">
            <v>20000</v>
          </cell>
          <cell r="G40">
            <v>5000</v>
          </cell>
          <cell r="H40">
            <v>10000</v>
          </cell>
          <cell r="I40">
            <v>794454.55</v>
          </cell>
          <cell r="J40">
            <v>6000</v>
          </cell>
          <cell r="K40">
            <v>0</v>
          </cell>
          <cell r="L40">
            <v>222000</v>
          </cell>
          <cell r="M40">
            <v>4000</v>
          </cell>
          <cell r="N40">
            <v>145000</v>
          </cell>
          <cell r="O40" t="str">
            <v>-</v>
          </cell>
          <cell r="P40">
            <v>39370</v>
          </cell>
          <cell r="Q40">
            <v>319000</v>
          </cell>
          <cell r="R40">
            <v>3828000</v>
          </cell>
          <cell r="S40">
            <v>3828000</v>
          </cell>
          <cell r="T40">
            <v>3828000</v>
          </cell>
          <cell r="U40">
            <v>145000</v>
          </cell>
          <cell r="V40">
            <v>145000</v>
          </cell>
          <cell r="W40">
            <v>145000</v>
          </cell>
          <cell r="X40">
            <v>145000</v>
          </cell>
          <cell r="Y40">
            <v>145000</v>
          </cell>
          <cell r="Z40" t="str">
            <v>-</v>
          </cell>
          <cell r="AA40">
            <v>145000</v>
          </cell>
          <cell r="AB40">
            <v>145000</v>
          </cell>
          <cell r="AC40">
            <v>39370</v>
          </cell>
          <cell r="AD40">
            <v>39370</v>
          </cell>
          <cell r="AE40">
            <v>319000</v>
          </cell>
          <cell r="AF40">
            <v>319000</v>
          </cell>
          <cell r="AG40">
            <v>3828000</v>
          </cell>
        </row>
        <row r="41">
          <cell r="A41">
            <v>33</v>
          </cell>
          <cell r="B41" t="str">
            <v>EDWIN ORUNGBE ORUEBOR</v>
          </cell>
          <cell r="C41">
            <v>4470957.4800000004</v>
          </cell>
          <cell r="D41">
            <v>3890870.44</v>
          </cell>
          <cell r="E41">
            <v>150000</v>
          </cell>
          <cell r="F41">
            <v>20000</v>
          </cell>
          <cell r="G41">
            <v>5000</v>
          </cell>
          <cell r="H41">
            <v>10000</v>
          </cell>
          <cell r="I41">
            <v>389087.04</v>
          </cell>
          <cell r="J41">
            <v>6000</v>
          </cell>
          <cell r="K41">
            <v>0</v>
          </cell>
          <cell r="L41">
            <v>0</v>
          </cell>
          <cell r="M41">
            <v>4000</v>
          </cell>
          <cell r="N41">
            <v>0</v>
          </cell>
          <cell r="O41" t="str">
            <v>-</v>
          </cell>
          <cell r="P41">
            <v>39417</v>
          </cell>
          <cell r="Q41">
            <v>319000</v>
          </cell>
          <cell r="R41">
            <v>3828000</v>
          </cell>
          <cell r="S41">
            <v>3828000</v>
          </cell>
          <cell r="T41">
            <v>3828000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 t="str">
            <v>-</v>
          </cell>
          <cell r="AA41">
            <v>0</v>
          </cell>
          <cell r="AB41">
            <v>0</v>
          </cell>
          <cell r="AC41">
            <v>39417</v>
          </cell>
          <cell r="AD41">
            <v>39417</v>
          </cell>
          <cell r="AE41">
            <v>319000</v>
          </cell>
          <cell r="AF41">
            <v>319000</v>
          </cell>
          <cell r="AG41">
            <v>3828000</v>
          </cell>
        </row>
        <row r="42">
          <cell r="A42">
            <v>34</v>
          </cell>
          <cell r="B42" t="str">
            <v>AMUCHIENWA RITA NDIDI</v>
          </cell>
          <cell r="C42">
            <v>4750000.08</v>
          </cell>
          <cell r="D42">
            <v>4144545.53</v>
          </cell>
          <cell r="E42">
            <v>150000</v>
          </cell>
          <cell r="F42">
            <v>20000</v>
          </cell>
          <cell r="G42">
            <v>5000</v>
          </cell>
          <cell r="H42">
            <v>10000</v>
          </cell>
          <cell r="I42">
            <v>414454.55</v>
          </cell>
          <cell r="J42">
            <v>6000</v>
          </cell>
          <cell r="K42">
            <v>0</v>
          </cell>
          <cell r="L42">
            <v>222000</v>
          </cell>
          <cell r="M42">
            <v>4000</v>
          </cell>
          <cell r="N42">
            <v>145000</v>
          </cell>
          <cell r="O42" t="str">
            <v>-</v>
          </cell>
          <cell r="P42">
            <v>39450</v>
          </cell>
          <cell r="Q42">
            <v>319000</v>
          </cell>
          <cell r="R42">
            <v>3828000</v>
          </cell>
          <cell r="S42">
            <v>3828000</v>
          </cell>
          <cell r="T42">
            <v>3828000</v>
          </cell>
          <cell r="U42">
            <v>145000</v>
          </cell>
          <cell r="V42">
            <v>145000</v>
          </cell>
          <cell r="W42">
            <v>145000</v>
          </cell>
          <cell r="X42">
            <v>145000</v>
          </cell>
          <cell r="Y42">
            <v>145000</v>
          </cell>
          <cell r="Z42" t="str">
            <v>-</v>
          </cell>
          <cell r="AA42">
            <v>145000</v>
          </cell>
          <cell r="AB42">
            <v>145000</v>
          </cell>
          <cell r="AC42">
            <v>39450</v>
          </cell>
          <cell r="AD42">
            <v>39450</v>
          </cell>
          <cell r="AE42">
            <v>319000</v>
          </cell>
          <cell r="AF42">
            <v>319000</v>
          </cell>
          <cell r="AG42">
            <v>3828000</v>
          </cell>
        </row>
        <row r="43">
          <cell r="A43">
            <v>35</v>
          </cell>
          <cell r="B43" t="str">
            <v>OGINNI ADEBAYO OLUMUYIWA</v>
          </cell>
          <cell r="C43">
            <v>4849999.92</v>
          </cell>
          <cell r="D43">
            <v>4235454.47</v>
          </cell>
          <cell r="E43">
            <v>150000</v>
          </cell>
          <cell r="F43">
            <v>20000</v>
          </cell>
          <cell r="G43">
            <v>5000</v>
          </cell>
          <cell r="H43">
            <v>10000</v>
          </cell>
          <cell r="I43">
            <v>423545.45</v>
          </cell>
          <cell r="J43">
            <v>6000</v>
          </cell>
          <cell r="K43">
            <v>0</v>
          </cell>
          <cell r="L43">
            <v>222000</v>
          </cell>
          <cell r="M43">
            <v>4000</v>
          </cell>
          <cell r="N43">
            <v>145000</v>
          </cell>
          <cell r="O43">
            <v>100000</v>
          </cell>
          <cell r="P43" t="str">
            <v>-</v>
          </cell>
          <cell r="Q43">
            <v>39450</v>
          </cell>
          <cell r="R43">
            <v>319000</v>
          </cell>
          <cell r="S43">
            <v>3828000</v>
          </cell>
          <cell r="T43">
            <v>3828000</v>
          </cell>
          <cell r="U43">
            <v>145000</v>
          </cell>
          <cell r="V43">
            <v>100000</v>
          </cell>
          <cell r="W43">
            <v>100000</v>
          </cell>
          <cell r="X43">
            <v>100000</v>
          </cell>
          <cell r="Y43">
            <v>100000</v>
          </cell>
          <cell r="Z43" t="str">
            <v>-</v>
          </cell>
          <cell r="AA43">
            <v>100000</v>
          </cell>
          <cell r="AB43">
            <v>100000</v>
          </cell>
          <cell r="AC43">
            <v>39450</v>
          </cell>
          <cell r="AD43">
            <v>39450</v>
          </cell>
          <cell r="AE43">
            <v>319000</v>
          </cell>
          <cell r="AF43">
            <v>319000</v>
          </cell>
          <cell r="AG43">
            <v>3828000</v>
          </cell>
        </row>
        <row r="44">
          <cell r="A44">
            <v>36</v>
          </cell>
          <cell r="B44" t="str">
            <v>AGWU JOVITA CHINONYE</v>
          </cell>
          <cell r="C44">
            <v>4849999.92</v>
          </cell>
          <cell r="D44">
            <v>4235454.47</v>
          </cell>
          <cell r="E44">
            <v>150000</v>
          </cell>
          <cell r="F44">
            <v>20000</v>
          </cell>
          <cell r="G44">
            <v>5000</v>
          </cell>
          <cell r="H44">
            <v>10000</v>
          </cell>
          <cell r="I44">
            <v>423545.45</v>
          </cell>
          <cell r="J44">
            <v>6000</v>
          </cell>
          <cell r="K44">
            <v>0</v>
          </cell>
          <cell r="L44">
            <v>222000</v>
          </cell>
          <cell r="M44">
            <v>4000</v>
          </cell>
          <cell r="N44">
            <v>120000</v>
          </cell>
          <cell r="O44">
            <v>100000</v>
          </cell>
          <cell r="P44" t="str">
            <v>-</v>
          </cell>
          <cell r="Q44">
            <v>39448</v>
          </cell>
          <cell r="R44">
            <v>319000</v>
          </cell>
          <cell r="S44">
            <v>3828000</v>
          </cell>
          <cell r="T44">
            <v>3828000</v>
          </cell>
          <cell r="U44">
            <v>120000</v>
          </cell>
          <cell r="V44">
            <v>100000</v>
          </cell>
          <cell r="W44">
            <v>100000</v>
          </cell>
          <cell r="X44">
            <v>100000</v>
          </cell>
          <cell r="Y44">
            <v>100000</v>
          </cell>
          <cell r="Z44" t="str">
            <v>-</v>
          </cell>
          <cell r="AA44">
            <v>100000</v>
          </cell>
          <cell r="AB44">
            <v>100000</v>
          </cell>
          <cell r="AC44">
            <v>39448</v>
          </cell>
          <cell r="AD44">
            <v>39448</v>
          </cell>
          <cell r="AE44">
            <v>319000</v>
          </cell>
          <cell r="AF44">
            <v>319000</v>
          </cell>
          <cell r="AG44">
            <v>3828000</v>
          </cell>
        </row>
        <row r="45">
          <cell r="A45">
            <v>37</v>
          </cell>
          <cell r="B45" t="str">
            <v>EMMANUEL EZE</v>
          </cell>
          <cell r="C45">
            <v>4947000</v>
          </cell>
          <cell r="D45">
            <v>4323636.3600000003</v>
          </cell>
          <cell r="E45">
            <v>150000</v>
          </cell>
          <cell r="F45">
            <v>20000</v>
          </cell>
          <cell r="G45">
            <v>5000</v>
          </cell>
          <cell r="H45">
            <v>10000</v>
          </cell>
          <cell r="I45">
            <v>432363.64</v>
          </cell>
          <cell r="J45">
            <v>6000</v>
          </cell>
          <cell r="K45">
            <v>0</v>
          </cell>
          <cell r="L45">
            <v>222000</v>
          </cell>
          <cell r="M45">
            <v>4000</v>
          </cell>
          <cell r="N45">
            <v>120000</v>
          </cell>
          <cell r="O45">
            <v>102000</v>
          </cell>
          <cell r="P45" t="str">
            <v>-</v>
          </cell>
          <cell r="Q45">
            <v>39448</v>
          </cell>
          <cell r="R45">
            <v>319000</v>
          </cell>
          <cell r="S45">
            <v>3828000</v>
          </cell>
          <cell r="T45">
            <v>3828000</v>
          </cell>
          <cell r="U45">
            <v>120000</v>
          </cell>
          <cell r="V45">
            <v>102000</v>
          </cell>
          <cell r="W45">
            <v>102000</v>
          </cell>
          <cell r="X45">
            <v>102000</v>
          </cell>
          <cell r="Y45">
            <v>102000</v>
          </cell>
          <cell r="Z45" t="str">
            <v>-</v>
          </cell>
          <cell r="AA45">
            <v>102000</v>
          </cell>
          <cell r="AB45">
            <v>102000</v>
          </cell>
          <cell r="AC45">
            <v>39448</v>
          </cell>
          <cell r="AD45">
            <v>39448</v>
          </cell>
          <cell r="AE45">
            <v>319000</v>
          </cell>
          <cell r="AF45">
            <v>319000</v>
          </cell>
          <cell r="AG45">
            <v>3828000</v>
          </cell>
        </row>
        <row r="46">
          <cell r="A46">
            <v>38</v>
          </cell>
          <cell r="B46" t="str">
            <v>CHRISTOPHER OKELUE</v>
          </cell>
          <cell r="C46">
            <v>4947000</v>
          </cell>
          <cell r="D46">
            <v>4323636.3600000003</v>
          </cell>
          <cell r="E46">
            <v>150000</v>
          </cell>
          <cell r="F46">
            <v>20000</v>
          </cell>
          <cell r="G46">
            <v>5000</v>
          </cell>
          <cell r="H46">
            <v>10000</v>
          </cell>
          <cell r="I46">
            <v>432363.64</v>
          </cell>
          <cell r="J46">
            <v>6000</v>
          </cell>
          <cell r="K46">
            <v>0</v>
          </cell>
          <cell r="L46">
            <v>222000</v>
          </cell>
          <cell r="M46">
            <v>4000</v>
          </cell>
          <cell r="N46">
            <v>120000</v>
          </cell>
          <cell r="O46" t="str">
            <v>-</v>
          </cell>
          <cell r="P46">
            <v>39448</v>
          </cell>
          <cell r="Q46">
            <v>319000</v>
          </cell>
          <cell r="R46">
            <v>3828000</v>
          </cell>
          <cell r="S46">
            <v>3828000</v>
          </cell>
          <cell r="T46">
            <v>3828000</v>
          </cell>
          <cell r="U46">
            <v>120000</v>
          </cell>
          <cell r="V46">
            <v>120000</v>
          </cell>
          <cell r="W46">
            <v>120000</v>
          </cell>
          <cell r="X46">
            <v>120000</v>
          </cell>
          <cell r="Y46">
            <v>120000</v>
          </cell>
          <cell r="Z46" t="str">
            <v>-</v>
          </cell>
          <cell r="AA46">
            <v>120000</v>
          </cell>
          <cell r="AB46">
            <v>120000</v>
          </cell>
          <cell r="AC46">
            <v>39448</v>
          </cell>
          <cell r="AD46">
            <v>39448</v>
          </cell>
          <cell r="AE46">
            <v>319000</v>
          </cell>
          <cell r="AF46">
            <v>319000</v>
          </cell>
          <cell r="AG46">
            <v>3828000</v>
          </cell>
        </row>
        <row r="47">
          <cell r="A47">
            <v>39</v>
          </cell>
          <cell r="B47" t="str">
            <v>IYO CHARLES TAMUNOPUBO</v>
          </cell>
          <cell r="C47">
            <v>7275000</v>
          </cell>
          <cell r="D47">
            <v>6440000</v>
          </cell>
          <cell r="E47">
            <v>150000</v>
          </cell>
          <cell r="F47">
            <v>20000</v>
          </cell>
          <cell r="G47">
            <v>5000</v>
          </cell>
          <cell r="H47">
            <v>10000</v>
          </cell>
          <cell r="I47">
            <v>644000</v>
          </cell>
          <cell r="J47">
            <v>6000</v>
          </cell>
          <cell r="K47">
            <v>0</v>
          </cell>
          <cell r="L47">
            <v>222000</v>
          </cell>
          <cell r="M47">
            <v>4000</v>
          </cell>
          <cell r="N47">
            <v>145000</v>
          </cell>
          <cell r="O47" t="str">
            <v>-</v>
          </cell>
          <cell r="P47">
            <v>39448</v>
          </cell>
          <cell r="Q47">
            <v>319000</v>
          </cell>
          <cell r="R47">
            <v>3828000</v>
          </cell>
          <cell r="S47">
            <v>3828000</v>
          </cell>
          <cell r="T47">
            <v>3828000</v>
          </cell>
          <cell r="U47">
            <v>145000</v>
          </cell>
          <cell r="V47">
            <v>145000</v>
          </cell>
          <cell r="W47">
            <v>145000</v>
          </cell>
          <cell r="X47">
            <v>145000</v>
          </cell>
          <cell r="Y47">
            <v>145000</v>
          </cell>
          <cell r="Z47" t="str">
            <v>-</v>
          </cell>
          <cell r="AA47">
            <v>145000</v>
          </cell>
          <cell r="AB47">
            <v>145000</v>
          </cell>
          <cell r="AC47">
            <v>39448</v>
          </cell>
          <cell r="AD47">
            <v>39448</v>
          </cell>
          <cell r="AE47">
            <v>319000</v>
          </cell>
          <cell r="AF47">
            <v>319000</v>
          </cell>
          <cell r="AG47">
            <v>3828000</v>
          </cell>
        </row>
        <row r="48">
          <cell r="A48">
            <v>40</v>
          </cell>
          <cell r="B48" t="str">
            <v>OGUNJOBI SANMI SAMUEL</v>
          </cell>
          <cell r="C48">
            <v>2184999.96</v>
          </cell>
          <cell r="D48">
            <v>1812727.24</v>
          </cell>
          <cell r="E48">
            <v>150000</v>
          </cell>
          <cell r="F48">
            <v>20000</v>
          </cell>
          <cell r="G48">
            <v>5000</v>
          </cell>
          <cell r="H48">
            <v>10000</v>
          </cell>
          <cell r="I48">
            <v>181272.72</v>
          </cell>
          <cell r="J48">
            <v>6000</v>
          </cell>
          <cell r="K48">
            <v>0</v>
          </cell>
          <cell r="L48">
            <v>222000</v>
          </cell>
          <cell r="M48">
            <v>4000</v>
          </cell>
          <cell r="N48">
            <v>120000</v>
          </cell>
          <cell r="O48" t="str">
            <v>-</v>
          </cell>
          <cell r="P48">
            <v>39569</v>
          </cell>
          <cell r="Q48">
            <v>319000</v>
          </cell>
          <cell r="R48">
            <v>3828000</v>
          </cell>
          <cell r="S48">
            <v>3828000</v>
          </cell>
          <cell r="T48">
            <v>3828000</v>
          </cell>
          <cell r="U48">
            <v>120000</v>
          </cell>
          <cell r="V48">
            <v>120000</v>
          </cell>
          <cell r="W48">
            <v>120000</v>
          </cell>
          <cell r="X48">
            <v>120000</v>
          </cell>
          <cell r="Y48">
            <v>120000</v>
          </cell>
          <cell r="Z48" t="str">
            <v>-</v>
          </cell>
          <cell r="AA48">
            <v>120000</v>
          </cell>
          <cell r="AB48">
            <v>120000</v>
          </cell>
          <cell r="AC48">
            <v>39569</v>
          </cell>
          <cell r="AD48">
            <v>39569</v>
          </cell>
          <cell r="AE48">
            <v>319000</v>
          </cell>
          <cell r="AF48">
            <v>319000</v>
          </cell>
          <cell r="AG48">
            <v>3828000</v>
          </cell>
        </row>
        <row r="49">
          <cell r="A49">
            <v>41</v>
          </cell>
          <cell r="B49" t="str">
            <v>EMEKA ELUU</v>
          </cell>
          <cell r="C49">
            <v>3416595.72</v>
          </cell>
          <cell r="D49">
            <v>2932359.75</v>
          </cell>
          <cell r="E49">
            <v>150000</v>
          </cell>
          <cell r="F49">
            <v>20000</v>
          </cell>
          <cell r="G49">
            <v>5000</v>
          </cell>
          <cell r="H49">
            <v>10000</v>
          </cell>
          <cell r="I49">
            <v>293235.98</v>
          </cell>
          <cell r="J49">
            <v>6000</v>
          </cell>
          <cell r="K49">
            <v>0</v>
          </cell>
          <cell r="L49">
            <v>0</v>
          </cell>
          <cell r="M49">
            <v>4000</v>
          </cell>
          <cell r="N49">
            <v>0</v>
          </cell>
          <cell r="O49" t="str">
            <v>-</v>
          </cell>
          <cell r="P49">
            <v>39600</v>
          </cell>
          <cell r="Q49">
            <v>319000</v>
          </cell>
          <cell r="R49">
            <v>3828000</v>
          </cell>
          <cell r="S49">
            <v>3828000</v>
          </cell>
          <cell r="T49">
            <v>3828000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 t="str">
            <v>-</v>
          </cell>
          <cell r="AA49">
            <v>0</v>
          </cell>
          <cell r="AB49">
            <v>0</v>
          </cell>
          <cell r="AC49">
            <v>39600</v>
          </cell>
          <cell r="AD49">
            <v>39600</v>
          </cell>
          <cell r="AE49">
            <v>319000</v>
          </cell>
          <cell r="AF49">
            <v>319000</v>
          </cell>
          <cell r="AG49">
            <v>3828000</v>
          </cell>
        </row>
        <row r="50">
          <cell r="A50">
            <v>42</v>
          </cell>
          <cell r="B50" t="str">
            <v>OLAYINKA SUBERU</v>
          </cell>
          <cell r="C50">
            <v>1444818</v>
          </cell>
          <cell r="D50">
            <v>1139834.55</v>
          </cell>
          <cell r="E50">
            <v>150000</v>
          </cell>
          <cell r="F50">
            <v>20000</v>
          </cell>
          <cell r="G50">
            <v>5000</v>
          </cell>
          <cell r="H50">
            <v>10000</v>
          </cell>
          <cell r="I50">
            <v>113983.46</v>
          </cell>
          <cell r="J50">
            <v>6000</v>
          </cell>
          <cell r="K50">
            <v>0</v>
          </cell>
          <cell r="L50">
            <v>0</v>
          </cell>
          <cell r="M50">
            <v>4000</v>
          </cell>
          <cell r="N50">
            <v>0</v>
          </cell>
          <cell r="O50" t="str">
            <v>-</v>
          </cell>
          <cell r="P50">
            <v>39600</v>
          </cell>
          <cell r="Q50">
            <v>319000</v>
          </cell>
          <cell r="R50">
            <v>3828000</v>
          </cell>
          <cell r="S50">
            <v>3828000</v>
          </cell>
          <cell r="T50">
            <v>3828000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 t="str">
            <v>-</v>
          </cell>
          <cell r="AA50">
            <v>0</v>
          </cell>
          <cell r="AB50">
            <v>0</v>
          </cell>
          <cell r="AC50">
            <v>39600</v>
          </cell>
          <cell r="AD50">
            <v>39600</v>
          </cell>
          <cell r="AE50">
            <v>319000</v>
          </cell>
          <cell r="AF50">
            <v>319000</v>
          </cell>
          <cell r="AG50">
            <v>3828000</v>
          </cell>
        </row>
        <row r="51">
          <cell r="A51">
            <v>43</v>
          </cell>
          <cell r="B51" t="str">
            <v>ADEYINKA MUSTAPHA</v>
          </cell>
          <cell r="C51">
            <v>1432313</v>
          </cell>
          <cell r="D51">
            <v>1128466.3600000001</v>
          </cell>
          <cell r="E51">
            <v>150000</v>
          </cell>
          <cell r="F51">
            <v>20000</v>
          </cell>
          <cell r="G51">
            <v>5000</v>
          </cell>
          <cell r="H51">
            <v>10000</v>
          </cell>
          <cell r="I51">
            <v>112846.64</v>
          </cell>
          <cell r="J51">
            <v>6000</v>
          </cell>
          <cell r="K51">
            <v>0</v>
          </cell>
          <cell r="L51">
            <v>0</v>
          </cell>
          <cell r="M51">
            <v>4000</v>
          </cell>
          <cell r="N51">
            <v>0</v>
          </cell>
          <cell r="O51" t="str">
            <v>-</v>
          </cell>
          <cell r="P51">
            <v>39600</v>
          </cell>
          <cell r="Q51">
            <v>319000</v>
          </cell>
          <cell r="R51">
            <v>3828000</v>
          </cell>
          <cell r="S51">
            <v>3828000</v>
          </cell>
          <cell r="T51">
            <v>3828000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 t="str">
            <v>-</v>
          </cell>
          <cell r="AA51">
            <v>0</v>
          </cell>
          <cell r="AB51">
            <v>0</v>
          </cell>
          <cell r="AC51">
            <v>39600</v>
          </cell>
          <cell r="AD51">
            <v>39600</v>
          </cell>
          <cell r="AE51">
            <v>319000</v>
          </cell>
          <cell r="AF51">
            <v>319000</v>
          </cell>
          <cell r="AG51">
            <v>3828000</v>
          </cell>
        </row>
        <row r="52">
          <cell r="A52">
            <v>44</v>
          </cell>
          <cell r="B52" t="str">
            <v>CHIDI OTUECHERE ISIKAKU</v>
          </cell>
          <cell r="C52">
            <v>3800000.04</v>
          </cell>
          <cell r="D52">
            <v>3280909.13</v>
          </cell>
          <cell r="E52">
            <v>150000</v>
          </cell>
          <cell r="F52">
            <v>20000</v>
          </cell>
          <cell r="G52">
            <v>5000</v>
          </cell>
          <cell r="H52">
            <v>10000</v>
          </cell>
          <cell r="I52">
            <v>328090.90999999997</v>
          </cell>
          <cell r="J52">
            <v>6000</v>
          </cell>
          <cell r="K52">
            <v>0</v>
          </cell>
          <cell r="L52">
            <v>0</v>
          </cell>
          <cell r="M52">
            <v>4000</v>
          </cell>
          <cell r="N52">
            <v>0</v>
          </cell>
          <cell r="O52" t="str">
            <v>-</v>
          </cell>
          <cell r="P52">
            <v>39600</v>
          </cell>
          <cell r="Q52">
            <v>319000</v>
          </cell>
          <cell r="R52">
            <v>3828000</v>
          </cell>
          <cell r="S52">
            <v>3828000</v>
          </cell>
          <cell r="T52">
            <v>3828000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 t="str">
            <v>-</v>
          </cell>
          <cell r="AA52">
            <v>0</v>
          </cell>
          <cell r="AB52">
            <v>0</v>
          </cell>
          <cell r="AC52">
            <v>39600</v>
          </cell>
          <cell r="AD52">
            <v>39600</v>
          </cell>
          <cell r="AE52">
            <v>319000</v>
          </cell>
          <cell r="AF52">
            <v>319000</v>
          </cell>
          <cell r="AG52">
            <v>3828000</v>
          </cell>
        </row>
        <row r="53">
          <cell r="A53">
            <v>45</v>
          </cell>
          <cell r="B53" t="str">
            <v>VICTOR IGWE</v>
          </cell>
          <cell r="C53">
            <v>3921307.61</v>
          </cell>
          <cell r="D53">
            <v>3391188.74</v>
          </cell>
          <cell r="E53">
            <v>150000</v>
          </cell>
          <cell r="F53">
            <v>20000</v>
          </cell>
          <cell r="G53">
            <v>5000</v>
          </cell>
          <cell r="H53">
            <v>10000</v>
          </cell>
          <cell r="I53">
            <v>339118.87</v>
          </cell>
          <cell r="J53">
            <v>6000</v>
          </cell>
          <cell r="K53">
            <v>0</v>
          </cell>
          <cell r="L53">
            <v>222000</v>
          </cell>
          <cell r="M53">
            <v>4000</v>
          </cell>
          <cell r="N53">
            <v>120000</v>
          </cell>
          <cell r="O53">
            <v>101041.47</v>
          </cell>
          <cell r="P53" t="str">
            <v>-</v>
          </cell>
          <cell r="Q53">
            <v>39636</v>
          </cell>
          <cell r="R53">
            <v>326775.63</v>
          </cell>
          <cell r="S53">
            <v>3921307.61</v>
          </cell>
          <cell r="T53">
            <v>3921306</v>
          </cell>
          <cell r="U53">
            <v>120000</v>
          </cell>
          <cell r="V53">
            <v>101041.47</v>
          </cell>
          <cell r="W53">
            <v>101041.4375</v>
          </cell>
          <cell r="X53">
            <v>101041.4375</v>
          </cell>
          <cell r="Y53">
            <v>101041.4375</v>
          </cell>
          <cell r="Z53" t="str">
            <v>-</v>
          </cell>
          <cell r="AA53">
            <v>101041.4375</v>
          </cell>
          <cell r="AB53">
            <v>101041.4375</v>
          </cell>
          <cell r="AC53">
            <v>39636</v>
          </cell>
          <cell r="AD53">
            <v>39636</v>
          </cell>
          <cell r="AE53">
            <v>326775.63</v>
          </cell>
          <cell r="AF53">
            <v>326775.5</v>
          </cell>
          <cell r="AG53">
            <v>3921307.61</v>
          </cell>
        </row>
        <row r="54">
          <cell r="A54">
            <v>46</v>
          </cell>
          <cell r="B54" t="str">
            <v>TUNJI AINA</v>
          </cell>
          <cell r="C54">
            <v>4320000</v>
          </cell>
          <cell r="D54">
            <v>3753636.36</v>
          </cell>
          <cell r="E54">
            <v>150000</v>
          </cell>
          <cell r="F54">
            <v>20000</v>
          </cell>
          <cell r="G54">
            <v>5000</v>
          </cell>
          <cell r="H54">
            <v>10000</v>
          </cell>
          <cell r="I54">
            <v>375363.64</v>
          </cell>
          <cell r="J54">
            <v>6000</v>
          </cell>
          <cell r="K54">
            <v>0</v>
          </cell>
          <cell r="L54">
            <v>222000</v>
          </cell>
          <cell r="M54">
            <v>4000</v>
          </cell>
          <cell r="N54">
            <v>120000</v>
          </cell>
          <cell r="O54">
            <v>45000</v>
          </cell>
          <cell r="P54" t="str">
            <v>-</v>
          </cell>
          <cell r="Q54">
            <v>39692</v>
          </cell>
          <cell r="R54">
            <v>300000</v>
          </cell>
          <cell r="S54">
            <v>3600000</v>
          </cell>
          <cell r="T54">
            <v>3600000</v>
          </cell>
          <cell r="U54">
            <v>120000</v>
          </cell>
          <cell r="V54">
            <v>45000</v>
          </cell>
          <cell r="W54">
            <v>45000</v>
          </cell>
          <cell r="X54">
            <v>45000</v>
          </cell>
          <cell r="Y54">
            <v>45000</v>
          </cell>
          <cell r="Z54" t="str">
            <v>-</v>
          </cell>
          <cell r="AA54">
            <v>45000</v>
          </cell>
          <cell r="AB54">
            <v>45000</v>
          </cell>
          <cell r="AC54">
            <v>39692</v>
          </cell>
          <cell r="AD54">
            <v>39692</v>
          </cell>
          <cell r="AE54">
            <v>300000</v>
          </cell>
          <cell r="AF54">
            <v>300000</v>
          </cell>
          <cell r="AG54">
            <v>3600000</v>
          </cell>
        </row>
        <row r="55">
          <cell r="A55">
            <v>47</v>
          </cell>
          <cell r="B55" t="str">
            <v>OMOTAYO ADEWARE</v>
          </cell>
          <cell r="C55">
            <v>2880000</v>
          </cell>
          <cell r="D55">
            <v>2444545.4500000002</v>
          </cell>
          <cell r="E55">
            <v>150000</v>
          </cell>
          <cell r="F55">
            <v>20000</v>
          </cell>
          <cell r="G55">
            <v>5000</v>
          </cell>
          <cell r="H55">
            <v>10000</v>
          </cell>
          <cell r="I55">
            <v>244454.55</v>
          </cell>
          <cell r="J55">
            <v>6000</v>
          </cell>
          <cell r="K55">
            <v>0</v>
          </cell>
          <cell r="L55">
            <v>0</v>
          </cell>
          <cell r="M55">
            <v>4000</v>
          </cell>
          <cell r="N55">
            <v>0</v>
          </cell>
          <cell r="O55" t="str">
            <v>-</v>
          </cell>
          <cell r="P55">
            <v>39692</v>
          </cell>
          <cell r="Q55">
            <v>240000</v>
          </cell>
          <cell r="R55">
            <v>2880000</v>
          </cell>
          <cell r="S55">
            <v>2880000</v>
          </cell>
          <cell r="T55">
            <v>2880000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 t="str">
            <v>-</v>
          </cell>
          <cell r="AA55">
            <v>0</v>
          </cell>
          <cell r="AB55">
            <v>0</v>
          </cell>
          <cell r="AC55">
            <v>39692</v>
          </cell>
          <cell r="AD55">
            <v>39692</v>
          </cell>
          <cell r="AE55">
            <v>240000</v>
          </cell>
          <cell r="AF55">
            <v>240000</v>
          </cell>
          <cell r="AG55">
            <v>2880000</v>
          </cell>
        </row>
        <row r="56">
          <cell r="A56">
            <v>48</v>
          </cell>
          <cell r="B56" t="str">
            <v>OGUNSOLA OLAKUNLE MUJIB</v>
          </cell>
          <cell r="C56">
            <v>2400000</v>
          </cell>
          <cell r="D56">
            <v>2008181.82</v>
          </cell>
          <cell r="E56">
            <v>150000</v>
          </cell>
          <cell r="F56">
            <v>20000</v>
          </cell>
          <cell r="G56">
            <v>5000</v>
          </cell>
          <cell r="H56">
            <v>10000</v>
          </cell>
          <cell r="I56">
            <v>200818.18</v>
          </cell>
          <cell r="J56">
            <v>6000</v>
          </cell>
          <cell r="K56">
            <v>0</v>
          </cell>
          <cell r="L56">
            <v>0</v>
          </cell>
          <cell r="M56">
            <v>4000</v>
          </cell>
          <cell r="N56">
            <v>0</v>
          </cell>
          <cell r="O56" t="str">
            <v>-</v>
          </cell>
          <cell r="P56">
            <v>39722</v>
          </cell>
          <cell r="Q56">
            <v>200000</v>
          </cell>
          <cell r="R56">
            <v>2400000</v>
          </cell>
          <cell r="S56">
            <v>2400000</v>
          </cell>
          <cell r="T56">
            <v>2400000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 t="str">
            <v>-</v>
          </cell>
          <cell r="AA56">
            <v>0</v>
          </cell>
          <cell r="AB56">
            <v>0</v>
          </cell>
          <cell r="AC56">
            <v>39722</v>
          </cell>
          <cell r="AD56">
            <v>39722</v>
          </cell>
          <cell r="AE56">
            <v>200000</v>
          </cell>
          <cell r="AF56">
            <v>200000</v>
          </cell>
          <cell r="AG56">
            <v>2400000</v>
          </cell>
        </row>
        <row r="57">
          <cell r="A57">
            <v>49</v>
          </cell>
          <cell r="B57" t="str">
            <v>CHIZOBA NKOLI NWAOBIA</v>
          </cell>
          <cell r="C57">
            <v>3000000</v>
          </cell>
          <cell r="D57">
            <v>2553636.36</v>
          </cell>
          <cell r="E57">
            <v>150000</v>
          </cell>
          <cell r="F57">
            <v>20000</v>
          </cell>
          <cell r="G57">
            <v>5000</v>
          </cell>
          <cell r="H57">
            <v>10000</v>
          </cell>
          <cell r="I57">
            <v>255363.64</v>
          </cell>
          <cell r="J57">
            <v>6000</v>
          </cell>
          <cell r="K57">
            <v>0</v>
          </cell>
          <cell r="L57">
            <v>0</v>
          </cell>
          <cell r="M57">
            <v>4000</v>
          </cell>
          <cell r="N57">
            <v>0</v>
          </cell>
          <cell r="O57">
            <v>100000</v>
          </cell>
          <cell r="P57" t="str">
            <v>-</v>
          </cell>
          <cell r="Q57">
            <v>39845</v>
          </cell>
          <cell r="R57">
            <v>250000</v>
          </cell>
          <cell r="S57">
            <v>3000000</v>
          </cell>
          <cell r="T57">
            <v>3000000</v>
          </cell>
          <cell r="U57">
            <v>0</v>
          </cell>
          <cell r="V57">
            <v>100000</v>
          </cell>
          <cell r="W57">
            <v>100000</v>
          </cell>
          <cell r="X57">
            <v>100000</v>
          </cell>
          <cell r="Y57">
            <v>100000</v>
          </cell>
          <cell r="Z57" t="str">
            <v>-</v>
          </cell>
          <cell r="AA57">
            <v>100000</v>
          </cell>
          <cell r="AB57">
            <v>100000</v>
          </cell>
          <cell r="AC57">
            <v>39845</v>
          </cell>
          <cell r="AD57">
            <v>39845</v>
          </cell>
          <cell r="AE57">
            <v>250000</v>
          </cell>
          <cell r="AF57">
            <v>250000</v>
          </cell>
          <cell r="AG57">
            <v>3000000</v>
          </cell>
        </row>
        <row r="58">
          <cell r="A58">
            <v>50</v>
          </cell>
          <cell r="B58" t="str">
            <v>KINGSLEY UZUEGBU</v>
          </cell>
          <cell r="C58">
            <v>5297750</v>
          </cell>
          <cell r="D58">
            <v>4642500</v>
          </cell>
          <cell r="E58">
            <v>150000</v>
          </cell>
          <cell r="F58">
            <v>20000</v>
          </cell>
          <cell r="G58">
            <v>5000</v>
          </cell>
          <cell r="H58">
            <v>10000</v>
          </cell>
          <cell r="I58">
            <v>464250</v>
          </cell>
          <cell r="J58">
            <v>6000</v>
          </cell>
          <cell r="K58">
            <v>0</v>
          </cell>
          <cell r="L58">
            <v>222000</v>
          </cell>
          <cell r="M58">
            <v>4000</v>
          </cell>
          <cell r="N58">
            <v>145000</v>
          </cell>
          <cell r="O58" t="str">
            <v>-</v>
          </cell>
          <cell r="P58">
            <v>39845</v>
          </cell>
          <cell r="Q58">
            <v>441479.17</v>
          </cell>
          <cell r="R58">
            <v>5297750</v>
          </cell>
          <cell r="S58">
            <v>5297748</v>
          </cell>
          <cell r="T58">
            <v>5297748</v>
          </cell>
          <cell r="U58">
            <v>145000</v>
          </cell>
          <cell r="V58">
            <v>145000</v>
          </cell>
          <cell r="W58">
            <v>145000</v>
          </cell>
          <cell r="X58">
            <v>145000</v>
          </cell>
          <cell r="Y58">
            <v>145000</v>
          </cell>
          <cell r="Z58" t="str">
            <v>-</v>
          </cell>
          <cell r="AA58">
            <v>145000</v>
          </cell>
          <cell r="AB58">
            <v>145000</v>
          </cell>
          <cell r="AC58">
            <v>39845</v>
          </cell>
          <cell r="AD58">
            <v>39845</v>
          </cell>
          <cell r="AE58">
            <v>441479.17</v>
          </cell>
          <cell r="AF58">
            <v>441479</v>
          </cell>
          <cell r="AG58">
            <v>5297750</v>
          </cell>
        </row>
        <row r="59">
          <cell r="A59">
            <v>51</v>
          </cell>
          <cell r="B59" t="str">
            <v>ADAORA FRANCES OKAFOR</v>
          </cell>
          <cell r="C59">
            <v>2759150.76</v>
          </cell>
          <cell r="D59">
            <v>2334682.5099999998</v>
          </cell>
          <cell r="E59">
            <v>150000</v>
          </cell>
          <cell r="F59">
            <v>20000</v>
          </cell>
          <cell r="G59">
            <v>5000</v>
          </cell>
          <cell r="H59">
            <v>10000</v>
          </cell>
          <cell r="I59">
            <v>233468.25</v>
          </cell>
          <cell r="J59">
            <v>6000</v>
          </cell>
          <cell r="K59">
            <v>0</v>
          </cell>
          <cell r="L59">
            <v>0</v>
          </cell>
          <cell r="M59">
            <v>4000</v>
          </cell>
          <cell r="N59">
            <v>0</v>
          </cell>
          <cell r="O59">
            <v>34489.379999999997</v>
          </cell>
          <cell r="P59" t="str">
            <v>-</v>
          </cell>
          <cell r="Q59">
            <v>39998</v>
          </cell>
          <cell r="R59">
            <v>118400</v>
          </cell>
          <cell r="S59">
            <v>1420800</v>
          </cell>
          <cell r="T59">
            <v>1420800</v>
          </cell>
          <cell r="U59">
            <v>0</v>
          </cell>
          <cell r="V59">
            <v>34489.379999999997</v>
          </cell>
          <cell r="W59">
            <v>34489.375</v>
          </cell>
          <cell r="X59">
            <v>34489.375</v>
          </cell>
          <cell r="Y59">
            <v>34489.375</v>
          </cell>
          <cell r="Z59" t="str">
            <v>-</v>
          </cell>
          <cell r="AA59">
            <v>34489.375</v>
          </cell>
          <cell r="AB59">
            <v>34489.375</v>
          </cell>
          <cell r="AC59">
            <v>39998</v>
          </cell>
          <cell r="AD59">
            <v>39998</v>
          </cell>
          <cell r="AE59">
            <v>118400</v>
          </cell>
          <cell r="AF59">
            <v>118400</v>
          </cell>
          <cell r="AG59">
            <v>1420800</v>
          </cell>
        </row>
        <row r="60">
          <cell r="A60">
            <v>52</v>
          </cell>
          <cell r="B60" t="str">
            <v>CHINEDU EZE</v>
          </cell>
          <cell r="C60">
            <v>2759150.76</v>
          </cell>
          <cell r="D60">
            <v>2334682.5099999998</v>
          </cell>
          <cell r="E60">
            <v>150000</v>
          </cell>
          <cell r="F60">
            <v>20000</v>
          </cell>
          <cell r="G60">
            <v>5000</v>
          </cell>
          <cell r="H60">
            <v>10000</v>
          </cell>
          <cell r="I60">
            <v>233468.25</v>
          </cell>
          <cell r="J60">
            <v>6000</v>
          </cell>
          <cell r="K60">
            <v>0</v>
          </cell>
          <cell r="L60">
            <v>0</v>
          </cell>
          <cell r="M60">
            <v>4000</v>
          </cell>
          <cell r="N60">
            <v>0</v>
          </cell>
          <cell r="O60">
            <v>34489.379999999997</v>
          </cell>
          <cell r="P60" t="str">
            <v>-</v>
          </cell>
          <cell r="Q60">
            <v>39998</v>
          </cell>
          <cell r="R60">
            <v>118400</v>
          </cell>
          <cell r="S60">
            <v>1420800</v>
          </cell>
          <cell r="T60">
            <v>1420800</v>
          </cell>
          <cell r="U60">
            <v>0</v>
          </cell>
          <cell r="V60">
            <v>34489.379999999997</v>
          </cell>
          <cell r="W60">
            <v>34489.375</v>
          </cell>
          <cell r="X60">
            <v>34489.375</v>
          </cell>
          <cell r="Y60">
            <v>34489.375</v>
          </cell>
          <cell r="Z60" t="str">
            <v>-</v>
          </cell>
          <cell r="AA60">
            <v>34489.375</v>
          </cell>
          <cell r="AB60">
            <v>34489.375</v>
          </cell>
          <cell r="AC60">
            <v>39998</v>
          </cell>
          <cell r="AD60">
            <v>39998</v>
          </cell>
          <cell r="AE60">
            <v>118400</v>
          </cell>
          <cell r="AF60">
            <v>118400</v>
          </cell>
          <cell r="AG60">
            <v>1420800</v>
          </cell>
        </row>
        <row r="61">
          <cell r="A61">
            <v>53</v>
          </cell>
          <cell r="B61" t="str">
            <v>OMOBOLANLE RAMOTA ABIOSE</v>
          </cell>
          <cell r="C61">
            <v>2759150.76</v>
          </cell>
          <cell r="D61">
            <v>2334682.5099999998</v>
          </cell>
          <cell r="E61">
            <v>150000</v>
          </cell>
          <cell r="F61">
            <v>20000</v>
          </cell>
          <cell r="G61">
            <v>5000</v>
          </cell>
          <cell r="H61">
            <v>10000</v>
          </cell>
          <cell r="I61">
            <v>233468.25</v>
          </cell>
          <cell r="J61">
            <v>6000</v>
          </cell>
          <cell r="K61">
            <v>0</v>
          </cell>
          <cell r="L61">
            <v>0</v>
          </cell>
          <cell r="M61">
            <v>4000</v>
          </cell>
          <cell r="N61">
            <v>0</v>
          </cell>
          <cell r="O61">
            <v>34489.379999999997</v>
          </cell>
          <cell r="P61" t="str">
            <v>-</v>
          </cell>
          <cell r="Q61">
            <v>39998</v>
          </cell>
          <cell r="R61">
            <v>118400</v>
          </cell>
          <cell r="S61">
            <v>1420800</v>
          </cell>
          <cell r="T61">
            <v>1420800</v>
          </cell>
          <cell r="U61">
            <v>0</v>
          </cell>
          <cell r="V61">
            <v>34489.379999999997</v>
          </cell>
          <cell r="W61">
            <v>34489.375</v>
          </cell>
          <cell r="X61">
            <v>34489.375</v>
          </cell>
          <cell r="Y61">
            <v>34489.375</v>
          </cell>
          <cell r="Z61" t="str">
            <v>-</v>
          </cell>
          <cell r="AA61">
            <v>34489.375</v>
          </cell>
          <cell r="AB61">
            <v>34489.375</v>
          </cell>
          <cell r="AC61">
            <v>39998</v>
          </cell>
          <cell r="AD61">
            <v>39998</v>
          </cell>
          <cell r="AE61">
            <v>118400</v>
          </cell>
          <cell r="AF61">
            <v>118400</v>
          </cell>
          <cell r="AG61">
            <v>1420800</v>
          </cell>
        </row>
        <row r="62">
          <cell r="A62">
            <v>54</v>
          </cell>
          <cell r="B62" t="str">
            <v>CHUKWUKELO NONSO OKEKE</v>
          </cell>
          <cell r="C62">
            <v>2400000</v>
          </cell>
          <cell r="D62">
            <v>2008181.82</v>
          </cell>
          <cell r="E62">
            <v>150000</v>
          </cell>
          <cell r="F62">
            <v>20000</v>
          </cell>
          <cell r="G62">
            <v>5000</v>
          </cell>
          <cell r="H62">
            <v>10000</v>
          </cell>
          <cell r="I62">
            <v>200818.18</v>
          </cell>
          <cell r="J62">
            <v>6000</v>
          </cell>
          <cell r="K62">
            <v>0</v>
          </cell>
          <cell r="L62">
            <v>0</v>
          </cell>
          <cell r="M62">
            <v>4000</v>
          </cell>
          <cell r="N62">
            <v>0</v>
          </cell>
          <cell r="O62" t="str">
            <v>-</v>
          </cell>
          <cell r="P62">
            <v>40035</v>
          </cell>
          <cell r="Q62">
            <v>141935.48000000001</v>
          </cell>
          <cell r="R62">
            <v>2400000</v>
          </cell>
          <cell r="S62">
            <v>2400000</v>
          </cell>
          <cell r="T62">
            <v>2400000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 t="str">
            <v>-</v>
          </cell>
          <cell r="AA62">
            <v>0</v>
          </cell>
          <cell r="AB62">
            <v>0</v>
          </cell>
          <cell r="AC62">
            <v>40035</v>
          </cell>
          <cell r="AD62">
            <v>40035</v>
          </cell>
          <cell r="AE62">
            <v>141935.48000000001</v>
          </cell>
          <cell r="AF62">
            <v>141935.375</v>
          </cell>
          <cell r="AG62">
            <v>2400000</v>
          </cell>
        </row>
        <row r="63">
          <cell r="A63">
            <v>55</v>
          </cell>
          <cell r="B63" t="str">
            <v>OLUFEMI TEMITOPE AJAYI</v>
          </cell>
          <cell r="C63">
            <v>2400000</v>
          </cell>
          <cell r="D63">
            <v>2008181.82</v>
          </cell>
          <cell r="E63">
            <v>150000</v>
          </cell>
          <cell r="F63">
            <v>20000</v>
          </cell>
          <cell r="G63">
            <v>5000</v>
          </cell>
          <cell r="H63">
            <v>10000</v>
          </cell>
          <cell r="I63">
            <v>200818.18</v>
          </cell>
          <cell r="J63">
            <v>6000</v>
          </cell>
          <cell r="K63">
            <v>0</v>
          </cell>
          <cell r="L63">
            <v>0</v>
          </cell>
          <cell r="M63">
            <v>4000</v>
          </cell>
          <cell r="N63">
            <v>0</v>
          </cell>
          <cell r="O63" t="str">
            <v>-</v>
          </cell>
          <cell r="P63">
            <v>40035</v>
          </cell>
          <cell r="Q63">
            <v>141935.48000000001</v>
          </cell>
          <cell r="R63">
            <v>2400000</v>
          </cell>
          <cell r="S63">
            <v>2400000</v>
          </cell>
          <cell r="T63">
            <v>2400000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 t="str">
            <v>-</v>
          </cell>
          <cell r="AA63">
            <v>0</v>
          </cell>
          <cell r="AB63">
            <v>0</v>
          </cell>
          <cell r="AC63">
            <v>40035</v>
          </cell>
          <cell r="AD63">
            <v>40035</v>
          </cell>
          <cell r="AE63">
            <v>141935.48000000001</v>
          </cell>
          <cell r="AF63">
            <v>141935.375</v>
          </cell>
          <cell r="AG63">
            <v>2400000</v>
          </cell>
        </row>
        <row r="64">
          <cell r="A64">
            <v>56</v>
          </cell>
          <cell r="B64" t="str">
            <v>CANDI CHIDINMA OWOH</v>
          </cell>
          <cell r="C64">
            <v>2400000</v>
          </cell>
          <cell r="D64">
            <v>2008181.82</v>
          </cell>
          <cell r="E64">
            <v>150000</v>
          </cell>
          <cell r="F64">
            <v>20000</v>
          </cell>
          <cell r="G64">
            <v>5000</v>
          </cell>
          <cell r="H64">
            <v>10000</v>
          </cell>
          <cell r="I64">
            <v>200818.18</v>
          </cell>
          <cell r="J64">
            <v>6000</v>
          </cell>
          <cell r="K64">
            <v>0</v>
          </cell>
          <cell r="L64">
            <v>0</v>
          </cell>
          <cell r="M64">
            <v>4000</v>
          </cell>
          <cell r="N64">
            <v>0</v>
          </cell>
          <cell r="O64" t="str">
            <v>-</v>
          </cell>
          <cell r="P64">
            <v>40057</v>
          </cell>
          <cell r="Q64">
            <v>141935.48000000001</v>
          </cell>
          <cell r="R64">
            <v>2400000</v>
          </cell>
          <cell r="S64">
            <v>2400000</v>
          </cell>
          <cell r="T64">
            <v>2400000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 t="str">
            <v>-</v>
          </cell>
          <cell r="AA64">
            <v>0</v>
          </cell>
          <cell r="AB64">
            <v>0</v>
          </cell>
          <cell r="AC64">
            <v>40057</v>
          </cell>
          <cell r="AD64">
            <v>40057</v>
          </cell>
          <cell r="AE64">
            <v>141935.48000000001</v>
          </cell>
          <cell r="AF64">
            <v>141935.375</v>
          </cell>
          <cell r="AG64">
            <v>2400000</v>
          </cell>
        </row>
        <row r="65">
          <cell r="A65">
            <v>57</v>
          </cell>
          <cell r="B65" t="str">
            <v>SUNDAY OLUSEYE OBISESAN</v>
          </cell>
          <cell r="C65">
            <v>4560000</v>
          </cell>
          <cell r="D65">
            <v>3971818.18</v>
          </cell>
          <cell r="E65">
            <v>150000</v>
          </cell>
          <cell r="F65">
            <v>20000</v>
          </cell>
          <cell r="G65">
            <v>5000</v>
          </cell>
          <cell r="H65">
            <v>10000</v>
          </cell>
          <cell r="I65">
            <v>397181.82</v>
          </cell>
          <cell r="J65">
            <v>6000</v>
          </cell>
          <cell r="K65">
            <v>0</v>
          </cell>
          <cell r="L65">
            <v>222000</v>
          </cell>
          <cell r="M65">
            <v>4000</v>
          </cell>
          <cell r="N65">
            <v>145000</v>
          </cell>
          <cell r="O65">
            <v>152000</v>
          </cell>
          <cell r="P65" t="str">
            <v>-</v>
          </cell>
          <cell r="Q65">
            <v>40057</v>
          </cell>
          <cell r="R65">
            <v>141935.48000000001</v>
          </cell>
          <cell r="S65">
            <v>2400000</v>
          </cell>
          <cell r="T65">
            <v>2400000</v>
          </cell>
          <cell r="U65">
            <v>145000</v>
          </cell>
          <cell r="V65">
            <v>152000</v>
          </cell>
          <cell r="W65">
            <v>152000</v>
          </cell>
          <cell r="X65">
            <v>152000</v>
          </cell>
          <cell r="Y65">
            <v>152000</v>
          </cell>
          <cell r="Z65" t="str">
            <v>-</v>
          </cell>
          <cell r="AA65">
            <v>152000</v>
          </cell>
          <cell r="AB65">
            <v>152000</v>
          </cell>
          <cell r="AC65">
            <v>40057</v>
          </cell>
          <cell r="AD65">
            <v>40057</v>
          </cell>
          <cell r="AE65">
            <v>141935.48000000001</v>
          </cell>
          <cell r="AF65">
            <v>141935.375</v>
          </cell>
          <cell r="AG65">
            <v>2400000</v>
          </cell>
        </row>
        <row r="66">
          <cell r="A66">
            <v>58</v>
          </cell>
          <cell r="B66" t="str">
            <v>SEBASTINE NZEADIBE</v>
          </cell>
          <cell r="C66">
            <v>5700000</v>
          </cell>
          <cell r="D66">
            <v>5008181.82</v>
          </cell>
          <cell r="E66">
            <v>150000</v>
          </cell>
          <cell r="F66">
            <v>20000</v>
          </cell>
          <cell r="G66">
            <v>5000</v>
          </cell>
          <cell r="H66">
            <v>10000</v>
          </cell>
          <cell r="I66">
            <v>500818.18</v>
          </cell>
          <cell r="J66">
            <v>6000</v>
          </cell>
          <cell r="K66">
            <v>0</v>
          </cell>
          <cell r="L66">
            <v>222000</v>
          </cell>
          <cell r="M66">
            <v>4000</v>
          </cell>
          <cell r="N66">
            <v>145000</v>
          </cell>
          <cell r="O66">
            <v>190000</v>
          </cell>
          <cell r="P66" t="str">
            <v>-</v>
          </cell>
          <cell r="Q66">
            <v>40057</v>
          </cell>
          <cell r="R66">
            <v>141935.48000000001</v>
          </cell>
          <cell r="S66">
            <v>2400000</v>
          </cell>
          <cell r="T66">
            <v>2400000</v>
          </cell>
          <cell r="U66">
            <v>145000</v>
          </cell>
          <cell r="V66">
            <v>190000</v>
          </cell>
          <cell r="W66">
            <v>190000</v>
          </cell>
          <cell r="X66">
            <v>190000</v>
          </cell>
          <cell r="Y66">
            <v>190000</v>
          </cell>
          <cell r="Z66" t="str">
            <v>-</v>
          </cell>
          <cell r="AA66">
            <v>190000</v>
          </cell>
          <cell r="AB66">
            <v>190000</v>
          </cell>
          <cell r="AC66">
            <v>40057</v>
          </cell>
          <cell r="AD66">
            <v>40057</v>
          </cell>
          <cell r="AE66">
            <v>141935.48000000001</v>
          </cell>
          <cell r="AF66">
            <v>141935.375</v>
          </cell>
          <cell r="AG66">
            <v>2400000</v>
          </cell>
        </row>
        <row r="67">
          <cell r="A67">
            <v>59</v>
          </cell>
          <cell r="B67" t="str">
            <v>EFAGWU CHUKWUMA PATRICK</v>
          </cell>
          <cell r="C67">
            <v>5363700</v>
          </cell>
          <cell r="D67">
            <v>4702454.55</v>
          </cell>
          <cell r="E67">
            <v>150000</v>
          </cell>
          <cell r="F67">
            <v>20000</v>
          </cell>
          <cell r="G67">
            <v>5000</v>
          </cell>
          <cell r="H67">
            <v>10000</v>
          </cell>
          <cell r="I67">
            <v>470245.46</v>
          </cell>
          <cell r="J67">
            <v>6000</v>
          </cell>
          <cell r="K67">
            <v>0</v>
          </cell>
          <cell r="L67">
            <v>222000</v>
          </cell>
          <cell r="M67">
            <v>4000</v>
          </cell>
          <cell r="N67">
            <v>145000</v>
          </cell>
          <cell r="O67">
            <v>0</v>
          </cell>
          <cell r="P67" t="str">
            <v>-</v>
          </cell>
          <cell r="Q67">
            <v>40057</v>
          </cell>
          <cell r="R67">
            <v>141935.48000000001</v>
          </cell>
          <cell r="S67">
            <v>2400000</v>
          </cell>
          <cell r="T67">
            <v>2400000</v>
          </cell>
          <cell r="U67">
            <v>145000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 t="str">
            <v>-</v>
          </cell>
          <cell r="AA67">
            <v>0</v>
          </cell>
          <cell r="AB67">
            <v>0</v>
          </cell>
          <cell r="AC67">
            <v>40057</v>
          </cell>
          <cell r="AD67">
            <v>40057</v>
          </cell>
          <cell r="AE67">
            <v>141935.48000000001</v>
          </cell>
          <cell r="AF67">
            <v>141935.375</v>
          </cell>
          <cell r="AG67">
            <v>2400000</v>
          </cell>
        </row>
        <row r="68">
          <cell r="A68">
            <v>60</v>
          </cell>
          <cell r="B68" t="str">
            <v>EMEKA CHIJIDE</v>
          </cell>
          <cell r="C68">
            <v>1980000</v>
          </cell>
          <cell r="D68">
            <v>1814000</v>
          </cell>
          <cell r="E68">
            <v>150000</v>
          </cell>
          <cell r="F68">
            <v>99000</v>
          </cell>
          <cell r="G68">
            <v>2000</v>
          </cell>
          <cell r="H68">
            <v>10000</v>
          </cell>
          <cell r="I68">
            <v>450000</v>
          </cell>
          <cell r="J68">
            <v>6000</v>
          </cell>
          <cell r="K68">
            <v>0</v>
          </cell>
          <cell r="L68">
            <v>0</v>
          </cell>
          <cell r="M68">
            <v>4000</v>
          </cell>
          <cell r="N68">
            <v>0</v>
          </cell>
          <cell r="O68">
            <v>0</v>
          </cell>
          <cell r="P68" t="str">
            <v>-</v>
          </cell>
          <cell r="Q68">
            <v>40057</v>
          </cell>
          <cell r="R68">
            <v>141935.48000000001</v>
          </cell>
          <cell r="S68">
            <v>2400000</v>
          </cell>
          <cell r="T68">
            <v>2400000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 t="str">
            <v>-</v>
          </cell>
          <cell r="AA68">
            <v>0</v>
          </cell>
          <cell r="AB68">
            <v>0</v>
          </cell>
          <cell r="AC68">
            <v>40057</v>
          </cell>
          <cell r="AD68">
            <v>40057</v>
          </cell>
          <cell r="AE68">
            <v>141935.48000000001</v>
          </cell>
          <cell r="AF68">
            <v>141935.375</v>
          </cell>
          <cell r="AG68">
            <v>2400000</v>
          </cell>
        </row>
        <row r="69">
          <cell r="A69">
            <v>61</v>
          </cell>
          <cell r="B69" t="str">
            <v>NDUKAH MAMAH</v>
          </cell>
          <cell r="C69">
            <v>4140000</v>
          </cell>
          <cell r="D69">
            <v>3974000</v>
          </cell>
          <cell r="E69">
            <v>150000</v>
          </cell>
          <cell r="F69">
            <v>207000</v>
          </cell>
          <cell r="G69">
            <v>5000</v>
          </cell>
          <cell r="H69">
            <v>10000</v>
          </cell>
          <cell r="I69">
            <v>1881818.18</v>
          </cell>
          <cell r="J69">
            <v>6000</v>
          </cell>
          <cell r="K69">
            <v>0</v>
          </cell>
          <cell r="L69">
            <v>0</v>
          </cell>
          <cell r="M69">
            <v>4000</v>
          </cell>
          <cell r="N69">
            <v>0</v>
          </cell>
          <cell r="O69">
            <v>0</v>
          </cell>
          <cell r="P69" t="str">
            <v>-</v>
          </cell>
          <cell r="Q69">
            <v>40057</v>
          </cell>
          <cell r="R69">
            <v>141935.48000000001</v>
          </cell>
          <cell r="S69">
            <v>2400000</v>
          </cell>
          <cell r="T69">
            <v>2400000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 t="str">
            <v>-</v>
          </cell>
          <cell r="AA69">
            <v>0</v>
          </cell>
          <cell r="AB69">
            <v>0</v>
          </cell>
          <cell r="AC69">
            <v>40057</v>
          </cell>
          <cell r="AD69">
            <v>40057</v>
          </cell>
          <cell r="AE69">
            <v>141935.48000000001</v>
          </cell>
          <cell r="AF69">
            <v>141935.375</v>
          </cell>
          <cell r="AG69">
            <v>2400000</v>
          </cell>
        </row>
        <row r="71">
          <cell r="C71">
            <v>294921046</v>
          </cell>
          <cell r="D71">
            <v>258089860</v>
          </cell>
          <cell r="E71">
            <v>9150000</v>
          </cell>
          <cell r="F71">
            <v>1486000</v>
          </cell>
          <cell r="G71">
            <v>302000</v>
          </cell>
          <cell r="H71">
            <v>610000</v>
          </cell>
          <cell r="I71">
            <v>27562004</v>
          </cell>
          <cell r="J71">
            <v>366000</v>
          </cell>
          <cell r="K71">
            <v>0</v>
          </cell>
          <cell r="L71">
            <v>9768000</v>
          </cell>
          <cell r="M71">
            <v>244000</v>
          </cell>
          <cell r="N71">
            <v>2987883.7</v>
          </cell>
          <cell r="O71">
            <v>17500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2987883.7</v>
          </cell>
          <cell r="W71">
            <v>17500</v>
          </cell>
          <cell r="X71">
            <v>17500</v>
          </cell>
          <cell r="Y71">
            <v>17500</v>
          </cell>
          <cell r="Z71">
            <v>17500</v>
          </cell>
          <cell r="AA71">
            <v>17500</v>
          </cell>
          <cell r="AB71">
            <v>17500</v>
          </cell>
          <cell r="AC71">
            <v>17500</v>
          </cell>
          <cell r="AD71">
            <v>0</v>
          </cell>
        </row>
        <row r="77">
          <cell r="A77" t="str">
            <v>S/N</v>
          </cell>
          <cell r="B77" t="str">
            <v>Allowances</v>
          </cell>
          <cell r="C77" t="str">
            <v>Rate</v>
          </cell>
          <cell r="D77" t="str">
            <v>Reliefs</v>
          </cell>
          <cell r="E77" t="str">
            <v>Rate</v>
          </cell>
        </row>
        <row r="78">
          <cell r="A78">
            <v>1</v>
          </cell>
          <cell r="B78" t="str">
            <v>Housing Allowance</v>
          </cell>
          <cell r="C78">
            <v>150000</v>
          </cell>
          <cell r="D78" t="str">
            <v>Personal Allow. - Variable</v>
          </cell>
          <cell r="E78">
            <v>0.2</v>
          </cell>
        </row>
        <row r="79">
          <cell r="A79">
            <v>2</v>
          </cell>
          <cell r="B79" t="str">
            <v>Transport Allowance</v>
          </cell>
          <cell r="C79">
            <v>20000</v>
          </cell>
          <cell r="D79" t="str">
            <v>Personal Allow. - Fixed</v>
          </cell>
          <cell r="E79">
            <v>5000</v>
          </cell>
        </row>
        <row r="80">
          <cell r="A80">
            <v>3</v>
          </cell>
          <cell r="B80" t="str">
            <v>Meal Allowance</v>
          </cell>
          <cell r="C80">
            <v>5000</v>
          </cell>
          <cell r="D80" t="str">
            <v>NHF Contribution</v>
          </cell>
          <cell r="E80">
            <v>0</v>
          </cell>
        </row>
        <row r="81">
          <cell r="A81">
            <v>4</v>
          </cell>
          <cell r="B81" t="str">
            <v>Utility Allowance</v>
          </cell>
          <cell r="C81">
            <v>10000</v>
          </cell>
          <cell r="D81" t="str">
            <v>NSITF Contribution</v>
          </cell>
          <cell r="E81">
            <v>3.5000000000000003E-2</v>
          </cell>
        </row>
        <row r="82">
          <cell r="A82">
            <v>5</v>
          </cell>
          <cell r="B82" t="str">
            <v>Leave Allowance</v>
          </cell>
          <cell r="C82">
            <v>0.1</v>
          </cell>
          <cell r="D82" t="str">
            <v>Other Reliefs</v>
          </cell>
        </row>
        <row r="83">
          <cell r="A83">
            <v>6</v>
          </cell>
          <cell r="B83" t="str">
            <v>Other Tax Free Allowances</v>
          </cell>
          <cell r="C83" t="str">
            <v>Dependant Relative</v>
          </cell>
          <cell r="D83" t="str">
            <v>Dependant Relative</v>
          </cell>
          <cell r="E83">
            <v>4000</v>
          </cell>
        </row>
        <row r="84">
          <cell r="A84">
            <v>7</v>
          </cell>
        </row>
        <row r="85">
          <cell r="A85">
            <v>8</v>
          </cell>
        </row>
        <row r="91">
          <cell r="A91" t="str">
            <v>S/N (Tax Table)</v>
          </cell>
          <cell r="B91" t="str">
            <v>Tax Table Current</v>
          </cell>
          <cell r="C91" t="str">
            <v>Range</v>
          </cell>
          <cell r="D91" t="str">
            <v>Tax Table Prior</v>
          </cell>
          <cell r="E91" t="str">
            <v>Range</v>
          </cell>
        </row>
        <row r="92">
          <cell r="A92">
            <v>1</v>
          </cell>
          <cell r="B92">
            <v>0.05</v>
          </cell>
          <cell r="C92">
            <v>30000</v>
          </cell>
          <cell r="D92">
            <v>0.05</v>
          </cell>
          <cell r="E92">
            <v>30000</v>
          </cell>
        </row>
        <row r="93">
          <cell r="A93">
            <v>2</v>
          </cell>
          <cell r="B93">
            <v>0.1</v>
          </cell>
          <cell r="C93">
            <v>30000</v>
          </cell>
          <cell r="D93">
            <v>0.1</v>
          </cell>
          <cell r="E93">
            <v>30000</v>
          </cell>
        </row>
        <row r="94">
          <cell r="A94">
            <v>3</v>
          </cell>
          <cell r="B94">
            <v>0.15</v>
          </cell>
          <cell r="C94">
            <v>50000</v>
          </cell>
          <cell r="D94">
            <v>0.15</v>
          </cell>
          <cell r="E94">
            <v>50000</v>
          </cell>
        </row>
        <row r="95">
          <cell r="A95">
            <v>4</v>
          </cell>
          <cell r="B95">
            <v>0.2</v>
          </cell>
          <cell r="C95">
            <v>50000</v>
          </cell>
          <cell r="D95">
            <v>0.2</v>
          </cell>
          <cell r="E95">
            <v>50000</v>
          </cell>
        </row>
        <row r="96">
          <cell r="A96">
            <v>5</v>
          </cell>
          <cell r="B96">
            <v>0.25</v>
          </cell>
          <cell r="C96">
            <v>0.25</v>
          </cell>
          <cell r="D96">
            <v>0.25</v>
          </cell>
        </row>
        <row r="97">
          <cell r="A97">
            <v>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8">
          <cell r="B8" t="str">
            <v>IWUCHUKWU, CHIOMA NADIA</v>
          </cell>
          <cell r="C8">
            <v>628165.81000000006</v>
          </cell>
          <cell r="D8">
            <v>12500</v>
          </cell>
          <cell r="E8">
            <v>1666.67</v>
          </cell>
          <cell r="F8">
            <v>642332.48</v>
          </cell>
          <cell r="G8">
            <v>48174.94</v>
          </cell>
          <cell r="H8">
            <v>48174.94</v>
          </cell>
          <cell r="I8">
            <v>96349.88</v>
          </cell>
        </row>
        <row r="10">
          <cell r="B10" t="str">
            <v>OKPAKA, CHUKWUMA</v>
          </cell>
          <cell r="C10">
            <v>591806.99</v>
          </cell>
          <cell r="D10">
            <v>12500</v>
          </cell>
          <cell r="E10">
            <v>1666.67</v>
          </cell>
          <cell r="F10">
            <v>605973.66</v>
          </cell>
          <cell r="G10">
            <v>45448.02</v>
          </cell>
          <cell r="H10">
            <v>45448.02</v>
          </cell>
          <cell r="I10">
            <v>90896.04</v>
          </cell>
        </row>
        <row r="12">
          <cell r="B12" t="str">
            <v>FABIYI, LADI</v>
          </cell>
          <cell r="C12">
            <v>530984.85</v>
          </cell>
          <cell r="D12">
            <v>12500</v>
          </cell>
          <cell r="E12">
            <v>1666.67</v>
          </cell>
          <cell r="F12">
            <v>545151.52</v>
          </cell>
          <cell r="G12">
            <v>40886.36</v>
          </cell>
          <cell r="H12">
            <v>40886.36</v>
          </cell>
          <cell r="I12">
            <v>81772.72</v>
          </cell>
        </row>
        <row r="14">
          <cell r="B14" t="str">
            <v>ABUBAKAR, EDMUND</v>
          </cell>
          <cell r="C14">
            <v>132107.23000000001</v>
          </cell>
          <cell r="D14">
            <v>12500</v>
          </cell>
          <cell r="E14">
            <v>1666.67</v>
          </cell>
          <cell r="F14">
            <v>146273.9</v>
          </cell>
          <cell r="G14">
            <v>10970.54</v>
          </cell>
          <cell r="H14">
            <v>10970.54</v>
          </cell>
          <cell r="I14">
            <v>21941.08</v>
          </cell>
        </row>
        <row r="16">
          <cell r="B16" t="str">
            <v>ONYEJE, TERAE</v>
          </cell>
          <cell r="C16">
            <v>537966.67000000004</v>
          </cell>
          <cell r="D16">
            <v>12500</v>
          </cell>
          <cell r="E16">
            <v>1666.67</v>
          </cell>
          <cell r="F16">
            <v>552133.34</v>
          </cell>
          <cell r="G16">
            <v>41410</v>
          </cell>
          <cell r="H16">
            <v>41410</v>
          </cell>
          <cell r="I16">
            <v>82820</v>
          </cell>
        </row>
        <row r="18">
          <cell r="B18" t="str">
            <v>DIBOR KEN</v>
          </cell>
          <cell r="C18">
            <v>852126.06</v>
          </cell>
          <cell r="D18">
            <v>12500</v>
          </cell>
          <cell r="E18">
            <v>1666.67</v>
          </cell>
          <cell r="F18">
            <v>866292.73</v>
          </cell>
          <cell r="G18">
            <v>64971.95</v>
          </cell>
          <cell r="H18">
            <v>64971.95</v>
          </cell>
          <cell r="I18">
            <v>129943.9</v>
          </cell>
        </row>
        <row r="20">
          <cell r="B20" t="str">
            <v>OYENIYI KAZEEM</v>
          </cell>
          <cell r="C20">
            <v>174259.73</v>
          </cell>
          <cell r="D20">
            <v>12500</v>
          </cell>
          <cell r="E20">
            <v>1666.67</v>
          </cell>
          <cell r="F20">
            <v>188426.4</v>
          </cell>
          <cell r="G20">
            <v>14131.98</v>
          </cell>
          <cell r="H20">
            <v>14131.98</v>
          </cell>
          <cell r="I20">
            <v>28263.96</v>
          </cell>
        </row>
        <row r="22">
          <cell r="B22" t="str">
            <v>IME AKPAN UMO</v>
          </cell>
          <cell r="C22">
            <v>937893.94</v>
          </cell>
          <cell r="D22">
            <v>12500</v>
          </cell>
          <cell r="E22">
            <v>1666.67</v>
          </cell>
          <cell r="F22">
            <v>952060.61</v>
          </cell>
          <cell r="G22">
            <v>71404.55</v>
          </cell>
          <cell r="H22">
            <v>71404.55</v>
          </cell>
          <cell r="I22">
            <v>142809.1</v>
          </cell>
        </row>
        <row r="24">
          <cell r="B24" t="str">
            <v>ADEMOLA OMONI</v>
          </cell>
          <cell r="C24">
            <v>225405.3</v>
          </cell>
          <cell r="D24">
            <v>12500</v>
          </cell>
          <cell r="E24">
            <v>1666.67</v>
          </cell>
          <cell r="F24">
            <v>239571.97</v>
          </cell>
          <cell r="G24">
            <v>17967.900000000001</v>
          </cell>
          <cell r="H24">
            <v>17967.900000000001</v>
          </cell>
          <cell r="I24">
            <v>35935.800000000003</v>
          </cell>
        </row>
        <row r="26">
          <cell r="B26" t="str">
            <v>ADENIYI KANYINOLA</v>
          </cell>
          <cell r="C26">
            <v>237160.83</v>
          </cell>
          <cell r="D26">
            <v>12500</v>
          </cell>
          <cell r="E26">
            <v>1666.67</v>
          </cell>
          <cell r="F26">
            <v>251327.5</v>
          </cell>
          <cell r="G26">
            <v>18849.560000000001</v>
          </cell>
          <cell r="H26">
            <v>18849.560000000001</v>
          </cell>
          <cell r="I26">
            <v>37699.120000000003</v>
          </cell>
        </row>
        <row r="28">
          <cell r="B28" t="str">
            <v>EMEKA ONYEOKORO</v>
          </cell>
          <cell r="C28">
            <v>451681.29</v>
          </cell>
          <cell r="D28">
            <v>12500</v>
          </cell>
          <cell r="E28">
            <v>1666.67</v>
          </cell>
          <cell r="F28">
            <v>465847.96</v>
          </cell>
          <cell r="G28">
            <v>34938.6</v>
          </cell>
          <cell r="H28">
            <v>34938.6</v>
          </cell>
          <cell r="I28">
            <v>69877.2</v>
          </cell>
        </row>
        <row r="30">
          <cell r="B30" t="str">
            <v>BUKUNMI SEWEJE</v>
          </cell>
          <cell r="C30">
            <v>597272.72</v>
          </cell>
          <cell r="D30">
            <v>12500</v>
          </cell>
          <cell r="E30">
            <v>1666.67</v>
          </cell>
          <cell r="F30">
            <v>611439.39</v>
          </cell>
          <cell r="G30">
            <v>45857.95</v>
          </cell>
          <cell r="H30">
            <v>45857.95</v>
          </cell>
          <cell r="I30">
            <v>91715.9</v>
          </cell>
        </row>
        <row r="32">
          <cell r="B32" t="str">
            <v>ONYIA OKECHUKWU</v>
          </cell>
          <cell r="C32">
            <v>940833.33</v>
          </cell>
          <cell r="D32">
            <v>12500</v>
          </cell>
          <cell r="E32">
            <v>1666.67</v>
          </cell>
          <cell r="F32">
            <v>955000</v>
          </cell>
          <cell r="G32">
            <v>71625</v>
          </cell>
          <cell r="H32">
            <v>71625</v>
          </cell>
          <cell r="I32">
            <v>143250</v>
          </cell>
        </row>
        <row r="34">
          <cell r="B34" t="str">
            <v>MATHEW OLUOKUN</v>
          </cell>
          <cell r="C34">
            <v>331351.48</v>
          </cell>
          <cell r="D34">
            <v>12500</v>
          </cell>
          <cell r="E34">
            <v>1666.67</v>
          </cell>
          <cell r="F34">
            <v>345518.15</v>
          </cell>
          <cell r="G34">
            <v>25913.86</v>
          </cell>
          <cell r="H34">
            <v>25913.86</v>
          </cell>
          <cell r="I34">
            <v>51827.72</v>
          </cell>
        </row>
        <row r="36">
          <cell r="B36" t="str">
            <v>EJIKE ONYENOKPORO</v>
          </cell>
          <cell r="C36">
            <v>752837.23</v>
          </cell>
          <cell r="D36">
            <v>12500</v>
          </cell>
          <cell r="E36">
            <v>1666.67</v>
          </cell>
          <cell r="F36">
            <v>767003.9</v>
          </cell>
          <cell r="G36">
            <v>57525.29</v>
          </cell>
          <cell r="H36">
            <v>57525.29</v>
          </cell>
          <cell r="I36">
            <v>115050.58</v>
          </cell>
        </row>
        <row r="38">
          <cell r="B38" t="str">
            <v>KEHINDE POPOOLA</v>
          </cell>
          <cell r="C38">
            <v>167348.49</v>
          </cell>
          <cell r="D38">
            <v>12500</v>
          </cell>
          <cell r="E38">
            <v>1666.67</v>
          </cell>
          <cell r="F38">
            <v>181515.16</v>
          </cell>
          <cell r="G38">
            <v>13613.64</v>
          </cell>
          <cell r="H38">
            <v>13613.64</v>
          </cell>
          <cell r="I38">
            <v>27227.279999999999</v>
          </cell>
        </row>
        <row r="40">
          <cell r="B40" t="str">
            <v>ADEYEMI OKEOWO</v>
          </cell>
          <cell r="C40">
            <v>329136.37</v>
          </cell>
          <cell r="D40">
            <v>12500</v>
          </cell>
          <cell r="E40">
            <v>1666.67</v>
          </cell>
          <cell r="F40">
            <v>343303.04</v>
          </cell>
          <cell r="G40">
            <v>25747.73</v>
          </cell>
          <cell r="H40">
            <v>25747.73</v>
          </cell>
          <cell r="I40">
            <v>51495.46</v>
          </cell>
        </row>
        <row r="42">
          <cell r="B42" t="str">
            <v>CHRISTIE ELENDU</v>
          </cell>
          <cell r="C42">
            <v>280984.84999999998</v>
          </cell>
          <cell r="D42">
            <v>12500</v>
          </cell>
          <cell r="E42">
            <v>1666.67</v>
          </cell>
          <cell r="F42">
            <v>295151.52</v>
          </cell>
          <cell r="G42">
            <v>22136.36</v>
          </cell>
          <cell r="H42">
            <v>22136.36</v>
          </cell>
          <cell r="I42">
            <v>44272.72</v>
          </cell>
        </row>
        <row r="44">
          <cell r="B44" t="str">
            <v>ADEBISI GRILLO</v>
          </cell>
          <cell r="C44">
            <v>128456.44</v>
          </cell>
          <cell r="D44">
            <v>12500</v>
          </cell>
          <cell r="E44">
            <v>1666.67</v>
          </cell>
          <cell r="F44">
            <v>142623.10999999999</v>
          </cell>
          <cell r="G44">
            <v>10696.73</v>
          </cell>
          <cell r="H44">
            <v>10696.73</v>
          </cell>
          <cell r="I44">
            <v>21393.46</v>
          </cell>
        </row>
        <row r="46">
          <cell r="B46" t="str">
            <v>CHUKWUEMEKA CHUKWUKA</v>
          </cell>
          <cell r="C46">
            <v>422164.1</v>
          </cell>
          <cell r="D46">
            <v>12500</v>
          </cell>
          <cell r="E46">
            <v>1666.67</v>
          </cell>
          <cell r="F46">
            <v>436330.77</v>
          </cell>
          <cell r="G46">
            <v>32724.81</v>
          </cell>
          <cell r="H46">
            <v>32724.81</v>
          </cell>
          <cell r="I46">
            <v>65449.62</v>
          </cell>
        </row>
        <row r="48">
          <cell r="B48" t="str">
            <v>PHILIP AJIFOWOBAJE</v>
          </cell>
          <cell r="C48">
            <v>152643.94</v>
          </cell>
          <cell r="D48">
            <v>12500</v>
          </cell>
          <cell r="E48">
            <v>1666.67</v>
          </cell>
          <cell r="F48">
            <v>166810.60999999999</v>
          </cell>
          <cell r="G48">
            <v>12510.8</v>
          </cell>
          <cell r="H48">
            <v>12510.8</v>
          </cell>
          <cell r="I48">
            <v>25021.599999999999</v>
          </cell>
        </row>
        <row r="50">
          <cell r="B50" t="str">
            <v>AHMED SHABANI</v>
          </cell>
          <cell r="C50">
            <v>145166.29999999999</v>
          </cell>
          <cell r="D50">
            <v>12500</v>
          </cell>
          <cell r="E50">
            <v>1666.67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2">
          <cell r="B52" t="str">
            <v>ODO-EFFIONG ANNIE</v>
          </cell>
          <cell r="C52">
            <v>349530.31</v>
          </cell>
          <cell r="D52">
            <v>12500</v>
          </cell>
          <cell r="E52">
            <v>1666.67</v>
          </cell>
          <cell r="F52">
            <v>363696.98</v>
          </cell>
          <cell r="G52">
            <v>27277.27</v>
          </cell>
          <cell r="H52">
            <v>27277.27</v>
          </cell>
          <cell r="I52">
            <v>54554.54</v>
          </cell>
        </row>
        <row r="54">
          <cell r="B54" t="str">
            <v>KOJO IFEYINWA AGATHA-CHRISTY</v>
          </cell>
          <cell r="C54">
            <v>402196.97</v>
          </cell>
          <cell r="D54">
            <v>12500</v>
          </cell>
          <cell r="E54">
            <v>1666.67</v>
          </cell>
          <cell r="F54">
            <v>416363.64</v>
          </cell>
          <cell r="G54">
            <v>31227.27</v>
          </cell>
          <cell r="H54">
            <v>31227.27</v>
          </cell>
          <cell r="I54">
            <v>62454.54</v>
          </cell>
        </row>
        <row r="56">
          <cell r="B56" t="str">
            <v>YAKUBU HUSSAINI</v>
          </cell>
          <cell r="C56">
            <v>397045.45</v>
          </cell>
          <cell r="D56">
            <v>12500</v>
          </cell>
          <cell r="E56">
            <v>1666.67</v>
          </cell>
          <cell r="F56">
            <v>411212.12</v>
          </cell>
          <cell r="G56">
            <v>30840.91</v>
          </cell>
          <cell r="H56">
            <v>30840.91</v>
          </cell>
          <cell r="I56">
            <v>61681.82</v>
          </cell>
        </row>
        <row r="58">
          <cell r="B58" t="str">
            <v>RUTH LEBECHUKWU UZONDU</v>
          </cell>
          <cell r="C58">
            <v>273409.09000000003</v>
          </cell>
          <cell r="D58">
            <v>12500</v>
          </cell>
          <cell r="E58">
            <v>1666.67</v>
          </cell>
          <cell r="F58">
            <v>287575.76</v>
          </cell>
          <cell r="G58">
            <v>21568.18</v>
          </cell>
          <cell r="H58">
            <v>21568.18</v>
          </cell>
          <cell r="I58">
            <v>43136.36</v>
          </cell>
        </row>
        <row r="60">
          <cell r="B60" t="str">
            <v>PAULINE INENEMOH</v>
          </cell>
          <cell r="C60">
            <v>201439.39</v>
          </cell>
          <cell r="D60">
            <v>12500</v>
          </cell>
          <cell r="E60">
            <v>1666.67</v>
          </cell>
          <cell r="F60">
            <v>215606.06</v>
          </cell>
          <cell r="G60">
            <v>16170.45</v>
          </cell>
          <cell r="H60">
            <v>16170.45</v>
          </cell>
          <cell r="I60">
            <v>32340.9</v>
          </cell>
        </row>
        <row r="62">
          <cell r="B62" t="str">
            <v>MARTINS KANAYO NDIGWE</v>
          </cell>
          <cell r="C62">
            <v>449166.67</v>
          </cell>
          <cell r="D62">
            <v>12500</v>
          </cell>
          <cell r="E62">
            <v>1666.67</v>
          </cell>
          <cell r="F62">
            <v>463333.34</v>
          </cell>
          <cell r="G62">
            <v>34750</v>
          </cell>
          <cell r="H62">
            <v>34750</v>
          </cell>
          <cell r="I62">
            <v>69500</v>
          </cell>
        </row>
        <row r="64">
          <cell r="B64" t="str">
            <v>TOSIN OKUBANJO</v>
          </cell>
          <cell r="C64">
            <v>275530.3</v>
          </cell>
          <cell r="D64">
            <v>12500</v>
          </cell>
          <cell r="E64">
            <v>1666.67</v>
          </cell>
          <cell r="F64">
            <v>289696.96999999997</v>
          </cell>
          <cell r="G64">
            <v>21727.27</v>
          </cell>
          <cell r="H64">
            <v>21727.27</v>
          </cell>
          <cell r="I64">
            <v>43454.54</v>
          </cell>
        </row>
        <row r="66">
          <cell r="B66" t="str">
            <v>GEORGE CHINONSO MEDEBEM</v>
          </cell>
          <cell r="C66">
            <v>536666.67000000004</v>
          </cell>
          <cell r="D66">
            <v>12500</v>
          </cell>
          <cell r="E66">
            <v>1666.67</v>
          </cell>
          <cell r="F66">
            <v>550833.34</v>
          </cell>
          <cell r="G66">
            <v>41312.5</v>
          </cell>
          <cell r="H66">
            <v>41312.5</v>
          </cell>
          <cell r="I66">
            <v>82625</v>
          </cell>
        </row>
        <row r="68">
          <cell r="B68" t="str">
            <v>IZUORA ARINZE</v>
          </cell>
          <cell r="C68">
            <v>647651.52</v>
          </cell>
          <cell r="D68">
            <v>12500</v>
          </cell>
          <cell r="E68">
            <v>1666.67</v>
          </cell>
          <cell r="F68">
            <v>661818.18999999994</v>
          </cell>
          <cell r="G68">
            <v>49636.36</v>
          </cell>
          <cell r="H68">
            <v>49636.36</v>
          </cell>
          <cell r="I68">
            <v>99272.72</v>
          </cell>
        </row>
        <row r="70">
          <cell r="B70" t="str">
            <v>GAMBO OLUFEMI SANUSI</v>
          </cell>
          <cell r="C70">
            <v>662045.44999999995</v>
          </cell>
          <cell r="D70">
            <v>12500</v>
          </cell>
          <cell r="E70">
            <v>1666.67</v>
          </cell>
          <cell r="F70">
            <v>676212.12</v>
          </cell>
          <cell r="G70">
            <v>50715.91</v>
          </cell>
          <cell r="H70">
            <v>50715.91</v>
          </cell>
          <cell r="I70">
            <v>101431.82</v>
          </cell>
        </row>
        <row r="72">
          <cell r="B72" t="str">
            <v>EDWIN ORUNGBE ORUEBOR</v>
          </cell>
          <cell r="C72">
            <v>324239.2</v>
          </cell>
          <cell r="D72">
            <v>12500</v>
          </cell>
          <cell r="E72">
            <v>1666.67</v>
          </cell>
          <cell r="F72">
            <v>338405.87</v>
          </cell>
          <cell r="G72">
            <v>25380.44</v>
          </cell>
          <cell r="H72">
            <v>25380.44</v>
          </cell>
          <cell r="I72">
            <v>50760.88</v>
          </cell>
        </row>
        <row r="74">
          <cell r="B74" t="str">
            <v>AMUCHIENWA RITA NDIDI</v>
          </cell>
          <cell r="C74">
            <v>345378.79</v>
          </cell>
          <cell r="D74">
            <v>12500</v>
          </cell>
          <cell r="E74">
            <v>1666.67</v>
          </cell>
          <cell r="F74">
            <v>359545.46</v>
          </cell>
          <cell r="G74">
            <v>26965.91</v>
          </cell>
          <cell r="H74">
            <v>26965.91</v>
          </cell>
          <cell r="I74">
            <v>53931.82</v>
          </cell>
        </row>
        <row r="76">
          <cell r="B76" t="str">
            <v>OGINNI ADEBAYO OLUMUYIWA</v>
          </cell>
          <cell r="C76">
            <v>352954.54</v>
          </cell>
          <cell r="D76">
            <v>12500</v>
          </cell>
          <cell r="E76">
            <v>1666.67</v>
          </cell>
          <cell r="F76">
            <v>367121.21</v>
          </cell>
          <cell r="G76">
            <v>27534.09</v>
          </cell>
          <cell r="H76">
            <v>27534.09</v>
          </cell>
          <cell r="I76">
            <v>55068.18</v>
          </cell>
        </row>
        <row r="78">
          <cell r="B78" t="str">
            <v>AGWU JOVITA CHINONYE</v>
          </cell>
          <cell r="C78">
            <v>352954.54</v>
          </cell>
          <cell r="D78">
            <v>12500</v>
          </cell>
          <cell r="E78">
            <v>1666.67</v>
          </cell>
          <cell r="F78">
            <v>367121.21</v>
          </cell>
          <cell r="G78">
            <v>27534.09</v>
          </cell>
          <cell r="H78">
            <v>27534.09</v>
          </cell>
          <cell r="I78">
            <v>55068.18</v>
          </cell>
        </row>
        <row r="80">
          <cell r="B80" t="str">
            <v>EMMANUEL EZE</v>
          </cell>
          <cell r="C80">
            <v>360303.03</v>
          </cell>
          <cell r="D80">
            <v>12500</v>
          </cell>
          <cell r="E80">
            <v>1666.67</v>
          </cell>
          <cell r="F80">
            <v>374469.7</v>
          </cell>
          <cell r="G80">
            <v>28085.23</v>
          </cell>
          <cell r="H80">
            <v>28085.23</v>
          </cell>
          <cell r="I80">
            <v>56170.46</v>
          </cell>
        </row>
        <row r="82">
          <cell r="B82" t="str">
            <v>CHRISTOPHER OKELUE</v>
          </cell>
          <cell r="C82">
            <v>360303.03</v>
          </cell>
          <cell r="D82">
            <v>12500</v>
          </cell>
          <cell r="E82">
            <v>1666.67</v>
          </cell>
          <cell r="F82">
            <v>374469.7</v>
          </cell>
          <cell r="G82">
            <v>28085.23</v>
          </cell>
          <cell r="H82">
            <v>28085.23</v>
          </cell>
          <cell r="I82">
            <v>56170.46</v>
          </cell>
        </row>
        <row r="84">
          <cell r="B84" t="str">
            <v>IYO CHARLES TAMUNOPUBO</v>
          </cell>
          <cell r="C84">
            <v>536666.67000000004</v>
          </cell>
          <cell r="D84">
            <v>12500</v>
          </cell>
          <cell r="E84">
            <v>1666.67</v>
          </cell>
          <cell r="F84">
            <v>550833.34</v>
          </cell>
          <cell r="G84">
            <v>41312.5</v>
          </cell>
          <cell r="H84">
            <v>41312.5</v>
          </cell>
          <cell r="I84">
            <v>82625</v>
          </cell>
        </row>
        <row r="86">
          <cell r="B86" t="str">
            <v>OGUNJOBI SANMI SAMUEL</v>
          </cell>
          <cell r="C86">
            <v>151060.6</v>
          </cell>
          <cell r="D86">
            <v>12500</v>
          </cell>
          <cell r="E86">
            <v>1666.67</v>
          </cell>
          <cell r="F86">
            <v>165227.26999999999</v>
          </cell>
          <cell r="G86">
            <v>12392.05</v>
          </cell>
          <cell r="H86">
            <v>12392.05</v>
          </cell>
          <cell r="I86">
            <v>24784.1</v>
          </cell>
        </row>
        <row r="88">
          <cell r="B88" t="str">
            <v>EMEKA ELUU</v>
          </cell>
          <cell r="C88">
            <v>244363.31</v>
          </cell>
          <cell r="D88">
            <v>12500</v>
          </cell>
          <cell r="E88">
            <v>1666.67</v>
          </cell>
          <cell r="F88">
            <v>258529.98</v>
          </cell>
          <cell r="G88">
            <v>19389.75</v>
          </cell>
          <cell r="H88">
            <v>19389.75</v>
          </cell>
          <cell r="I88">
            <v>38779.5</v>
          </cell>
        </row>
        <row r="90">
          <cell r="B90" t="str">
            <v>OLAYINKA SUBERU</v>
          </cell>
          <cell r="C90">
            <v>94986.21</v>
          </cell>
          <cell r="D90">
            <v>12500</v>
          </cell>
          <cell r="E90">
            <v>1666.67</v>
          </cell>
          <cell r="F90">
            <v>109152.88</v>
          </cell>
          <cell r="G90">
            <v>8186.47</v>
          </cell>
          <cell r="H90">
            <v>8186.47</v>
          </cell>
          <cell r="I90">
            <v>16372.94</v>
          </cell>
        </row>
        <row r="92">
          <cell r="B92" t="str">
            <v>ADEYINKA MUSTAPHA</v>
          </cell>
          <cell r="C92">
            <v>94038.86</v>
          </cell>
          <cell r="D92">
            <v>12500</v>
          </cell>
          <cell r="E92">
            <v>1666.67</v>
          </cell>
          <cell r="F92">
            <v>108205.53</v>
          </cell>
          <cell r="G92">
            <v>8115.41</v>
          </cell>
          <cell r="H92">
            <v>8115.41</v>
          </cell>
          <cell r="I92">
            <v>16230.82</v>
          </cell>
        </row>
        <row r="94">
          <cell r="B94" t="str">
            <v>CHIDI OTUECHERE ISIKAKU</v>
          </cell>
          <cell r="C94">
            <v>273409.09000000003</v>
          </cell>
          <cell r="D94">
            <v>12500</v>
          </cell>
          <cell r="E94">
            <v>1666.67</v>
          </cell>
          <cell r="F94">
            <v>287575.76</v>
          </cell>
          <cell r="G94">
            <v>21568.18</v>
          </cell>
          <cell r="H94">
            <v>21568.18</v>
          </cell>
          <cell r="I94">
            <v>43136.36</v>
          </cell>
        </row>
        <row r="96">
          <cell r="B96" t="str">
            <v>VICTOR IGWE</v>
          </cell>
          <cell r="C96">
            <v>282599.06</v>
          </cell>
          <cell r="D96">
            <v>12500</v>
          </cell>
          <cell r="E96">
            <v>1666.67</v>
          </cell>
          <cell r="F96">
            <v>296765.73</v>
          </cell>
          <cell r="G96">
            <v>22257.43</v>
          </cell>
          <cell r="H96">
            <v>22257.43</v>
          </cell>
          <cell r="I96">
            <v>44514.86</v>
          </cell>
        </row>
        <row r="98">
          <cell r="B98" t="str">
            <v>TUNJI AINA</v>
          </cell>
          <cell r="C98">
            <v>312803.03000000003</v>
          </cell>
          <cell r="D98">
            <v>12500</v>
          </cell>
          <cell r="E98">
            <v>1666.67</v>
          </cell>
          <cell r="F98">
            <v>326969.7</v>
          </cell>
          <cell r="G98">
            <v>24522.73</v>
          </cell>
          <cell r="H98">
            <v>24522.73</v>
          </cell>
          <cell r="I98">
            <v>49045.46</v>
          </cell>
        </row>
        <row r="100">
          <cell r="B100" t="str">
            <v>OMOTAYO ADEWARE</v>
          </cell>
          <cell r="C100">
            <v>203712.12</v>
          </cell>
          <cell r="D100">
            <v>12500</v>
          </cell>
          <cell r="E100">
            <v>1666.67</v>
          </cell>
          <cell r="F100">
            <v>217878.79</v>
          </cell>
          <cell r="G100">
            <v>16340.91</v>
          </cell>
          <cell r="H100">
            <v>16340.91</v>
          </cell>
          <cell r="I100">
            <v>32681.82</v>
          </cell>
        </row>
        <row r="102">
          <cell r="B102" t="str">
            <v>OGUNSOLA OLAKUNLE MUJIB</v>
          </cell>
          <cell r="C102">
            <v>167348.49</v>
          </cell>
          <cell r="D102">
            <v>12500</v>
          </cell>
          <cell r="E102">
            <v>1666.67</v>
          </cell>
          <cell r="F102">
            <v>181515.16</v>
          </cell>
          <cell r="G102">
            <v>13613.64</v>
          </cell>
          <cell r="H102">
            <v>13613.64</v>
          </cell>
          <cell r="I102">
            <v>27227.279999999999</v>
          </cell>
        </row>
        <row r="104">
          <cell r="B104" t="str">
            <v>CHIZOBA NKOLI NWAOBIA</v>
          </cell>
          <cell r="C104">
            <v>212803.03</v>
          </cell>
          <cell r="D104">
            <v>12500</v>
          </cell>
          <cell r="E104">
            <v>1666.67</v>
          </cell>
          <cell r="F104">
            <v>226969.7</v>
          </cell>
          <cell r="G104">
            <v>17022.73</v>
          </cell>
          <cell r="H104">
            <v>17022.73</v>
          </cell>
          <cell r="I104">
            <v>34045.46</v>
          </cell>
        </row>
        <row r="106">
          <cell r="B106" t="str">
            <v>KINGSLEY UZUEGBU</v>
          </cell>
          <cell r="C106">
            <v>386875</v>
          </cell>
          <cell r="D106">
            <v>12500</v>
          </cell>
          <cell r="E106">
            <v>1666.67</v>
          </cell>
          <cell r="F106">
            <v>401041.67</v>
          </cell>
          <cell r="G106">
            <v>30078.13</v>
          </cell>
          <cell r="H106">
            <v>30078.13</v>
          </cell>
          <cell r="I106">
            <v>60156.26</v>
          </cell>
        </row>
        <row r="108">
          <cell r="B108" t="str">
            <v>ADAORA FRANCES OKAFOR</v>
          </cell>
          <cell r="C108">
            <v>194556.88</v>
          </cell>
          <cell r="D108">
            <v>12500</v>
          </cell>
          <cell r="E108">
            <v>1666.67</v>
          </cell>
          <cell r="F108">
            <v>208723.55</v>
          </cell>
          <cell r="G108">
            <v>15654.27</v>
          </cell>
          <cell r="H108">
            <v>15654.27</v>
          </cell>
          <cell r="I108">
            <v>31308.54</v>
          </cell>
        </row>
        <row r="110">
          <cell r="B110" t="str">
            <v>CHINEDU EZE</v>
          </cell>
          <cell r="C110">
            <v>194556.88</v>
          </cell>
          <cell r="D110">
            <v>12500</v>
          </cell>
          <cell r="E110">
            <v>1666.67</v>
          </cell>
          <cell r="F110">
            <v>208723.55</v>
          </cell>
          <cell r="G110">
            <v>15654.27</v>
          </cell>
          <cell r="H110">
            <v>15654.27</v>
          </cell>
          <cell r="I110">
            <v>31308.54</v>
          </cell>
        </row>
        <row r="112">
          <cell r="B112" t="str">
            <v>OMOBOLANLE RAMOTA ABIOSE</v>
          </cell>
          <cell r="C112">
            <v>194556.88</v>
          </cell>
          <cell r="D112">
            <v>12500</v>
          </cell>
          <cell r="E112">
            <v>1666.67</v>
          </cell>
          <cell r="F112">
            <v>208723.55</v>
          </cell>
          <cell r="G112">
            <v>15654.27</v>
          </cell>
          <cell r="H112">
            <v>15654.27</v>
          </cell>
          <cell r="I112">
            <v>31308.54</v>
          </cell>
        </row>
        <row r="114">
          <cell r="B114" t="str">
            <v>CHUKWUKELO NONSO OKEKE</v>
          </cell>
          <cell r="C114">
            <v>167348.49</v>
          </cell>
          <cell r="D114">
            <v>12500</v>
          </cell>
          <cell r="E114">
            <v>1666.67</v>
          </cell>
          <cell r="F114">
            <v>181515.16</v>
          </cell>
          <cell r="G114">
            <v>13613.64</v>
          </cell>
          <cell r="H114">
            <v>13613.64</v>
          </cell>
          <cell r="I114">
            <v>27227.279999999999</v>
          </cell>
        </row>
        <row r="116">
          <cell r="B116" t="str">
            <v>OLUFEMI TEMITOPE AJAYI</v>
          </cell>
          <cell r="C116">
            <v>167348.49</v>
          </cell>
          <cell r="D116">
            <v>12500</v>
          </cell>
          <cell r="E116">
            <v>1666.67</v>
          </cell>
          <cell r="F116">
            <v>181515.16</v>
          </cell>
          <cell r="G116">
            <v>13613.64</v>
          </cell>
          <cell r="H116">
            <v>13613.64</v>
          </cell>
          <cell r="I116">
            <v>27227.279999999999</v>
          </cell>
        </row>
        <row r="118">
          <cell r="B118" t="str">
            <v>CANDI CHIDINMA OWOH</v>
          </cell>
          <cell r="C118">
            <v>167348.49</v>
          </cell>
          <cell r="D118">
            <v>12500</v>
          </cell>
          <cell r="E118">
            <v>1666.67</v>
          </cell>
          <cell r="F118">
            <v>181515.16</v>
          </cell>
          <cell r="G118">
            <v>13613.64</v>
          </cell>
          <cell r="H118">
            <v>13613.64</v>
          </cell>
          <cell r="I118">
            <v>27227.279999999999</v>
          </cell>
        </row>
        <row r="120">
          <cell r="B120" t="str">
            <v>SUNDAY OLUSEYE OBISESAN</v>
          </cell>
          <cell r="C120">
            <v>330984.84999999998</v>
          </cell>
          <cell r="D120">
            <v>12500</v>
          </cell>
          <cell r="E120">
            <v>1666.67</v>
          </cell>
          <cell r="F120">
            <v>345151.52</v>
          </cell>
          <cell r="G120">
            <v>25886.36</v>
          </cell>
          <cell r="H120">
            <v>25886.36</v>
          </cell>
          <cell r="I120">
            <v>51772.72</v>
          </cell>
        </row>
        <row r="122">
          <cell r="B122" t="str">
            <v>SEBASTINE NZEADIBE</v>
          </cell>
          <cell r="C122">
            <v>417348.49</v>
          </cell>
          <cell r="D122">
            <v>12500</v>
          </cell>
          <cell r="E122">
            <v>1666.67</v>
          </cell>
          <cell r="F122">
            <v>431515.16</v>
          </cell>
          <cell r="G122">
            <v>32363.64</v>
          </cell>
          <cell r="H122">
            <v>32363.64</v>
          </cell>
          <cell r="I122">
            <v>64727.28</v>
          </cell>
        </row>
        <row r="124">
          <cell r="B124" t="str">
            <v>EFAGWU CHUKWUMA PATRICK</v>
          </cell>
          <cell r="C124">
            <v>391871.21</v>
          </cell>
          <cell r="D124">
            <v>12500</v>
          </cell>
          <cell r="E124">
            <v>1666.67</v>
          </cell>
          <cell r="F124">
            <v>406037.88</v>
          </cell>
          <cell r="G124">
            <v>30452.84</v>
          </cell>
          <cell r="H124">
            <v>30452.84</v>
          </cell>
          <cell r="I124">
            <v>60905.68</v>
          </cell>
        </row>
        <row r="126">
          <cell r="B126" t="str">
            <v>EMEKA CHIJIDE</v>
          </cell>
          <cell r="C126">
            <v>151166.67000000001</v>
          </cell>
          <cell r="D126">
            <v>12500</v>
          </cell>
          <cell r="E126">
            <v>8250</v>
          </cell>
          <cell r="F126">
            <v>171916.67</v>
          </cell>
          <cell r="G126">
            <v>12893.75</v>
          </cell>
          <cell r="H126">
            <v>12893.75</v>
          </cell>
          <cell r="I126">
            <v>25787.5</v>
          </cell>
        </row>
        <row r="128">
          <cell r="B128" t="str">
            <v>NDUKAH MAMAH</v>
          </cell>
          <cell r="C128">
            <v>331166.67</v>
          </cell>
          <cell r="D128">
            <v>12500</v>
          </cell>
          <cell r="E128">
            <v>17250</v>
          </cell>
          <cell r="F128">
            <v>360916.67</v>
          </cell>
          <cell r="G128">
            <v>27068.75</v>
          </cell>
          <cell r="H128">
            <v>27068.75</v>
          </cell>
          <cell r="I128">
            <v>54137.5</v>
          </cell>
        </row>
        <row r="130">
          <cell r="C130">
            <v>21507488.370000001</v>
          </cell>
          <cell r="D130">
            <v>762500</v>
          </cell>
          <cell r="E130">
            <v>123833.53</v>
          </cell>
          <cell r="F130">
            <v>22234488.93</v>
          </cell>
          <cell r="G130">
            <v>1667586.68</v>
          </cell>
          <cell r="H130">
            <v>1667586.68</v>
          </cell>
          <cell r="I130">
            <v>3335173.36</v>
          </cell>
        </row>
      </sheetData>
      <sheetData sheetId="15"/>
      <sheetData sheetId="16">
        <row r="6">
          <cell r="B6" t="str">
            <v>IWUCHUKWU, CHIOMA NADIA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</row>
        <row r="8">
          <cell r="B8" t="str">
            <v>OKPAKA, CHUKWUMA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10">
          <cell r="B10" t="str">
            <v>FABIYI, LADI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2">
          <cell r="B12" t="str">
            <v>ABUBAKAR, EDMUND</v>
          </cell>
          <cell r="C12">
            <v>59482.34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8250</v>
          </cell>
          <cell r="I12">
            <v>67732.34</v>
          </cell>
        </row>
        <row r="14">
          <cell r="B14" t="str">
            <v>ONYEJE, TERAE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</row>
        <row r="16">
          <cell r="B16" t="str">
            <v>DIBOR KEN</v>
          </cell>
          <cell r="C16">
            <v>2248441.44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2248441.44</v>
          </cell>
        </row>
        <row r="18">
          <cell r="B18" t="str">
            <v>OYENIYI KAZEEM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20">
          <cell r="B20" t="str">
            <v>IME AKPAN UMO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272250</v>
          </cell>
          <cell r="I20">
            <v>272250</v>
          </cell>
        </row>
        <row r="22">
          <cell r="B22" t="str">
            <v>ADEMOLA OMONI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27900</v>
          </cell>
          <cell r="I22">
            <v>27900</v>
          </cell>
        </row>
        <row r="24">
          <cell r="B24" t="str">
            <v>ADENIYI KANYINOLA</v>
          </cell>
          <cell r="C24">
            <v>979485.12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29250</v>
          </cell>
          <cell r="I24">
            <v>1008735.12</v>
          </cell>
        </row>
        <row r="26">
          <cell r="B26" t="str">
            <v>EMEKA ONYEOKORO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8">
          <cell r="B28" t="str">
            <v>BUKUNMI SEWEJE</v>
          </cell>
          <cell r="C28">
            <v>754064.99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71100</v>
          </cell>
          <cell r="I28">
            <v>825164.99</v>
          </cell>
        </row>
        <row r="30">
          <cell r="B30" t="str">
            <v>ONYIA OKECHUKWU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39600</v>
          </cell>
          <cell r="I30">
            <v>39600</v>
          </cell>
        </row>
        <row r="32">
          <cell r="B32" t="str">
            <v>MATHEW OLUOKUN</v>
          </cell>
          <cell r="C32">
            <v>75319.850000000006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75319.850000000006</v>
          </cell>
        </row>
        <row r="34">
          <cell r="B34" t="str">
            <v>EJIKE ONYENOKPORO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89100</v>
          </cell>
          <cell r="I34">
            <v>89100</v>
          </cell>
        </row>
        <row r="36">
          <cell r="B36" t="str">
            <v>KEHINDE POPOOLA</v>
          </cell>
          <cell r="C36">
            <v>881280.04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881280.04</v>
          </cell>
        </row>
        <row r="38">
          <cell r="B38" t="str">
            <v>ADEYEMI OKEOWO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40">
          <cell r="B40" t="str">
            <v>CHRISTIE ELENDU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2">
          <cell r="B42" t="str">
            <v>ADEBISI GRILLO</v>
          </cell>
          <cell r="C42">
            <v>919534.58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8100</v>
          </cell>
          <cell r="I42">
            <v>927634.58</v>
          </cell>
        </row>
        <row r="44">
          <cell r="B44" t="str">
            <v>CHUKWUEMEKA CHUKWUKA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37500</v>
          </cell>
          <cell r="I44">
            <v>37500</v>
          </cell>
        </row>
        <row r="46">
          <cell r="B46" t="str">
            <v>PHILIP AJIFOWOBAJE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8">
          <cell r="B48" t="str">
            <v>AHMED SHABANI</v>
          </cell>
          <cell r="C48">
            <v>857190.36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18600</v>
          </cell>
          <cell r="I48">
            <v>875790.36</v>
          </cell>
        </row>
        <row r="50">
          <cell r="B50" t="str">
            <v>ODO-EFFIONG ANNIE</v>
          </cell>
          <cell r="C50">
            <v>0</v>
          </cell>
          <cell r="D50">
            <v>0</v>
          </cell>
          <cell r="E50">
            <v>12123.41</v>
          </cell>
          <cell r="F50">
            <v>0</v>
          </cell>
          <cell r="G50">
            <v>0</v>
          </cell>
          <cell r="H50">
            <v>0</v>
          </cell>
          <cell r="I50">
            <v>12123.41</v>
          </cell>
        </row>
        <row r="52">
          <cell r="B52" t="str">
            <v>KOJO IFEYINWA AGATHA-CHRISTY</v>
          </cell>
          <cell r="C52">
            <v>1142350.02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1142350.02</v>
          </cell>
        </row>
        <row r="54">
          <cell r="B54" t="str">
            <v>YAKUBU HUSSAINI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28050</v>
          </cell>
          <cell r="I54">
            <v>28050</v>
          </cell>
        </row>
        <row r="56">
          <cell r="B56" t="str">
            <v>RUTH LEBECHUKWU UZONDU</v>
          </cell>
          <cell r="C56">
            <v>280046.67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33450</v>
          </cell>
          <cell r="I56">
            <v>313496.67</v>
          </cell>
        </row>
        <row r="58">
          <cell r="B58" t="str">
            <v>PAULINE INENEMOH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</row>
        <row r="60">
          <cell r="B60" t="str">
            <v>MARTINS KANAYO NDIGWE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</row>
        <row r="62">
          <cell r="B62" t="str">
            <v>TOSIN OKUBANJO</v>
          </cell>
          <cell r="C62">
            <v>30241.200000000001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30241.200000000001</v>
          </cell>
        </row>
        <row r="64">
          <cell r="B64" t="str">
            <v>GEORGE CHINONSO MEDEBEM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37650</v>
          </cell>
          <cell r="I64">
            <v>37650</v>
          </cell>
        </row>
        <row r="66">
          <cell r="B66" t="str">
            <v>IZUORA ARINZE</v>
          </cell>
          <cell r="C66">
            <v>146885.67000000001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76950</v>
          </cell>
          <cell r="I66">
            <v>223835.67</v>
          </cell>
        </row>
        <row r="68">
          <cell r="B68" t="str">
            <v>GAMBO OLUFEMI SANUSI</v>
          </cell>
          <cell r="C68">
            <v>282000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282000</v>
          </cell>
        </row>
        <row r="70">
          <cell r="B70" t="str">
            <v>EDWIN ORUNGBE ORUEBOR</v>
          </cell>
          <cell r="C70">
            <v>188082.2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39300</v>
          </cell>
          <cell r="I70">
            <v>227382.2</v>
          </cell>
        </row>
        <row r="72">
          <cell r="B72" t="str">
            <v>AMUCHIENWA RITA NDIDI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41850</v>
          </cell>
          <cell r="I72">
            <v>41850</v>
          </cell>
        </row>
        <row r="74">
          <cell r="B74" t="str">
            <v>OGINNI ADEBAYO OLUMUYIWA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25050</v>
          </cell>
          <cell r="I74">
            <v>25050</v>
          </cell>
        </row>
        <row r="76">
          <cell r="B76" t="str">
            <v>AGWU JOVITA CHINONYE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25050</v>
          </cell>
          <cell r="I76">
            <v>25050</v>
          </cell>
        </row>
        <row r="78">
          <cell r="B78" t="str">
            <v>EMMANUEL EZE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25500</v>
          </cell>
          <cell r="I78">
            <v>25500</v>
          </cell>
        </row>
        <row r="80">
          <cell r="B80" t="str">
            <v>CHRISTOPHER OKELUE</v>
          </cell>
          <cell r="C80">
            <v>0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25500</v>
          </cell>
          <cell r="I80">
            <v>25500</v>
          </cell>
        </row>
        <row r="82">
          <cell r="B82" t="str">
            <v>IYO CHARLES TAMUNOPUBO</v>
          </cell>
          <cell r="C82">
            <v>0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37650</v>
          </cell>
          <cell r="I82">
            <v>37650</v>
          </cell>
        </row>
        <row r="84">
          <cell r="B84" t="str">
            <v>OGUNJOBI SANMI SAMUEL</v>
          </cell>
          <cell r="C84">
            <v>69109.25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19200</v>
          </cell>
          <cell r="I84">
            <v>88309.25</v>
          </cell>
        </row>
        <row r="86">
          <cell r="B86" t="str">
            <v>EMEKA ELUU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14700</v>
          </cell>
          <cell r="I86">
            <v>14700</v>
          </cell>
        </row>
        <row r="88">
          <cell r="B88" t="str">
            <v>OLAYINKA SUBERU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</row>
        <row r="90">
          <cell r="B90" t="str">
            <v>ADEYINKA MUSTAPHA</v>
          </cell>
          <cell r="C90">
            <v>0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2">
          <cell r="B92" t="str">
            <v>CHIDI OTUECHERE ISIKAKU</v>
          </cell>
          <cell r="C92">
            <v>0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33450</v>
          </cell>
          <cell r="I92">
            <v>33450</v>
          </cell>
        </row>
        <row r="94">
          <cell r="B94" t="str">
            <v>VICTOR IGWE</v>
          </cell>
          <cell r="C94">
            <v>0</v>
          </cell>
          <cell r="D94">
            <v>0</v>
          </cell>
          <cell r="E94">
            <v>614433.19999999995</v>
          </cell>
          <cell r="F94">
            <v>0</v>
          </cell>
          <cell r="G94">
            <v>0</v>
          </cell>
          <cell r="H94">
            <v>0</v>
          </cell>
          <cell r="I94">
            <v>614433.19999999995</v>
          </cell>
        </row>
        <row r="96">
          <cell r="B96" t="str">
            <v>TUNJI AINA</v>
          </cell>
          <cell r="C96">
            <v>0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30150</v>
          </cell>
          <cell r="I96">
            <v>30150</v>
          </cell>
        </row>
        <row r="98">
          <cell r="B98" t="str">
            <v>OMOTAYO ADEWARE</v>
          </cell>
          <cell r="C98">
            <v>0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100">
          <cell r="B100" t="str">
            <v>OGUNSOLA OLAKUNLE MUJIB</v>
          </cell>
          <cell r="C100">
            <v>941280.05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941280.05</v>
          </cell>
        </row>
        <row r="102">
          <cell r="B102" t="str">
            <v>CHIZOBA NKOLI NWAOBIA</v>
          </cell>
          <cell r="C102">
            <v>0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4">
          <cell r="B104" t="str">
            <v>KINGSLEY UZUEGBU</v>
          </cell>
          <cell r="C104">
            <v>0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6">
          <cell r="B106" t="str">
            <v>ADAORA FRANCES OKAFOR</v>
          </cell>
          <cell r="C106">
            <v>0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</row>
        <row r="108">
          <cell r="B108" t="str">
            <v>CHINEDU EZE</v>
          </cell>
          <cell r="C108">
            <v>0</v>
          </cell>
          <cell r="D108">
            <v>0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</row>
        <row r="110">
          <cell r="B110" t="str">
            <v>OMOBOLANLE RAMOTA ABIOSE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</row>
        <row r="112">
          <cell r="B112" t="str">
            <v>CHUKWUKELO NONSO OKEKE</v>
          </cell>
          <cell r="C112">
            <v>0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</row>
        <row r="114">
          <cell r="B114" t="str">
            <v>OLUFEMI TEMITOPE AJAYI</v>
          </cell>
          <cell r="C114">
            <v>0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</row>
        <row r="116">
          <cell r="B116" t="str">
            <v>CANDI CHIDINMA OWOH</v>
          </cell>
          <cell r="C116">
            <v>0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8">
          <cell r="B118" t="str">
            <v>SUNDAY OLUSEYE OBISESAN</v>
          </cell>
          <cell r="C118">
            <v>0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20">
          <cell r="B120" t="str">
            <v>SEBASTINE NZEADIBE</v>
          </cell>
          <cell r="C120">
            <v>0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2">
          <cell r="B122" t="str">
            <v>EFAGWU CHUKWUMA PATRICK</v>
          </cell>
          <cell r="C122">
            <v>0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</row>
        <row r="124">
          <cell r="B124" t="str">
            <v>EMEKA CHIJIDE</v>
          </cell>
          <cell r="C124">
            <v>0</v>
          </cell>
          <cell r="D124">
            <v>0</v>
          </cell>
          <cell r="E124">
            <v>0</v>
          </cell>
          <cell r="F124">
            <v>0</v>
          </cell>
          <cell r="G124">
            <v>13750</v>
          </cell>
          <cell r="H124">
            <v>0</v>
          </cell>
          <cell r="I124">
            <v>13750</v>
          </cell>
        </row>
        <row r="126">
          <cell r="B126" t="str">
            <v>NDUKAH MAMAH</v>
          </cell>
          <cell r="C126">
            <v>0</v>
          </cell>
          <cell r="D126">
            <v>0</v>
          </cell>
          <cell r="E126">
            <v>0</v>
          </cell>
          <cell r="F126">
            <v>0</v>
          </cell>
          <cell r="G126">
            <v>28750</v>
          </cell>
          <cell r="H126">
            <v>0</v>
          </cell>
          <cell r="I126">
            <v>28750</v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>
        <row r="6">
          <cell r="B6" t="str">
            <v>IWUCHUKWU, CHIOMA NADIA</v>
          </cell>
        </row>
      </sheetData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>
        <row r="6">
          <cell r="B6" t="str">
            <v>IWUCHUKWU, CHIOMA NADIA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>
        <row r="6">
          <cell r="B6" t="str">
            <v>IWUCHUKWU, CHIOMA NADIA</v>
          </cell>
        </row>
      </sheetData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>
        <row r="6">
          <cell r="B6" t="str">
            <v>IWUCHUKWU, CHIOMA NADIA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>
        <row r="6">
          <cell r="B6" t="str">
            <v>IWUCHUKWU, CHIOMA NADIA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>
        <row r="6">
          <cell r="B6" t="str">
            <v>IWUCHUKWU, CHIOMA NADIA</v>
          </cell>
        </row>
      </sheetData>
      <sheetData sheetId="71"/>
      <sheetData sheetId="72"/>
      <sheetData sheetId="73"/>
      <sheetData sheetId="74"/>
      <sheetData sheetId="75"/>
      <sheetData sheetId="76"/>
      <sheetData sheetId="77"/>
      <sheetData sheetId="78">
        <row r="6">
          <cell r="B6" t="str">
            <v>IWUCHUKWU, CHIOMA NADIA</v>
          </cell>
        </row>
      </sheetData>
      <sheetData sheetId="79"/>
      <sheetData sheetId="80"/>
      <sheetData sheetId="81"/>
      <sheetData sheetId="82"/>
      <sheetData sheetId="83"/>
      <sheetData sheetId="84">
        <row r="6">
          <cell r="B6" t="str">
            <v>IWUCHUKWU, CHIOMA NADIA</v>
          </cell>
        </row>
      </sheetData>
      <sheetData sheetId="85"/>
      <sheetData sheetId="86"/>
      <sheetData sheetId="87"/>
      <sheetData sheetId="88"/>
      <sheetData sheetId="89"/>
      <sheetData sheetId="90">
        <row r="6">
          <cell r="B6" t="str">
            <v>IWUCHUKWU, CHIOMA NADIA</v>
          </cell>
        </row>
      </sheetData>
      <sheetData sheetId="91"/>
      <sheetData sheetId="92"/>
      <sheetData sheetId="93"/>
      <sheetData sheetId="94"/>
      <sheetData sheetId="95"/>
      <sheetData sheetId="96">
        <row r="6">
          <cell r="B6" t="str">
            <v>IWUCHUKWU, CHIOMA NADIA</v>
          </cell>
        </row>
      </sheetData>
      <sheetData sheetId="97"/>
      <sheetData sheetId="98"/>
      <sheetData sheetId="99"/>
      <sheetData sheetId="100"/>
      <sheetData sheetId="101"/>
      <sheetData sheetId="102">
        <row r="6">
          <cell r="B6" t="str">
            <v>IWUCHUKWU, CHIOMA NADIA</v>
          </cell>
        </row>
      </sheetData>
      <sheetData sheetId="103"/>
      <sheetData sheetId="104"/>
      <sheetData sheetId="105"/>
      <sheetData sheetId="106"/>
      <sheetData sheetId="107"/>
      <sheetData sheetId="108">
        <row r="6">
          <cell r="B6" t="str">
            <v>IWUCHUKWU, CHIOMA NADIA</v>
          </cell>
        </row>
      </sheetData>
      <sheetData sheetId="109"/>
      <sheetData sheetId="110"/>
      <sheetData sheetId="111"/>
      <sheetData sheetId="112"/>
      <sheetData sheetId="113"/>
      <sheetData sheetId="114">
        <row r="6">
          <cell r="B6" t="str">
            <v>IWUCHUKWU, CHIOMA NADIA</v>
          </cell>
        </row>
      </sheetData>
      <sheetData sheetId="115"/>
      <sheetData sheetId="116"/>
      <sheetData sheetId="117"/>
      <sheetData sheetId="118"/>
      <sheetData sheetId="119"/>
      <sheetData sheetId="120">
        <row r="6">
          <cell r="B6" t="str">
            <v>IWUCHUKWU, CHIOMA NADIA</v>
          </cell>
        </row>
      </sheetData>
      <sheetData sheetId="121"/>
      <sheetData sheetId="122"/>
      <sheetData sheetId="123"/>
      <sheetData sheetId="124"/>
      <sheetData sheetId="125"/>
      <sheetData sheetId="126">
        <row r="6">
          <cell r="B6" t="str">
            <v>IWUCHUKWU, CHIOMA NADIA</v>
          </cell>
        </row>
      </sheetData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>
        <row r="6">
          <cell r="B6" t="str">
            <v>IWUCHUKWU, CHIOMA NADIA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>
        <row r="6">
          <cell r="B6" t="str">
            <v>IWUCHUKWU, CHIOMA NADIA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>
        <row r="6">
          <cell r="B6" t="str">
            <v>IWUCHUKWU, CHIOMA NADIA</v>
          </cell>
        </row>
      </sheetData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6">
          <cell r="B6" t="str">
            <v>IWUCHUKWU, CHIOMA NADIA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CTC"/>
      <sheetName val="VARIANCE ANALYSIS"/>
      <sheetName val="MAY 2013 PAYROLL"/>
      <sheetName val="OTHER ALLOWCE"/>
      <sheetName val="LOANS"/>
      <sheetName val="OTHER DEDUCT"/>
      <sheetName val="PENS SCHED"/>
      <sheetName val="PAYE REPORT"/>
      <sheetName val="PAYSLIPS"/>
      <sheetName val="BANK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CTC"/>
      <sheetName val="VARIANCE ANALYSIS"/>
      <sheetName val="MAY 2013 PAYROLL"/>
      <sheetName val="OTHER ALLOWCE"/>
      <sheetName val="LOANS"/>
      <sheetName val="OTHER DEDUCT"/>
      <sheetName val="PENS SCHED"/>
      <sheetName val="PAYE REPORT"/>
      <sheetName val="PAYSLIPS"/>
      <sheetName val="BANK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CTC"/>
      <sheetName val="VARIANCE ANALYSIS"/>
      <sheetName val="MAY 2013 PAYROLL"/>
      <sheetName val="OTHER ALLOWCE"/>
      <sheetName val="LOANS"/>
      <sheetName val="OTHER DEDUCT"/>
      <sheetName val="PENS SCHED"/>
      <sheetName val="PAYE REPORT"/>
      <sheetName val="PAYSLIPS"/>
      <sheetName val="BANK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UAL CTC"/>
      <sheetName val="VARIANCE ANALYSIS"/>
      <sheetName val="MAY 2013 PAYROLL"/>
      <sheetName val="OTHER ALLOWCE"/>
      <sheetName val="LOANS"/>
      <sheetName val="OTHER DEDUCT"/>
      <sheetName val="PENS SCHED"/>
      <sheetName val="PAYE REPORT"/>
      <sheetName val="PAYSLIPS"/>
      <sheetName val="BANK SCHEDU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"/>
      <sheetName val="BUS EXP."/>
      <sheetName val="30TH.FINANCIAL"/>
      <sheetName val="SUMMARY"/>
      <sheetName val="INCFINAL"/>
      <sheetName val="INCOME STATEMENT"/>
      <sheetName val="RATIOS"/>
      <sheetName val="SCENARIO4"/>
      <sheetName val="BALSFINAL"/>
      <sheetName val="BALSHEET TEMPLATE"/>
      <sheetName val="COMM&amp;FEES TEMPLATE"/>
      <sheetName val="LCY BALSHEET WKS"/>
      <sheetName val="COMM_FEES TEMPLATE"/>
      <sheetName val="Input"/>
      <sheetName val="IncStmt"/>
      <sheetName val="Staff Debtors"/>
      <sheetName val="DATABANK"/>
      <sheetName val="AFRICA OTH temp"/>
      <sheetName val="LINEBYLINE temp"/>
      <sheetName val="CAMEROON temp"/>
      <sheetName val="GHANA temp"/>
      <sheetName val="NIGERIA temp"/>
      <sheetName val="EAST AFRICA temp"/>
      <sheetName val="REPORT temp"/>
      <sheetName val="SEYCHELLES temp"/>
      <sheetName val="BUS_EXP_"/>
      <sheetName val="30TH_FINANCIAL"/>
      <sheetName val="INCOME_STATEMENT"/>
      <sheetName val="BALSHEET_TEMPLATE"/>
      <sheetName val="COMM&amp;FEES_TEMPLATE"/>
      <sheetName val="LCY_BALSHEET_WKS"/>
      <sheetName val="COMM_FEES_TEMPLATE"/>
      <sheetName val="Staff_Debtors"/>
      <sheetName val="PDS3"/>
      <sheetName val="Movement Calc"/>
      <sheetName val="Routing"/>
      <sheetName val="hours"/>
      <sheetName val="Salary"/>
      <sheetName val="BUS_EXP_1"/>
      <sheetName val="30TH_FINANCIAL1"/>
      <sheetName val="INCOME_STATEMENT1"/>
      <sheetName val="BALSHEET_TEMPLATE1"/>
      <sheetName val="COMM&amp;FEES_TEMPLATE1"/>
      <sheetName val="LCY_BALSHEET_WKS1"/>
      <sheetName val="COMM_FEES_TEMPLATE1"/>
      <sheetName val="Staff_Debtors1"/>
      <sheetName val="AFRICA_OTH_temp"/>
      <sheetName val="LINEBYLINE_temp"/>
      <sheetName val="CAMEROON_temp"/>
      <sheetName val="GHANA_temp"/>
      <sheetName val="NIGERIA_temp"/>
      <sheetName val="EAST_AFRICA_temp"/>
      <sheetName val="REPORT_temp"/>
      <sheetName val="SEYCHELLES_temp"/>
      <sheetName val="Movement_Calc"/>
      <sheetName val="LOANS"/>
      <sheetName val="ANNUAL CTC"/>
      <sheetName val="Summary BS"/>
      <sheetName val="DETAILED_BALSHT_VOL_PROJ"/>
      <sheetName val="FIN_STMT"/>
      <sheetName val="StaffCost"/>
      <sheetName val="TREND_P+L"/>
      <sheetName val="BUS_EXP_2"/>
      <sheetName val="30TH_FINANCIAL2"/>
      <sheetName val="INCOME_STATEMENT2"/>
      <sheetName val="BALSHEET_TEMPLATE2"/>
      <sheetName val="COMM&amp;FEES_TEMPLATE2"/>
      <sheetName val="LCY_BALSHEET_WKS2"/>
      <sheetName val="COMM_FEES_TEMPLATE2"/>
      <sheetName val="Staff_Debtors2"/>
      <sheetName val="AFRICA_OTH_temp1"/>
      <sheetName val="LINEBYLINE_temp1"/>
      <sheetName val="CAMEROON_temp1"/>
      <sheetName val="GHANA_temp1"/>
      <sheetName val="NIGERIA_temp1"/>
      <sheetName val="EAST_AFRICA_temp1"/>
      <sheetName val="REPORT_temp1"/>
      <sheetName val="SEYCHELLES_temp1"/>
      <sheetName val="Movement_Calc1"/>
      <sheetName val="BUS_EXP_3"/>
      <sheetName val="30TH_FINANCIAL3"/>
      <sheetName val="INCOME_STATEMENT3"/>
      <sheetName val="BALSHEET_TEMPLATE3"/>
      <sheetName val="COMM&amp;FEES_TEMPLATE3"/>
      <sheetName val="LCY_BALSHEET_WKS3"/>
      <sheetName val="COMM_FEES_TEMPLATE3"/>
      <sheetName val="Staff_Debtors3"/>
      <sheetName val="AFRICA_OTH_temp2"/>
      <sheetName val="LINEBYLINE_temp2"/>
      <sheetName val="CAMEROON_temp2"/>
      <sheetName val="GHANA_temp2"/>
      <sheetName val="NIGERIA_temp2"/>
      <sheetName val="EAST_AFRICA_temp2"/>
      <sheetName val="REPORT_temp2"/>
      <sheetName val="SEYCHELLES_temp2"/>
      <sheetName val="Movement_Calc2"/>
      <sheetName val="CAPEX"/>
      <sheetName val="BUDGET_INPUT"/>
      <sheetName val="BUS_EXP_4"/>
      <sheetName val="30TH_FINANCIAL4"/>
      <sheetName val="INCOME_STATEMENT4"/>
      <sheetName val="BALSHEET_TEMPLATE4"/>
      <sheetName val="COMM&amp;FEES_TEMPLATE4"/>
      <sheetName val="LCY_BALSHEET_WKS4"/>
      <sheetName val="Staff_Debtors4"/>
      <sheetName val="COMM_FEES_TEMPLATE4"/>
      <sheetName val="AFRICA_OTH_temp3"/>
      <sheetName val="LINEBYLINE_temp3"/>
      <sheetName val="CAMEROON_temp3"/>
      <sheetName val="GHANA_temp3"/>
      <sheetName val="NIGERIA_temp3"/>
      <sheetName val="EAST_AFRICA_temp3"/>
      <sheetName val="REPORT_temp3"/>
      <sheetName val="SEYCHELLES_temp3"/>
      <sheetName val="Movement_Calc3"/>
      <sheetName val="BUS_EXP_5"/>
      <sheetName val="30TH_FINANCIAL5"/>
      <sheetName val="INCOME_STATEMENT5"/>
      <sheetName val="BALSHEET_TEMPLATE5"/>
      <sheetName val="COMM&amp;FEES_TEMPLATE5"/>
      <sheetName val="LCY_BALSHEET_WKS5"/>
      <sheetName val="Staff_Debtors5"/>
      <sheetName val="COMM_FEES_TEMPLATE5"/>
      <sheetName val="AFRICA_OTH_temp4"/>
      <sheetName val="LINEBYLINE_temp4"/>
      <sheetName val="CAMEROON_temp4"/>
      <sheetName val="GHANA_temp4"/>
      <sheetName val="NIGERIA_temp4"/>
      <sheetName val="EAST_AFRICA_temp4"/>
      <sheetName val="REPORT_temp4"/>
      <sheetName val="SEYCHELLES_temp4"/>
      <sheetName val="Movement_Calc4"/>
      <sheetName val="BUS_EXP_6"/>
      <sheetName val="30TH_FINANCIAL6"/>
      <sheetName val="INCOME_STATEMENT6"/>
      <sheetName val="BALSHEET_TEMPLATE6"/>
      <sheetName val="COMM&amp;FEES_TEMPLATE6"/>
      <sheetName val="LCY_BALSHEET_WKS6"/>
      <sheetName val="Staff_Debtors6"/>
      <sheetName val="COMM_FEES_TEMPLATE6"/>
      <sheetName val="AFRICA_OTH_temp5"/>
      <sheetName val="LINEBYLINE_temp5"/>
      <sheetName val="CAMEROON_temp5"/>
      <sheetName val="GHANA_temp5"/>
      <sheetName val="NIGERIA_temp5"/>
      <sheetName val="EAST_AFRICA_temp5"/>
      <sheetName val="REPORT_temp5"/>
      <sheetName val="SEYCHELLES_temp5"/>
      <sheetName val="Movement_Calc5"/>
      <sheetName val="BUS_EXP_7"/>
      <sheetName val="30TH_FINANCIAL7"/>
      <sheetName val="INCOME_STATEMENT7"/>
      <sheetName val="BALSHEET_TEMPLATE7"/>
      <sheetName val="COMM&amp;FEES_TEMPLATE7"/>
      <sheetName val="LCY_BALSHEET_WKS7"/>
      <sheetName val="Staff_Debtors7"/>
      <sheetName val="COMM_FEES_TEMPLATE7"/>
      <sheetName val="AFRICA_OTH_temp6"/>
      <sheetName val="LINEBYLINE_temp6"/>
      <sheetName val="CAMEROON_temp6"/>
      <sheetName val="GHANA_temp6"/>
      <sheetName val="NIGERIA_temp6"/>
      <sheetName val="EAST_AFRICA_temp6"/>
      <sheetName val="REPORT_temp6"/>
      <sheetName val="SEYCHELLES_temp6"/>
      <sheetName val="Movement_Calc6"/>
      <sheetName val="BUS_EXP_8"/>
      <sheetName val="30TH_FINANCIAL8"/>
      <sheetName val="INCOME_STATEMENT8"/>
      <sheetName val="BALSHEET_TEMPLATE8"/>
      <sheetName val="COMM&amp;FEES_TEMPLATE8"/>
      <sheetName val="LCY_BALSHEET_WKS8"/>
      <sheetName val="Staff_Debtors8"/>
      <sheetName val="COMM_FEES_TEMPLATE8"/>
      <sheetName val="AFRICA_OTH_temp7"/>
      <sheetName val="LINEBYLINE_temp7"/>
      <sheetName val="CAMEROON_temp7"/>
      <sheetName val="GHANA_temp7"/>
      <sheetName val="NIGERIA_temp7"/>
      <sheetName val="EAST_AFRICA_temp7"/>
      <sheetName val="REPORT_temp7"/>
      <sheetName val="SEYCHELLES_temp7"/>
      <sheetName val="Movement_Calc7"/>
      <sheetName val="BUS_EXP_9"/>
      <sheetName val="30TH_FINANCIAL9"/>
      <sheetName val="INCOME_STATEMENT9"/>
      <sheetName val="BALSHEET_TEMPLATE9"/>
      <sheetName val="COMM&amp;FEES_TEMPLATE9"/>
      <sheetName val="LCY_BALSHEET_WKS9"/>
      <sheetName val="Staff_Debtors9"/>
      <sheetName val="COMM_FEES_TEMPLATE9"/>
      <sheetName val="AFRICA_OTH_temp8"/>
      <sheetName val="LINEBYLINE_temp8"/>
      <sheetName val="CAMEROON_temp8"/>
      <sheetName val="GHANA_temp8"/>
      <sheetName val="NIGERIA_temp8"/>
      <sheetName val="EAST_AFRICA_temp8"/>
      <sheetName val="REPORT_temp8"/>
      <sheetName val="SEYCHELLES_temp8"/>
      <sheetName val="Movement_Calc8"/>
      <sheetName val="BUS_EXP_10"/>
      <sheetName val="30TH_FINANCIAL10"/>
      <sheetName val="INCOME_STATEMENT10"/>
      <sheetName val="BALSHEET_TEMPLATE10"/>
      <sheetName val="COMM&amp;FEES_TEMPLATE10"/>
      <sheetName val="LCY_BALSHEET_WKS10"/>
      <sheetName val="Staff_Debtors10"/>
      <sheetName val="COMM_FEES_TEMPLATE10"/>
      <sheetName val="AFRICA_OTH_temp9"/>
      <sheetName val="LINEBYLINE_temp9"/>
      <sheetName val="CAMEROON_temp9"/>
      <sheetName val="GHANA_temp9"/>
      <sheetName val="NIGERIA_temp9"/>
      <sheetName val="EAST_AFRICA_temp9"/>
      <sheetName val="REPORT_temp9"/>
      <sheetName val="SEYCHELLES_temp9"/>
      <sheetName val="Movement_Calc9"/>
      <sheetName val="BUS_EXP_13"/>
      <sheetName val="30TH_FINANCIAL13"/>
      <sheetName val="INCOME_STATEMENT13"/>
      <sheetName val="BALSHEET_TEMPLATE13"/>
      <sheetName val="COMM&amp;FEES_TEMPLATE13"/>
      <sheetName val="LCY_BALSHEET_WKS13"/>
      <sheetName val="Staff_Debtors13"/>
      <sheetName val="COMM_FEES_TEMPLATE13"/>
      <sheetName val="AFRICA_OTH_temp12"/>
      <sheetName val="LINEBYLINE_temp12"/>
      <sheetName val="CAMEROON_temp12"/>
      <sheetName val="GHANA_temp12"/>
      <sheetName val="NIGERIA_temp12"/>
      <sheetName val="EAST_AFRICA_temp12"/>
      <sheetName val="REPORT_temp12"/>
      <sheetName val="SEYCHELLES_temp12"/>
      <sheetName val="Movement_Calc12"/>
      <sheetName val="BUS_EXP_12"/>
      <sheetName val="30TH_FINANCIAL12"/>
      <sheetName val="INCOME_STATEMENT12"/>
      <sheetName val="BALSHEET_TEMPLATE12"/>
      <sheetName val="COMM&amp;FEES_TEMPLATE12"/>
      <sheetName val="LCY_BALSHEET_WKS12"/>
      <sheetName val="Staff_Debtors12"/>
      <sheetName val="COMM_FEES_TEMPLATE12"/>
      <sheetName val="AFRICA_OTH_temp11"/>
      <sheetName val="LINEBYLINE_temp11"/>
      <sheetName val="CAMEROON_temp11"/>
      <sheetName val="GHANA_temp11"/>
      <sheetName val="NIGERIA_temp11"/>
      <sheetName val="EAST_AFRICA_temp11"/>
      <sheetName val="REPORT_temp11"/>
      <sheetName val="SEYCHELLES_temp11"/>
      <sheetName val="Movement_Calc11"/>
      <sheetName val="BUS_EXP_11"/>
      <sheetName val="30TH_FINANCIAL11"/>
      <sheetName val="INCOME_STATEMENT11"/>
      <sheetName val="BALSHEET_TEMPLATE11"/>
      <sheetName val="COMM&amp;FEES_TEMPLATE11"/>
      <sheetName val="LCY_BALSHEET_WKS11"/>
      <sheetName val="Staff_Debtors11"/>
      <sheetName val="COMM_FEES_TEMPLATE11"/>
      <sheetName val="AFRICA_OTH_temp10"/>
      <sheetName val="LINEBYLINE_temp10"/>
      <sheetName val="CAMEROON_temp10"/>
      <sheetName val="GHANA_temp10"/>
      <sheetName val="NIGERIA_temp10"/>
      <sheetName val="EAST_AFRICA_temp10"/>
      <sheetName val="REPORT_temp10"/>
      <sheetName val="SEYCHELLES_temp10"/>
      <sheetName val="Movement_Calc10"/>
      <sheetName val="BUS_EXP_22"/>
      <sheetName val="30TH_FINANCIAL22"/>
      <sheetName val="INCOME_STATEMENT22"/>
      <sheetName val="BALSHEET_TEMPLATE22"/>
      <sheetName val="COMM&amp;FEES_TEMPLATE22"/>
      <sheetName val="LCY_BALSHEET_WKS22"/>
      <sheetName val="Staff_Debtors22"/>
      <sheetName val="COMM_FEES_TEMPLATE22"/>
      <sheetName val="AFRICA_OTH_temp21"/>
      <sheetName val="LINEBYLINE_temp21"/>
      <sheetName val="CAMEROON_temp21"/>
      <sheetName val="GHANA_temp21"/>
      <sheetName val="NIGERIA_temp21"/>
      <sheetName val="EAST_AFRICA_temp21"/>
      <sheetName val="REPORT_temp21"/>
      <sheetName val="SEYCHELLES_temp21"/>
      <sheetName val="Movement_Calc21"/>
      <sheetName val="BUS_EXP_19"/>
      <sheetName val="30TH_FINANCIAL19"/>
      <sheetName val="INCOME_STATEMENT19"/>
      <sheetName val="BALSHEET_TEMPLATE19"/>
      <sheetName val="COMM&amp;FEES_TEMPLATE19"/>
      <sheetName val="LCY_BALSHEET_WKS19"/>
      <sheetName val="Staff_Debtors19"/>
      <sheetName val="COMM_FEES_TEMPLATE19"/>
      <sheetName val="AFRICA_OTH_temp18"/>
      <sheetName val="LINEBYLINE_temp18"/>
      <sheetName val="CAMEROON_temp18"/>
      <sheetName val="GHANA_temp18"/>
      <sheetName val="NIGERIA_temp18"/>
      <sheetName val="EAST_AFRICA_temp18"/>
      <sheetName val="REPORT_temp18"/>
      <sheetName val="SEYCHELLES_temp18"/>
      <sheetName val="Movement_Calc18"/>
      <sheetName val="BUS_EXP_14"/>
      <sheetName val="30TH_FINANCIAL14"/>
      <sheetName val="INCOME_STATEMENT14"/>
      <sheetName val="BALSHEET_TEMPLATE14"/>
      <sheetName val="COMM&amp;FEES_TEMPLATE14"/>
      <sheetName val="LCY_BALSHEET_WKS14"/>
      <sheetName val="Staff_Debtors14"/>
      <sheetName val="COMM_FEES_TEMPLATE14"/>
      <sheetName val="AFRICA_OTH_temp13"/>
      <sheetName val="LINEBYLINE_temp13"/>
      <sheetName val="CAMEROON_temp13"/>
      <sheetName val="GHANA_temp13"/>
      <sheetName val="NIGERIA_temp13"/>
      <sheetName val="EAST_AFRICA_temp13"/>
      <sheetName val="REPORT_temp13"/>
      <sheetName val="SEYCHELLES_temp13"/>
      <sheetName val="Movement_Calc13"/>
      <sheetName val="BUS_EXP_15"/>
      <sheetName val="30TH_FINANCIAL15"/>
      <sheetName val="INCOME_STATEMENT15"/>
      <sheetName val="BALSHEET_TEMPLATE15"/>
      <sheetName val="COMM&amp;FEES_TEMPLATE15"/>
      <sheetName val="LCY_BALSHEET_WKS15"/>
      <sheetName val="Staff_Debtors15"/>
      <sheetName val="COMM_FEES_TEMPLATE15"/>
      <sheetName val="AFRICA_OTH_temp14"/>
      <sheetName val="LINEBYLINE_temp14"/>
      <sheetName val="CAMEROON_temp14"/>
      <sheetName val="GHANA_temp14"/>
      <sheetName val="NIGERIA_temp14"/>
      <sheetName val="EAST_AFRICA_temp14"/>
      <sheetName val="REPORT_temp14"/>
      <sheetName val="SEYCHELLES_temp14"/>
      <sheetName val="Movement_Calc14"/>
      <sheetName val="BUS_EXP_16"/>
      <sheetName val="30TH_FINANCIAL16"/>
      <sheetName val="INCOME_STATEMENT16"/>
      <sheetName val="BALSHEET_TEMPLATE16"/>
      <sheetName val="COMM&amp;FEES_TEMPLATE16"/>
      <sheetName val="LCY_BALSHEET_WKS16"/>
      <sheetName val="Staff_Debtors16"/>
      <sheetName val="COMM_FEES_TEMPLATE16"/>
      <sheetName val="AFRICA_OTH_temp15"/>
      <sheetName val="LINEBYLINE_temp15"/>
      <sheetName val="CAMEROON_temp15"/>
      <sheetName val="GHANA_temp15"/>
      <sheetName val="NIGERIA_temp15"/>
      <sheetName val="EAST_AFRICA_temp15"/>
      <sheetName val="REPORT_temp15"/>
      <sheetName val="SEYCHELLES_temp15"/>
      <sheetName val="Movement_Calc15"/>
      <sheetName val="BUS_EXP_17"/>
      <sheetName val="30TH_FINANCIAL17"/>
      <sheetName val="INCOME_STATEMENT17"/>
      <sheetName val="BALSHEET_TEMPLATE17"/>
      <sheetName val="COMM&amp;FEES_TEMPLATE17"/>
      <sheetName val="LCY_BALSHEET_WKS17"/>
      <sheetName val="Staff_Debtors17"/>
      <sheetName val="COMM_FEES_TEMPLATE17"/>
      <sheetName val="AFRICA_OTH_temp16"/>
      <sheetName val="LINEBYLINE_temp16"/>
      <sheetName val="CAMEROON_temp16"/>
      <sheetName val="GHANA_temp16"/>
      <sheetName val="NIGERIA_temp16"/>
      <sheetName val="EAST_AFRICA_temp16"/>
      <sheetName val="REPORT_temp16"/>
      <sheetName val="SEYCHELLES_temp16"/>
      <sheetName val="Movement_Calc16"/>
      <sheetName val="BUS_EXP_18"/>
      <sheetName val="30TH_FINANCIAL18"/>
      <sheetName val="INCOME_STATEMENT18"/>
      <sheetName val="BALSHEET_TEMPLATE18"/>
      <sheetName val="COMM&amp;FEES_TEMPLATE18"/>
      <sheetName val="LCY_BALSHEET_WKS18"/>
      <sheetName val="Staff_Debtors18"/>
      <sheetName val="COMM_FEES_TEMPLATE18"/>
      <sheetName val="AFRICA_OTH_temp17"/>
      <sheetName val="LINEBYLINE_temp17"/>
      <sheetName val="CAMEROON_temp17"/>
      <sheetName val="GHANA_temp17"/>
      <sheetName val="NIGERIA_temp17"/>
      <sheetName val="EAST_AFRICA_temp17"/>
      <sheetName val="REPORT_temp17"/>
      <sheetName val="SEYCHELLES_temp17"/>
      <sheetName val="Movement_Calc17"/>
      <sheetName val="BUS_EXP_20"/>
      <sheetName val="30TH_FINANCIAL20"/>
      <sheetName val="INCOME_STATEMENT20"/>
      <sheetName val="BALSHEET_TEMPLATE20"/>
      <sheetName val="COMM&amp;FEES_TEMPLATE20"/>
      <sheetName val="LCY_BALSHEET_WKS20"/>
      <sheetName val="Staff_Debtors20"/>
      <sheetName val="COMM_FEES_TEMPLATE20"/>
      <sheetName val="AFRICA_OTH_temp19"/>
      <sheetName val="LINEBYLINE_temp19"/>
      <sheetName val="CAMEROON_temp19"/>
      <sheetName val="GHANA_temp19"/>
      <sheetName val="NIGERIA_temp19"/>
      <sheetName val="EAST_AFRICA_temp19"/>
      <sheetName val="REPORT_temp19"/>
      <sheetName val="SEYCHELLES_temp19"/>
      <sheetName val="Movement_Calc19"/>
      <sheetName val="BUS_EXP_21"/>
      <sheetName val="30TH_FINANCIAL21"/>
      <sheetName val="INCOME_STATEMENT21"/>
      <sheetName val="BALSHEET_TEMPLATE21"/>
      <sheetName val="COMM&amp;FEES_TEMPLATE21"/>
      <sheetName val="LCY_BALSHEET_WKS21"/>
      <sheetName val="Staff_Debtors21"/>
      <sheetName val="COMM_FEES_TEMPLATE21"/>
      <sheetName val="AFRICA_OTH_temp20"/>
      <sheetName val="LINEBYLINE_temp20"/>
      <sheetName val="CAMEROON_temp20"/>
      <sheetName val="GHANA_temp20"/>
      <sheetName val="NIGERIA_temp20"/>
      <sheetName val="EAST_AFRICA_temp20"/>
      <sheetName val="REPORT_temp20"/>
      <sheetName val="SEYCHELLES_temp20"/>
      <sheetName val="Movement_Calc20"/>
      <sheetName val="BUS_EXP_23"/>
      <sheetName val="30TH_FINANCIAL23"/>
      <sheetName val="INCOME_STATEMENT23"/>
      <sheetName val="BALSHEET_TEMPLATE23"/>
      <sheetName val="COMM&amp;FEES_TEMPLATE23"/>
      <sheetName val="LCY_BALSHEET_WKS23"/>
      <sheetName val="Staff_Debtors23"/>
      <sheetName val="COMM_FEES_TEMPLATE23"/>
      <sheetName val="AFRICA_OTH_temp22"/>
      <sheetName val="LINEBYLINE_temp22"/>
      <sheetName val="CAMEROON_temp22"/>
      <sheetName val="GHANA_temp22"/>
      <sheetName val="NIGERIA_temp22"/>
      <sheetName val="EAST_AFRICA_temp22"/>
      <sheetName val="REPORT_temp22"/>
      <sheetName val="SEYCHELLES_temp22"/>
      <sheetName val="Movement_Calc22"/>
      <sheetName val="BUS_EXP_25"/>
      <sheetName val="30TH_FINANCIAL25"/>
      <sheetName val="INCOME_STATEMENT25"/>
      <sheetName val="BALSHEET_TEMPLATE25"/>
      <sheetName val="COMM&amp;FEES_TEMPLATE25"/>
      <sheetName val="LCY_BALSHEET_WKS25"/>
      <sheetName val="Staff_Debtors25"/>
      <sheetName val="COMM_FEES_TEMPLATE25"/>
      <sheetName val="AFRICA_OTH_temp24"/>
      <sheetName val="LINEBYLINE_temp24"/>
      <sheetName val="CAMEROON_temp24"/>
      <sheetName val="GHANA_temp24"/>
      <sheetName val="NIGERIA_temp24"/>
      <sheetName val="EAST_AFRICA_temp24"/>
      <sheetName val="REPORT_temp24"/>
      <sheetName val="SEYCHELLES_temp24"/>
      <sheetName val="Movement_Calc24"/>
      <sheetName val="BUS_EXP_24"/>
      <sheetName val="30TH_FINANCIAL24"/>
      <sheetName val="INCOME_STATEMENT24"/>
      <sheetName val="BALSHEET_TEMPLATE24"/>
      <sheetName val="COMM&amp;FEES_TEMPLATE24"/>
      <sheetName val="LCY_BALSHEET_WKS24"/>
      <sheetName val="Staff_Debtors24"/>
      <sheetName val="COMM_FEES_TEMPLATE24"/>
      <sheetName val="AFRICA_OTH_temp23"/>
      <sheetName val="LINEBYLINE_temp23"/>
      <sheetName val="CAMEROON_temp23"/>
      <sheetName val="GHANA_temp23"/>
      <sheetName val="NIGERIA_temp23"/>
      <sheetName val="EAST_AFRICA_temp23"/>
      <sheetName val="REPORT_temp23"/>
      <sheetName val="SEYCHELLES_temp23"/>
      <sheetName val="Movement_Calc23"/>
      <sheetName val="BUS_EXP_26"/>
      <sheetName val="30TH_FINANCIAL26"/>
      <sheetName val="INCOME_STATEMENT26"/>
      <sheetName val="BALSHEET_TEMPLATE26"/>
      <sheetName val="COMM&amp;FEES_TEMPLATE26"/>
      <sheetName val="LCY_BALSHEET_WKS26"/>
      <sheetName val="Staff_Debtors26"/>
      <sheetName val="COMM_FEES_TEMPLATE26"/>
      <sheetName val="AFRICA_OTH_temp25"/>
      <sheetName val="LINEBYLINE_temp25"/>
      <sheetName val="CAMEROON_temp25"/>
      <sheetName val="GHANA_temp25"/>
      <sheetName val="NIGERIA_temp25"/>
      <sheetName val="EAST_AFRICA_temp25"/>
      <sheetName val="REPORT_temp25"/>
      <sheetName val="SEYCHELLES_temp25"/>
      <sheetName val="Movement_Calc25"/>
      <sheetName val="BUS_EXP_27"/>
      <sheetName val="30TH_FINANCIAL27"/>
      <sheetName val="INCOME_STATEMENT27"/>
      <sheetName val="BALSHEET_TEMPLATE27"/>
      <sheetName val="COMM&amp;FEES_TEMPLATE27"/>
      <sheetName val="LCY_BALSHEET_WKS27"/>
      <sheetName val="Staff_Debtors27"/>
      <sheetName val="COMM_FEES_TEMPLATE27"/>
      <sheetName val="AFRICA_OTH_temp26"/>
      <sheetName val="LINEBYLINE_temp26"/>
      <sheetName val="CAMEROON_temp26"/>
      <sheetName val="GHANA_temp26"/>
      <sheetName val="NIGERIA_temp26"/>
      <sheetName val="EAST_AFRICA_temp26"/>
      <sheetName val="REPORT_temp26"/>
      <sheetName val="SEYCHELLES_temp26"/>
      <sheetName val="Movement_Calc26"/>
      <sheetName val="BUS_EXP_28"/>
      <sheetName val="30TH_FINANCIAL28"/>
      <sheetName val="INCOME_STATEMENT28"/>
      <sheetName val="BALSHEET_TEMPLATE28"/>
      <sheetName val="COMM&amp;FEES_TEMPLATE28"/>
      <sheetName val="LCY_BALSHEET_WKS28"/>
      <sheetName val="Staff_Debtors28"/>
      <sheetName val="COMM_FEES_TEMPLATE28"/>
      <sheetName val="AFRICA_OTH_temp27"/>
      <sheetName val="LINEBYLINE_temp27"/>
      <sheetName val="CAMEROON_temp27"/>
      <sheetName val="GHANA_temp27"/>
      <sheetName val="NIGERIA_temp27"/>
      <sheetName val="EAST_AFRICA_temp27"/>
      <sheetName val="REPORT_temp27"/>
      <sheetName val="SEYCHELLES_temp27"/>
      <sheetName val="Movement_Calc27"/>
      <sheetName val="BUS_EXP_29"/>
      <sheetName val="30TH_FINANCIAL29"/>
      <sheetName val="INCOME_STATEMENT29"/>
      <sheetName val="BALSHEET_TEMPLATE29"/>
      <sheetName val="COMM&amp;FEES_TEMPLATE29"/>
      <sheetName val="LCY_BALSHEET_WKS29"/>
      <sheetName val="Staff_Debtors29"/>
      <sheetName val="COMM_FEES_TEMPLATE29"/>
      <sheetName val="AFRICA_OTH_temp28"/>
      <sheetName val="LINEBYLINE_temp28"/>
      <sheetName val="CAMEROON_temp28"/>
      <sheetName val="GHANA_temp28"/>
      <sheetName val="NIGERIA_temp28"/>
      <sheetName val="EAST_AFRICA_temp28"/>
      <sheetName val="REPORT_temp28"/>
      <sheetName val="SEYCHELLES_temp28"/>
      <sheetName val="Movement_Calc28"/>
      <sheetName val="MD&amp;A 2015"/>
      <sheetName val="chart  "/>
      <sheetName val="Naicom-Summary-Life"/>
      <sheetName val="ANNUAL_CTC"/>
      <sheetName val="All Securities"/>
      <sheetName val="Assumptions"/>
      <sheetName val="Market Data Input"/>
      <sheetName val="ANNUAL_CTC1"/>
      <sheetName val="Summary_BS"/>
      <sheetName val="MD&amp;A_2015"/>
      <sheetName val="Lists"/>
      <sheetName val="BUS_EXP_30"/>
      <sheetName val="30TH_FINANCIAL30"/>
      <sheetName val="INCOME_STATEMENT30"/>
      <sheetName val="BALSHEET_TEMPLATE30"/>
      <sheetName val="COMM&amp;FEES_TEMPLATE30"/>
      <sheetName val="LCY_BALSHEET_WKS30"/>
      <sheetName val="Staff_Debtors30"/>
      <sheetName val="COMM_FEES_TEMPLATE30"/>
      <sheetName val="AFRICA_OTH_temp29"/>
      <sheetName val="LINEBYLINE_temp29"/>
      <sheetName val="CAMEROON_temp29"/>
      <sheetName val="GHANA_temp29"/>
      <sheetName val="NIGERIA_temp29"/>
      <sheetName val="EAST_AFRICA_temp29"/>
      <sheetName val="REPORT_temp29"/>
      <sheetName val="SEYCHELLES_temp29"/>
      <sheetName val="Movement_Calc29"/>
      <sheetName val="BUS_EXP_32"/>
      <sheetName val="30TH_FINANCIAL32"/>
      <sheetName val="INCOME_STATEMENT32"/>
      <sheetName val="BALSHEET_TEMPLATE32"/>
      <sheetName val="COMM&amp;FEES_TEMPLATE32"/>
      <sheetName val="LCY_BALSHEET_WKS32"/>
      <sheetName val="Staff_Debtors32"/>
      <sheetName val="COMM_FEES_TEMPLATE32"/>
      <sheetName val="AFRICA_OTH_temp31"/>
      <sheetName val="LINEBYLINE_temp31"/>
      <sheetName val="CAMEROON_temp31"/>
      <sheetName val="GHANA_temp31"/>
      <sheetName val="NIGERIA_temp31"/>
      <sheetName val="EAST_AFRICA_temp31"/>
      <sheetName val="REPORT_temp31"/>
      <sheetName val="SEYCHELLES_temp31"/>
      <sheetName val="Movement_Calc31"/>
      <sheetName val="BUS_EXP_31"/>
      <sheetName val="30TH_FINANCIAL31"/>
      <sheetName val="INCOME_STATEMENT31"/>
      <sheetName val="BALSHEET_TEMPLATE31"/>
      <sheetName val="COMM&amp;FEES_TEMPLATE31"/>
      <sheetName val="LCY_BALSHEET_WKS31"/>
      <sheetName val="Staff_Debtors31"/>
      <sheetName val="COMM_FEES_TEMPLATE31"/>
      <sheetName val="AFRICA_OTH_temp30"/>
      <sheetName val="LINEBYLINE_temp30"/>
      <sheetName val="CAMEROON_temp30"/>
      <sheetName val="GHANA_temp30"/>
      <sheetName val="NIGERIA_temp30"/>
      <sheetName val="EAST_AFRICA_temp30"/>
      <sheetName val="REPORT_temp30"/>
      <sheetName val="SEYCHELLES_temp30"/>
      <sheetName val="Movement_Calc30"/>
      <sheetName val="BUS_EXP_33"/>
      <sheetName val="30TH_FINANCIAL33"/>
      <sheetName val="INCOME_STATEMENT33"/>
      <sheetName val="BALSHEET_TEMPLATE33"/>
      <sheetName val="COMM&amp;FEES_TEMPLATE33"/>
      <sheetName val="LCY_BALSHEET_WKS33"/>
      <sheetName val="Staff_Debtors33"/>
      <sheetName val="COMM_FEES_TEMPLATE33"/>
      <sheetName val="AFRICA_OTH_temp32"/>
      <sheetName val="LINEBYLINE_temp32"/>
      <sheetName val="CAMEROON_temp32"/>
      <sheetName val="GHANA_temp32"/>
      <sheetName val="NIGERIA_temp32"/>
      <sheetName val="EAST_AFRICA_temp32"/>
      <sheetName val="REPORT_temp32"/>
      <sheetName val="SEYCHELLES_temp32"/>
      <sheetName val="Movement_Calc32"/>
      <sheetName val="BUS_EXP_34"/>
      <sheetName val="30TH_FINANCIAL34"/>
      <sheetName val="INCOME_STATEMENT34"/>
      <sheetName val="BALSHEET_TEMPLATE34"/>
      <sheetName val="COMM&amp;FEES_TEMPLATE34"/>
      <sheetName val="LCY_BALSHEET_WKS34"/>
      <sheetName val="Staff_Debtors34"/>
      <sheetName val="COMM_FEES_TEMPLATE34"/>
      <sheetName val="AFRICA_OTH_temp33"/>
      <sheetName val="LINEBYLINE_temp33"/>
      <sheetName val="CAMEROON_temp33"/>
      <sheetName val="GHANA_temp33"/>
      <sheetName val="NIGERIA_temp33"/>
      <sheetName val="EAST_AFRICA_temp33"/>
      <sheetName val="REPORT_temp33"/>
      <sheetName val="SEYCHELLES_temp33"/>
      <sheetName val="Movement_Calc33"/>
      <sheetName val="BUS_EXP_35"/>
      <sheetName val="30TH_FINANCIAL35"/>
      <sheetName val="INCOME_STATEMENT35"/>
      <sheetName val="BALSHEET_TEMPLATE35"/>
      <sheetName val="COMM&amp;FEES_TEMPLATE35"/>
      <sheetName val="LCY_BALSHEET_WKS35"/>
      <sheetName val="Staff_Debtors35"/>
      <sheetName val="COMM_FEES_TEMPLATE35"/>
      <sheetName val="AFRICA_OTH_temp34"/>
      <sheetName val="LINEBYLINE_temp34"/>
      <sheetName val="CAMEROON_temp34"/>
      <sheetName val="GHANA_temp34"/>
      <sheetName val="NIGERIA_temp34"/>
      <sheetName val="EAST_AFRICA_temp34"/>
      <sheetName val="REPORT_temp34"/>
      <sheetName val="SEYCHELLES_temp34"/>
      <sheetName val="Movement_Calc34"/>
      <sheetName val="BUS_EXP_36"/>
      <sheetName val="30TH_FINANCIAL36"/>
      <sheetName val="INCOME_STATEMENT36"/>
      <sheetName val="BALSHEET_TEMPLATE36"/>
      <sheetName val="COMM&amp;FEES_TEMPLATE36"/>
      <sheetName val="LCY_BALSHEET_WKS36"/>
      <sheetName val="Staff_Debtors36"/>
      <sheetName val="COMM_FEES_TEMPLATE36"/>
      <sheetName val="AFRICA_OTH_temp35"/>
      <sheetName val="LINEBYLINE_temp35"/>
      <sheetName val="CAMEROON_temp35"/>
      <sheetName val="GHANA_temp35"/>
      <sheetName val="NIGERIA_temp35"/>
      <sheetName val="EAST_AFRICA_temp35"/>
      <sheetName val="REPORT_temp35"/>
      <sheetName val="SEYCHELLES_temp35"/>
      <sheetName val="Movement_Calc35"/>
      <sheetName val="All_Securities"/>
      <sheetName val="Market_Data_Input"/>
      <sheetName val="Journal entries"/>
      <sheetName val="BUS_EXP_37"/>
      <sheetName val="30TH_FINANCIAL37"/>
      <sheetName val="INCOME_STATEMENT37"/>
      <sheetName val="BALSHEET_TEMPLATE37"/>
      <sheetName val="COMM&amp;FEES_TEMPLATE37"/>
      <sheetName val="LCY_BALSHEET_WKS37"/>
      <sheetName val="COMM_FEES_TEMPLATE37"/>
      <sheetName val="Staff_Debtors37"/>
      <sheetName val="AFRICA_OTH_temp36"/>
      <sheetName val="LINEBYLINE_temp36"/>
      <sheetName val="CAMEROON_temp36"/>
      <sheetName val="GHANA_temp36"/>
      <sheetName val="NIGERIA_temp36"/>
      <sheetName val="EAST_AFRICA_temp36"/>
      <sheetName val="REPORT_temp36"/>
      <sheetName val="SEYCHELLES_temp36"/>
      <sheetName val="Movement_Calc36"/>
      <sheetName val="ANNUAL_CTC2"/>
      <sheetName val="Summary_BS1"/>
      <sheetName val="MD&amp;A_20151"/>
      <sheetName val="GAS_GRP"/>
      <sheetName val="IS 2007"/>
      <sheetName val="BS 2007"/>
      <sheetName val="CF 2007"/>
      <sheetName val="FC start"/>
      <sheetName val="elimination"/>
      <sheetName val="adjustments"/>
      <sheetName val="Gx 2007"/>
      <sheetName val="Gx adj"/>
      <sheetName val="Gx tax"/>
      <sheetName val="Tx 2007"/>
      <sheetName val="Tx adj"/>
      <sheetName val="Tx tax"/>
      <sheetName val="Dx 2007"/>
      <sheetName val="Dx adj"/>
      <sheetName val="Dx tax"/>
      <sheetName val="Trex 2007"/>
      <sheetName val="Trex adj"/>
      <sheetName val="Trex tax"/>
      <sheetName val="Expx 2007"/>
      <sheetName val="Expx tax"/>
      <sheetName val="Expx adj"/>
      <sheetName val="Dsmx 2007"/>
      <sheetName val="Dsmx adj"/>
      <sheetName val="Dsmx tax"/>
      <sheetName val="Corpx 2007"/>
      <sheetName val="Corpx adj"/>
      <sheetName val="Corpx tax"/>
      <sheetName val="invx 2007"/>
      <sheetName val="dividends"/>
      <sheetName val="IS"/>
      <sheetName val="pres"/>
      <sheetName val="capex (2)"/>
      <sheetName val="2007 TB"/>
      <sheetName val="Revised ending 2006 TB"/>
      <sheetName val="Old TB- 2007"/>
      <sheetName val="dec04"/>
      <sheetName val="ju04"/>
      <sheetName val="mar04"/>
      <sheetName val="sept04"/>
      <sheetName val="Wef 17Jun05"/>
      <sheetName val="Reserves Breakdown"/>
      <sheetName val="Calculations"/>
      <sheetName val="Delay"/>
      <sheetName val="BUS_EXP_38"/>
      <sheetName val="30TH_FINANCIAL38"/>
      <sheetName val="INCOME_STATEMENT38"/>
      <sheetName val="BALSHEET_TEMPLATE38"/>
      <sheetName val="COMM&amp;FEES_TEMPLATE38"/>
      <sheetName val="LCY_BALSHEET_WKS38"/>
      <sheetName val="COMM_FEES_TEMPLATE38"/>
      <sheetName val="Staff_Debtors38"/>
      <sheetName val="AFRICA_OTH_temp37"/>
      <sheetName val="LINEBYLINE_temp37"/>
      <sheetName val="CAMEROON_temp37"/>
      <sheetName val="GHANA_temp37"/>
      <sheetName val="NIGERIA_temp37"/>
      <sheetName val="EAST_AFRICA_temp37"/>
      <sheetName val="REPORT_temp37"/>
      <sheetName val="SEYCHELLES_temp37"/>
      <sheetName val="Movement_Calc37"/>
      <sheetName val="ANNUAL_CTC3"/>
      <sheetName val="Summary_BS2"/>
      <sheetName val="MD&amp;A_20152"/>
      <sheetName val="All_Securities1"/>
      <sheetName val="Market_Data_Input1"/>
      <sheetName val="Journal_entries"/>
      <sheetName val="chart__"/>
      <sheetName val="BUS_EXP_39"/>
      <sheetName val="30TH_FINANCIAL39"/>
      <sheetName val="INCOME_STATEMENT39"/>
      <sheetName val="BALSHEET_TEMPLATE39"/>
      <sheetName val="COMM&amp;FEES_TEMPLATE39"/>
      <sheetName val="LCY_BALSHEET_WKS39"/>
      <sheetName val="COMM_FEES_TEMPLATE39"/>
      <sheetName val="Staff_Debtors39"/>
      <sheetName val="AFRICA_OTH_temp38"/>
      <sheetName val="LINEBYLINE_temp38"/>
      <sheetName val="CAMEROON_temp38"/>
      <sheetName val="GHANA_temp38"/>
      <sheetName val="NIGERIA_temp38"/>
      <sheetName val="EAST_AFRICA_temp38"/>
      <sheetName val="REPORT_temp38"/>
      <sheetName val="SEYCHELLES_temp38"/>
      <sheetName val="Movement_Calc38"/>
      <sheetName val="ANNUAL_CTC4"/>
      <sheetName val="Summary_BS3"/>
      <sheetName val="MD&amp;A_20153"/>
      <sheetName val="All_Securities2"/>
      <sheetName val="Market_Data_Input2"/>
      <sheetName val="Journal_entries1"/>
      <sheetName val="IS_2007"/>
      <sheetName val="BS_2007"/>
      <sheetName val="CF_2007"/>
      <sheetName val="FC_start"/>
      <sheetName val="Gx_2007"/>
      <sheetName val="Gx_adj"/>
      <sheetName val="Gx_tax"/>
      <sheetName val="Tx_2007"/>
      <sheetName val="Tx_adj"/>
      <sheetName val="Tx_tax"/>
      <sheetName val="Dx_2007"/>
      <sheetName val="Dx_adj"/>
      <sheetName val="Dx_tax"/>
      <sheetName val="Trex_2007"/>
      <sheetName val="Trex_adj"/>
      <sheetName val="Trex_tax"/>
      <sheetName val="Expx_2007"/>
      <sheetName val="Expx_tax"/>
      <sheetName val="Expx_adj"/>
      <sheetName val="Dsmx_2007"/>
      <sheetName val="Dsmx_adj"/>
      <sheetName val="Dsmx_tax"/>
      <sheetName val="Corpx_2007"/>
      <sheetName val="Corpx_adj"/>
      <sheetName val="Corpx_tax"/>
      <sheetName val="invx_2007"/>
      <sheetName val="capex_(2)"/>
      <sheetName val="2007_TB"/>
      <sheetName val="Revised_ending_2006_TB"/>
      <sheetName val="Old_TB-_2007"/>
      <sheetName val="Wef_17Jun05"/>
      <sheetName val="Reserves_Breakdown"/>
      <sheetName val="LINK"/>
      <sheetName val="chart__1"/>
      <sheetName val="chart__2"/>
      <sheetName val="Journal_entries2"/>
      <sheetName val="Journal entries - Group"/>
      <sheetName val="BUS_EXP_40"/>
      <sheetName val="30TH_FINANCIAL40"/>
      <sheetName val="INCOME_STATEMENT40"/>
      <sheetName val="BALSHEET_TEMPLATE40"/>
      <sheetName val="COMM&amp;FEES_TEMPLATE40"/>
      <sheetName val="LCY_BALSHEET_WKS40"/>
      <sheetName val="COMM_FEES_TEMPLATE40"/>
      <sheetName val="Staff_Debtors40"/>
      <sheetName val="AFRICA_OTH_temp39"/>
      <sheetName val="LINEBYLINE_temp39"/>
      <sheetName val="CAMEROON_temp39"/>
      <sheetName val="GHANA_temp39"/>
      <sheetName val="NIGERIA_temp39"/>
      <sheetName val="EAST_AFRICA_temp39"/>
      <sheetName val="REPORT_temp39"/>
      <sheetName val="SEYCHELLES_temp39"/>
      <sheetName val="Movement_Calc39"/>
      <sheetName val="chart__3"/>
      <sheetName val="Journal_entries3"/>
      <sheetName val="All_Securities3"/>
      <sheetName val="Market_Data_Input3"/>
      <sheetName val="BUS_EXP_41"/>
      <sheetName val="30TH_FINANCIAL41"/>
      <sheetName val="INCOME_STATEMENT41"/>
      <sheetName val="BALSHEET_TEMPLATE41"/>
      <sheetName val="COMM&amp;FEES_TEMPLATE41"/>
      <sheetName val="LCY_BALSHEET_WKS41"/>
      <sheetName val="COMM_FEES_TEMPLATE41"/>
      <sheetName val="Staff_Debtors41"/>
      <sheetName val="AFRICA_OTH_temp40"/>
      <sheetName val="LINEBYLINE_temp40"/>
      <sheetName val="CAMEROON_temp40"/>
      <sheetName val="GHANA_temp40"/>
      <sheetName val="NIGERIA_temp40"/>
      <sheetName val="EAST_AFRICA_temp40"/>
      <sheetName val="REPORT_temp40"/>
      <sheetName val="SEYCHELLES_temp40"/>
      <sheetName val="Movement_Calc40"/>
      <sheetName val="Summary_BS4"/>
      <sheetName val="ANNUAL_CTC5"/>
      <sheetName val="MD&amp;A_20154"/>
      <sheetName val="chart__4"/>
      <sheetName val="Journal_entries4"/>
      <sheetName val="All_Securities4"/>
      <sheetName val="Market_Data_Input4"/>
      <sheetName val="IS_20071"/>
      <sheetName val="BS_20071"/>
      <sheetName val="CF_20071"/>
      <sheetName val="FC_start1"/>
      <sheetName val="Gx_20071"/>
      <sheetName val="Gx_adj1"/>
      <sheetName val="Gx_tax1"/>
      <sheetName val="Tx_20071"/>
      <sheetName val="Tx_adj1"/>
      <sheetName val="Tx_tax1"/>
      <sheetName val="Dx_20071"/>
      <sheetName val="Dx_adj1"/>
      <sheetName val="Dx_tax1"/>
      <sheetName val="Trex_20071"/>
      <sheetName val="Trex_adj1"/>
      <sheetName val="Trex_tax1"/>
      <sheetName val="Expx_20071"/>
      <sheetName val="Expx_tax1"/>
      <sheetName val="Expx_adj1"/>
      <sheetName val="Dsmx_20071"/>
      <sheetName val="Dsmx_adj1"/>
      <sheetName val="Dsmx_tax1"/>
      <sheetName val="Corpx_20071"/>
      <sheetName val="Corpx_adj1"/>
      <sheetName val="Corpx_tax1"/>
      <sheetName val="invx_20071"/>
      <sheetName val="capex_(2)1"/>
      <sheetName val="2007_TB1"/>
      <sheetName val="Revised_ending_2006_TB1"/>
      <sheetName val="Old_TB-_20071"/>
      <sheetName val="Wef_17Jun051"/>
      <sheetName val="Reserves_Breakdown1"/>
      <sheetName val="BUS_EXP_42"/>
      <sheetName val="30TH_FINANCIAL42"/>
      <sheetName val="INCOME_STATEMENT42"/>
      <sheetName val="BALSHEET_TEMPLATE42"/>
      <sheetName val="COMM&amp;FEES_TEMPLATE42"/>
      <sheetName val="LCY_BALSHEET_WKS42"/>
      <sheetName val="COMM_FEES_TEMPLATE42"/>
      <sheetName val="Staff_Debtors42"/>
      <sheetName val="AFRICA_OTH_temp41"/>
      <sheetName val="LINEBYLINE_temp41"/>
      <sheetName val="CAMEROON_temp41"/>
      <sheetName val="GHANA_temp41"/>
      <sheetName val="NIGERIA_temp41"/>
      <sheetName val="EAST_AFRICA_temp41"/>
      <sheetName val="REPORT_temp41"/>
      <sheetName val="SEYCHELLES_temp41"/>
      <sheetName val="Movement_Calc41"/>
      <sheetName val="Summary_BS5"/>
      <sheetName val="ANNUAL_CTC6"/>
      <sheetName val="MD&amp;A_20155"/>
      <sheetName val="chart__5"/>
      <sheetName val="Journal_entries5"/>
      <sheetName val="All_Securities5"/>
      <sheetName val="Market_Data_Input5"/>
      <sheetName val="BUS_EXP_43"/>
      <sheetName val="30TH_FINANCIAL43"/>
      <sheetName val="INCOME_STATEMENT43"/>
      <sheetName val="BALSHEET_TEMPLATE43"/>
      <sheetName val="COMM&amp;FEES_TEMPLATE43"/>
      <sheetName val="LCY_BALSHEET_WKS43"/>
      <sheetName val="COMM_FEES_TEMPLATE43"/>
      <sheetName val="Staff_Debtors43"/>
      <sheetName val="AFRICA_OTH_temp42"/>
      <sheetName val="LINEBYLINE_temp42"/>
      <sheetName val="CAMEROON_temp42"/>
      <sheetName val="GHANA_temp42"/>
      <sheetName val="NIGERIA_temp42"/>
      <sheetName val="EAST_AFRICA_temp42"/>
      <sheetName val="REPORT_temp42"/>
      <sheetName val="SEYCHELLES_temp42"/>
      <sheetName val="Movement_Calc42"/>
      <sheetName val="Summary_BS6"/>
      <sheetName val="ANNUAL_CTC7"/>
      <sheetName val="MD&amp;A_20156"/>
      <sheetName val="chart__6"/>
      <sheetName val="Journal_entries6"/>
      <sheetName val="All_Securities6"/>
      <sheetName val="Market_Data_Input6"/>
      <sheetName val="BUS_EXP_44"/>
      <sheetName val="30TH_FINANCIAL44"/>
      <sheetName val="INCOME_STATEMENT44"/>
      <sheetName val="BALSHEET_TEMPLATE44"/>
      <sheetName val="COMM&amp;FEES_TEMPLATE44"/>
      <sheetName val="LCY_BALSHEET_WKS44"/>
      <sheetName val="COMM_FEES_TEMPLATE44"/>
      <sheetName val="Staff_Debtors44"/>
      <sheetName val="AFRICA_OTH_temp43"/>
      <sheetName val="LINEBYLINE_temp43"/>
      <sheetName val="CAMEROON_temp43"/>
      <sheetName val="GHANA_temp43"/>
      <sheetName val="NIGERIA_temp43"/>
      <sheetName val="EAST_AFRICA_temp43"/>
      <sheetName val="REPORT_temp43"/>
      <sheetName val="SEYCHELLES_temp43"/>
      <sheetName val="Movement_Calc43"/>
      <sheetName val="Summary_BS7"/>
      <sheetName val="ANNUAL_CTC8"/>
      <sheetName val="MD&amp;A_20157"/>
      <sheetName val="chart__7"/>
      <sheetName val="Journal_entries7"/>
      <sheetName val="All_Securities7"/>
      <sheetName val="Market_Data_Input7"/>
      <sheetName val="IS_20072"/>
      <sheetName val="BS_20072"/>
      <sheetName val="CF_20072"/>
      <sheetName val="FC_start2"/>
      <sheetName val="Gx_20072"/>
      <sheetName val="Gx_adj2"/>
      <sheetName val="Gx_tax2"/>
      <sheetName val="Tx_20072"/>
      <sheetName val="Tx_adj2"/>
      <sheetName val="Tx_tax2"/>
      <sheetName val="Dx_20072"/>
      <sheetName val="Dx_adj2"/>
      <sheetName val="Dx_tax2"/>
      <sheetName val="Trex_20072"/>
      <sheetName val="Trex_adj2"/>
      <sheetName val="Trex_tax2"/>
      <sheetName val="Expx_20072"/>
      <sheetName val="Expx_tax2"/>
      <sheetName val="Expx_adj2"/>
      <sheetName val="Dsmx_20072"/>
      <sheetName val="Dsmx_adj2"/>
      <sheetName val="Dsmx_tax2"/>
      <sheetName val="Corpx_20072"/>
      <sheetName val="Corpx_adj2"/>
      <sheetName val="Corpx_tax2"/>
      <sheetName val="invx_20072"/>
      <sheetName val="capex_(2)2"/>
      <sheetName val="2007_TB2"/>
      <sheetName val="Revised_ending_2006_TB2"/>
      <sheetName val="Old_TB-_20072"/>
      <sheetName val="Wef_17Jun052"/>
      <sheetName val="Reserves_Breakdown2"/>
      <sheetName val="Journal entries(Coy)"/>
      <sheetName val="Statistics {pbc}"/>
      <sheetName val="BS100 NEW"/>
      <sheetName val="MAT"/>
      <sheetName val="Tenant Data"/>
      <sheetName val="Lookup Tables"/>
      <sheetName val="Table 3 - Valuation"/>
      <sheetName val="Summary 1"/>
      <sheetName val="Agency Prod Budg Analysis"/>
      <sheetName val="TB"/>
      <sheetName val="TB 2013"/>
      <sheetName val="Extended Trial Balance 2013"/>
      <sheetName val="Cover page"/>
      <sheetName val="Content"/>
      <sheetName val="Corp info and Opinion"/>
      <sheetName val="SFP and P or L"/>
      <sheetName val="SOCE"/>
      <sheetName val="SCF"/>
      <sheetName val="Acc pol"/>
      <sheetName val="Acc policy"/>
      <sheetName val="Sheet4"/>
      <sheetName val="Notes to account"/>
      <sheetName val="Risk mgt"/>
      <sheetName val="Other National Disclosures"/>
      <sheetName val="VAS &amp; Fin Summ"/>
      <sheetName val="Fin summ"/>
      <sheetName val="ADJ - 2014"/>
      <sheetName val="ADJ - 2013"/>
      <sheetName val="2015 SAP Movement"/>
      <sheetName val="Sheet9"/>
      <sheetName val="2017 SAP Movement"/>
      <sheetName val="ADJ - 2015"/>
      <sheetName val="Lease Payment Schedule"/>
      <sheetName val="TB_2017"/>
      <sheetName val="ADJ - 2016"/>
      <sheetName val="ADJ - 2017"/>
      <sheetName val="Prepayment 2017"/>
      <sheetName val="2017 Revenue comp"/>
      <sheetName val="Cash and Cash Equivalent"/>
      <sheetName val="Transactions Reclassification"/>
      <sheetName val="Write-Off"/>
      <sheetName val="Prepayment Movement"/>
      <sheetName val="Intercompany Payables"/>
      <sheetName val="Realised Exchange Loss Calc"/>
      <sheetName val="Sheet6"/>
      <sheetName val="Sheet11"/>
      <sheetName val="Sheet6 (2)"/>
      <sheetName val="2016 SAP Movement"/>
      <sheetName val="Revenue Analysis"/>
      <sheetName val="418115001 Grp PrdEndInc._Target"/>
      <sheetName val="Revenue &amp; Bonus Analysis"/>
      <sheetName val="Sheet2"/>
      <sheetName val="TREND P+L"/>
      <sheetName val="POM-AFE"/>
      <sheetName val="ARE"/>
      <sheetName val="Recon. Matrix"/>
      <sheetName val="T17a"/>
      <sheetName val="BUS_EXP_45"/>
      <sheetName val="30TH_FINANCIAL45"/>
      <sheetName val="INCOME_STATEMENT45"/>
      <sheetName val="BALSHEET_TEMPLATE45"/>
      <sheetName val="COMM&amp;FEES_TEMPLATE45"/>
      <sheetName val="LCY_BALSHEET_WKS45"/>
      <sheetName val="COMM_FEES_TEMPLATE45"/>
      <sheetName val="Staff_Debtors45"/>
      <sheetName val="AFRICA_OTH_temp44"/>
      <sheetName val="LINEBYLINE_temp44"/>
      <sheetName val="CAMEROON_temp44"/>
      <sheetName val="GHANA_temp44"/>
      <sheetName val="NIGERIA_temp44"/>
      <sheetName val="EAST_AFRICA_temp44"/>
      <sheetName val="REPORT_temp44"/>
      <sheetName val="SEYCHELLES_temp44"/>
      <sheetName val="Movement_Calc44"/>
      <sheetName val="ANNUAL_CTC9"/>
      <sheetName val="Summary_BS8"/>
      <sheetName val="MD&amp;A_20158"/>
      <sheetName val="All_Securities8"/>
      <sheetName val="Market_Data_Input8"/>
      <sheetName val="Journal_entries8"/>
      <sheetName val="chart__8"/>
      <sheetName val="IS_20073"/>
      <sheetName val="BS_20073"/>
      <sheetName val="CF_20073"/>
      <sheetName val="FC_start3"/>
      <sheetName val="Gx_20073"/>
      <sheetName val="Gx_adj3"/>
      <sheetName val="Gx_tax3"/>
      <sheetName val="Tx_20073"/>
      <sheetName val="Tx_adj3"/>
      <sheetName val="Tx_tax3"/>
      <sheetName val="Dx_20073"/>
      <sheetName val="Dx_adj3"/>
      <sheetName val="Dx_tax3"/>
      <sheetName val="Trex_20073"/>
      <sheetName val="Trex_adj3"/>
      <sheetName val="Trex_tax3"/>
      <sheetName val="Expx_20073"/>
      <sheetName val="Expx_tax3"/>
      <sheetName val="Expx_adj3"/>
      <sheetName val="Dsmx_20073"/>
      <sheetName val="Dsmx_adj3"/>
      <sheetName val="Dsmx_tax3"/>
      <sheetName val="Corpx_20073"/>
      <sheetName val="Corpx_adj3"/>
      <sheetName val="Corpx_tax3"/>
      <sheetName val="invx_20073"/>
      <sheetName val="capex_(2)3"/>
      <sheetName val="2007_TB3"/>
      <sheetName val="Revised_ending_2006_TB3"/>
      <sheetName val="Old_TB-_20073"/>
      <sheetName val="Wef_17Jun053"/>
      <sheetName val="Reserves_Breakdown3"/>
      <sheetName val="Journal_entries_-_Group"/>
      <sheetName val="Journal_entries(Coy)"/>
      <sheetName val="Statistics_{pbc}"/>
      <sheetName val="BS100_NEW"/>
      <sheetName val="Tenant_Data"/>
      <sheetName val="Lookup_Tables"/>
      <sheetName val="Table_3_-_Valuation"/>
      <sheetName val="Summary_1"/>
      <sheetName val="Recon__Matrix"/>
      <sheetName val="BUS_EXP_46"/>
      <sheetName val="30TH_FINANCIAL46"/>
      <sheetName val="INCOME_STATEMENT46"/>
      <sheetName val="BALSHEET_TEMPLATE46"/>
      <sheetName val="COMM&amp;FEES_TEMPLATE46"/>
      <sheetName val="LCY_BALSHEET_WKS46"/>
      <sheetName val="COMM_FEES_TEMPLATE46"/>
      <sheetName val="Staff_Debtors46"/>
      <sheetName val="AFRICA_OTH_temp45"/>
      <sheetName val="LINEBYLINE_temp45"/>
      <sheetName val="CAMEROON_temp45"/>
      <sheetName val="GHANA_temp45"/>
      <sheetName val="NIGERIA_temp45"/>
      <sheetName val="EAST_AFRICA_temp45"/>
      <sheetName val="REPORT_temp45"/>
      <sheetName val="SEYCHELLES_temp45"/>
      <sheetName val="Movement_Calc45"/>
      <sheetName val="ANNUAL_CTC10"/>
      <sheetName val="Summary_BS9"/>
      <sheetName val="All_Securities9"/>
      <sheetName val="Market_Data_Input9"/>
      <sheetName val="MD&amp;A_20159"/>
      <sheetName val="chart__9"/>
      <sheetName val="Wef_17Jun054"/>
      <sheetName val="Journal_entries9"/>
      <sheetName val="Reserves_Breakdown4"/>
      <sheetName val="IS_20074"/>
      <sheetName val="BS_20074"/>
      <sheetName val="CF_20074"/>
      <sheetName val="FC_start4"/>
      <sheetName val="Gx_20074"/>
      <sheetName val="Gx_adj4"/>
      <sheetName val="Gx_tax4"/>
      <sheetName val="Tx_20074"/>
      <sheetName val="Tx_adj4"/>
      <sheetName val="Tx_tax4"/>
      <sheetName val="Dx_20074"/>
      <sheetName val="Dx_adj4"/>
      <sheetName val="Dx_tax4"/>
      <sheetName val="Trex_20074"/>
      <sheetName val="Trex_adj4"/>
      <sheetName val="Trex_tax4"/>
      <sheetName val="Expx_20074"/>
      <sheetName val="Expx_tax4"/>
      <sheetName val="Expx_adj4"/>
      <sheetName val="Dsmx_20074"/>
      <sheetName val="Dsmx_adj4"/>
      <sheetName val="Dsmx_tax4"/>
      <sheetName val="Corpx_20074"/>
      <sheetName val="Corpx_adj4"/>
      <sheetName val="Corpx_tax4"/>
      <sheetName val="invx_20074"/>
      <sheetName val="capex_(2)4"/>
      <sheetName val="2007_TB4"/>
      <sheetName val="Revised_ending_2006_TB4"/>
      <sheetName val="Old_TB-_20074"/>
      <sheetName val="Journal_entries_-_Group1"/>
      <sheetName val="Journal_entries(Coy)1"/>
      <sheetName val="Statistics_{pbc}1"/>
      <sheetName val="BS100_NEW1"/>
      <sheetName val="Tenant_Data1"/>
      <sheetName val="Lookup_Tables1"/>
      <sheetName val="Table_3_-_Valuation1"/>
      <sheetName val="Summary_11"/>
      <sheetName val="Recon__Matrix1"/>
      <sheetName val="NEWFILE"/>
      <sheetName val="oldfile"/>
      <sheetName val="11300f52"/>
      <sheetName val="Workings"/>
      <sheetName val="DETAILED BALSHT VOL PROJ"/>
      <sheetName val="Sheet1"/>
      <sheetName val="Account"/>
      <sheetName val="BUS_EXP_47"/>
      <sheetName val="30TH_FINANCIAL47"/>
      <sheetName val="INCOME_STATEMENT47"/>
      <sheetName val="BALSHEET_TEMPLATE47"/>
      <sheetName val="COMM&amp;FEES_TEMPLATE47"/>
      <sheetName val="LCY_BALSHEET_WKS47"/>
      <sheetName val="COMM_FEES_TEMPLATE47"/>
      <sheetName val="Staff_Debtors47"/>
      <sheetName val="AFRICA_OTH_temp46"/>
      <sheetName val="LINEBYLINE_temp46"/>
      <sheetName val="CAMEROON_temp46"/>
      <sheetName val="GHANA_temp46"/>
      <sheetName val="NIGERIA_temp46"/>
      <sheetName val="EAST_AFRICA_temp46"/>
      <sheetName val="REPORT_temp46"/>
      <sheetName val="SEYCHELLES_temp46"/>
      <sheetName val="Movement_Calc46"/>
      <sheetName val="ANNUAL_CTC11"/>
      <sheetName val="Summary_BS10"/>
      <sheetName val="MD&amp;A_201510"/>
      <sheetName val="All_Securities10"/>
      <sheetName val="Market_Data_Input10"/>
      <sheetName val="chart__10"/>
      <sheetName val="Journal_entries10"/>
      <sheetName val="IS_20075"/>
      <sheetName val="BS_20075"/>
      <sheetName val="CF_20075"/>
      <sheetName val="FC_start5"/>
      <sheetName val="Gx_20075"/>
      <sheetName val="Gx_adj5"/>
      <sheetName val="Gx_tax5"/>
      <sheetName val="Tx_20075"/>
      <sheetName val="Tx_adj5"/>
      <sheetName val="Tx_tax5"/>
      <sheetName val="Dx_20075"/>
      <sheetName val="Dx_adj5"/>
      <sheetName val="Dx_tax5"/>
      <sheetName val="Trex_20075"/>
      <sheetName val="Trex_adj5"/>
      <sheetName val="Trex_tax5"/>
      <sheetName val="Expx_20075"/>
      <sheetName val="Expx_tax5"/>
      <sheetName val="Expx_adj5"/>
      <sheetName val="Dsmx_20075"/>
      <sheetName val="Dsmx_adj5"/>
      <sheetName val="Dsmx_tax5"/>
      <sheetName val="Corpx_20075"/>
      <sheetName val="Corpx_adj5"/>
      <sheetName val="Corpx_tax5"/>
      <sheetName val="invx_20075"/>
      <sheetName val="capex_(2)5"/>
      <sheetName val="2007_TB5"/>
      <sheetName val="Revised_ending_2006_TB5"/>
      <sheetName val="Old_TB-_20075"/>
      <sheetName val="Wef_17Jun055"/>
      <sheetName val="Reserves_Breakdown5"/>
      <sheetName val="Journal_entries_-_Group2"/>
      <sheetName val="Journal_entries(Coy)2"/>
      <sheetName val="BUS_EXP_48"/>
      <sheetName val="30TH_FINANCIAL48"/>
      <sheetName val="INCOME_STATEMENT48"/>
      <sheetName val="BALSHEET_TEMPLATE48"/>
      <sheetName val="COMM&amp;FEES_TEMPLATE48"/>
      <sheetName val="LCY_BALSHEET_WKS48"/>
      <sheetName val="COMM_FEES_TEMPLATE48"/>
      <sheetName val="Staff_Debtors48"/>
      <sheetName val="AFRICA_OTH_temp47"/>
      <sheetName val="LINEBYLINE_temp47"/>
      <sheetName val="CAMEROON_temp47"/>
      <sheetName val="GHANA_temp47"/>
      <sheetName val="NIGERIA_temp47"/>
      <sheetName val="EAST_AFRICA_temp47"/>
      <sheetName val="REPORT_temp47"/>
      <sheetName val="SEYCHELLES_temp47"/>
      <sheetName val="Movement_Calc47"/>
      <sheetName val="MD&amp;A_201511"/>
      <sheetName val="ANNUAL_CTC12"/>
      <sheetName val="Summary_BS11"/>
      <sheetName val="All_Securities11"/>
      <sheetName val="Market_Data_Input11"/>
      <sheetName val="chart__11"/>
      <sheetName val="Wef_17Jun056"/>
      <sheetName val="Reserves_Breakdown6"/>
      <sheetName val="Journal_entries11"/>
      <sheetName val="IS_20076"/>
      <sheetName val="BS_20076"/>
      <sheetName val="CF_20076"/>
      <sheetName val="FC_start6"/>
      <sheetName val="Gx_20076"/>
      <sheetName val="Gx_adj6"/>
      <sheetName val="Gx_tax6"/>
      <sheetName val="Tx_20076"/>
      <sheetName val="Tx_adj6"/>
      <sheetName val="Tx_tax6"/>
      <sheetName val="Dx_20076"/>
      <sheetName val="Dx_adj6"/>
      <sheetName val="Dx_tax6"/>
      <sheetName val="Trex_20076"/>
      <sheetName val="Trex_adj6"/>
      <sheetName val="Trex_tax6"/>
      <sheetName val="Expx_20076"/>
      <sheetName val="Expx_tax6"/>
      <sheetName val="Expx_adj6"/>
      <sheetName val="Dsmx_20076"/>
      <sheetName val="Dsmx_adj6"/>
      <sheetName val="Dsmx_tax6"/>
      <sheetName val="Corpx_20076"/>
      <sheetName val="Corpx_adj6"/>
      <sheetName val="Corpx_tax6"/>
      <sheetName val="invx_20076"/>
      <sheetName val="capex_(2)6"/>
      <sheetName val="2007_TB6"/>
      <sheetName val="Revised_ending_2006_TB6"/>
      <sheetName val="Old_TB-_20076"/>
      <sheetName val="Journal_entries_-_Group3"/>
      <sheetName val="Journal_entries(Coy)3"/>
      <sheetName val="TB_2013"/>
      <sheetName val="Extended_Trial_Balance_2013"/>
      <sheetName val="Cover_page"/>
      <sheetName val="Corp_info_and_Opinion"/>
      <sheetName val="SFP_and_P_or_L"/>
      <sheetName val="Acc_pol"/>
      <sheetName val="Acc_policy"/>
      <sheetName val="Notes_to_account"/>
      <sheetName val="Risk_mgt"/>
      <sheetName val="Other_National_Disclosures"/>
      <sheetName val="VAS_&amp;_Fin_Summ"/>
      <sheetName val="Fin_summ"/>
      <sheetName val="ADJ_-_2014"/>
      <sheetName val="ADJ_-_2013"/>
      <sheetName val="2015_SAP_Movement"/>
      <sheetName val="2017_SAP_Movement"/>
      <sheetName val="ADJ_-_2015"/>
      <sheetName val="Lease_Payment_Schedule"/>
      <sheetName val="ADJ_-_2016"/>
      <sheetName val="ADJ_-_2017"/>
      <sheetName val="Prepayment_2017"/>
      <sheetName val="2017_Revenue_comp"/>
      <sheetName val="Cash_and_Cash_Equivalent"/>
      <sheetName val="Transactions_Reclassification"/>
      <sheetName val="Prepayment_Movement"/>
      <sheetName val="Intercompany_Payables"/>
      <sheetName val="Realised_Exchange_Loss_Calc"/>
      <sheetName val="Sheet6_(2)"/>
      <sheetName val="2016_SAP_Movement"/>
      <sheetName val="Revenue_Analysis"/>
      <sheetName val="418115001_Grp_PrdEndInc__Target"/>
      <sheetName val="Revenue_&amp;_Bonus_Analysis"/>
      <sheetName val="TREND_P+L1"/>
      <sheetName val="Statistics_{pbc}2"/>
      <sheetName val="BS100_NEW2"/>
      <sheetName val="Tenant_Data2"/>
      <sheetName val="Lookup_Tables2"/>
      <sheetName val="Table_3_-_Valuation2"/>
      <sheetName val="Summary_12"/>
      <sheetName val="Leadway jv"/>
      <sheetName val="Static Data"/>
      <sheetName val="CODT0199"/>
      <sheetName val="Preliminary Tariff Results"/>
      <sheetName val="Scenario Definitions"/>
      <sheetName val="refdata"/>
      <sheetName val="ccdata"/>
      <sheetName val="masterdata"/>
      <sheetName val="ag+sf"/>
      <sheetName val="Princ Arr"/>
      <sheetName val="TermL"/>
      <sheetName val="Int Arr"/>
      <sheetName val="Local"/>
      <sheetName val="NPV calculator"/>
      <sheetName val="Inputs"/>
      <sheetName val="BUS_EXP_49"/>
      <sheetName val="30TH_FINANCIAL49"/>
      <sheetName val="INCOME_STATEMENT49"/>
      <sheetName val="BALSHEET_TEMPLATE49"/>
      <sheetName val="COMM&amp;FEES_TEMPLATE49"/>
      <sheetName val="LCY_BALSHEET_WKS49"/>
      <sheetName val="COMM_FEES_TEMPLATE49"/>
      <sheetName val="Staff_Debtors49"/>
      <sheetName val="AFRICA_OTH_temp48"/>
      <sheetName val="LINEBYLINE_temp48"/>
      <sheetName val="CAMEROON_temp48"/>
      <sheetName val="GHANA_temp48"/>
      <sheetName val="NIGERIA_temp48"/>
      <sheetName val="EAST_AFRICA_temp48"/>
      <sheetName val="REPORT_temp48"/>
      <sheetName val="SEYCHELLES_temp48"/>
      <sheetName val="Movement_Calc48"/>
      <sheetName val="ANNUAL_CTC13"/>
      <sheetName val="Summary_BS12"/>
      <sheetName val="All_Securities12"/>
      <sheetName val="Market_Data_Input12"/>
      <sheetName val="MD&amp;A_201512"/>
      <sheetName val="chart__12"/>
      <sheetName val="Journal_entries12"/>
      <sheetName val="IS_20077"/>
      <sheetName val="BS_20077"/>
      <sheetName val="CF_20077"/>
      <sheetName val="FC_start7"/>
      <sheetName val="Gx_20077"/>
      <sheetName val="Gx_adj7"/>
      <sheetName val="Gx_tax7"/>
      <sheetName val="Tx_20077"/>
      <sheetName val="Tx_adj7"/>
      <sheetName val="Tx_tax7"/>
      <sheetName val="Dx_20077"/>
      <sheetName val="Dx_adj7"/>
      <sheetName val="Dx_tax7"/>
      <sheetName val="Trex_20077"/>
      <sheetName val="Trex_adj7"/>
      <sheetName val="Trex_tax7"/>
      <sheetName val="Expx_20077"/>
      <sheetName val="Expx_tax7"/>
      <sheetName val="Expx_adj7"/>
      <sheetName val="Dsmx_20077"/>
      <sheetName val="Dsmx_adj7"/>
      <sheetName val="Dsmx_tax7"/>
      <sheetName val="Corpx_20077"/>
      <sheetName val="Corpx_adj7"/>
      <sheetName val="Corpx_tax7"/>
      <sheetName val="invx_20077"/>
      <sheetName val="capex_(2)7"/>
      <sheetName val="2007_TB7"/>
      <sheetName val="Revised_ending_2006_TB7"/>
      <sheetName val="Old_TB-_20077"/>
      <sheetName val="Wef_17Jun057"/>
      <sheetName val="Reserves_Breakdown7"/>
      <sheetName val="Journal_entries_-_Group4"/>
      <sheetName val="BUS_EXP_50"/>
      <sheetName val="30TH_FINANCIAL50"/>
      <sheetName val="INCOME_STATEMENT50"/>
      <sheetName val="BALSHEET_TEMPLATE50"/>
      <sheetName val="COMM&amp;FEES_TEMPLATE50"/>
      <sheetName val="LCY_BALSHEET_WKS50"/>
      <sheetName val="COMM_FEES_TEMPLATE50"/>
      <sheetName val="Staff_Debtors50"/>
      <sheetName val="AFRICA_OTH_temp49"/>
      <sheetName val="LINEBYLINE_temp49"/>
      <sheetName val="CAMEROON_temp49"/>
      <sheetName val="GHANA_temp49"/>
      <sheetName val="NIGERIA_temp49"/>
      <sheetName val="EAST_AFRICA_temp49"/>
      <sheetName val="REPORT_temp49"/>
      <sheetName val="SEYCHELLES_temp49"/>
      <sheetName val="Movement_Calc49"/>
      <sheetName val="ANNUAL_CTC14"/>
      <sheetName val="Summary_BS13"/>
      <sheetName val="All_Securities13"/>
      <sheetName val="Market_Data_Input13"/>
      <sheetName val="MD&amp;A_201513"/>
      <sheetName val="chart__13"/>
      <sheetName val="Journal_entries13"/>
      <sheetName val="IS_20078"/>
      <sheetName val="BS_20078"/>
      <sheetName val="CF_20078"/>
      <sheetName val="FC_start8"/>
      <sheetName val="Gx_20078"/>
      <sheetName val="Gx_adj8"/>
      <sheetName val="Gx_tax8"/>
      <sheetName val="Tx_20078"/>
      <sheetName val="Tx_adj8"/>
      <sheetName val="Tx_tax8"/>
      <sheetName val="Dx_20078"/>
      <sheetName val="Dx_adj8"/>
      <sheetName val="Dx_tax8"/>
      <sheetName val="Trex_20078"/>
      <sheetName val="Trex_adj8"/>
      <sheetName val="Trex_tax8"/>
      <sheetName val="Expx_20078"/>
      <sheetName val="Expx_tax8"/>
      <sheetName val="Expx_adj8"/>
      <sheetName val="Dsmx_20078"/>
      <sheetName val="Dsmx_adj8"/>
      <sheetName val="Dsmx_tax8"/>
      <sheetName val="Corpx_20078"/>
      <sheetName val="Corpx_adj8"/>
      <sheetName val="Corpx_tax8"/>
      <sheetName val="invx_20078"/>
      <sheetName val="capex_(2)8"/>
      <sheetName val="2007_TB8"/>
      <sheetName val="Revised_ending_2006_TB8"/>
      <sheetName val="Old_TB-_20078"/>
      <sheetName val="Wef_17Jun058"/>
      <sheetName val="Reserves_Breakdown8"/>
      <sheetName val="Journal_entries_-_Group5"/>
      <sheetName val="BUS_EXP_51"/>
      <sheetName val="30TH_FINANCIAL51"/>
      <sheetName val="INCOME_STATEMENT51"/>
      <sheetName val="BALSHEET_TEMPLATE51"/>
      <sheetName val="COMM&amp;FEES_TEMPLATE51"/>
      <sheetName val="LCY_BALSHEET_WKS51"/>
      <sheetName val="COMM_FEES_TEMPLATE51"/>
      <sheetName val="Staff_Debtors51"/>
      <sheetName val="AFRICA_OTH_temp50"/>
      <sheetName val="LINEBYLINE_temp50"/>
      <sheetName val="CAMEROON_temp50"/>
      <sheetName val="GHANA_temp50"/>
      <sheetName val="NIGERIA_temp50"/>
      <sheetName val="EAST_AFRICA_temp50"/>
      <sheetName val="REPORT_temp50"/>
      <sheetName val="SEYCHELLES_temp50"/>
      <sheetName val="Movement_Calc50"/>
      <sheetName val="ANNUAL_CTC15"/>
      <sheetName val="Summary_BS14"/>
      <sheetName val="All_Securities14"/>
      <sheetName val="Market_Data_Input14"/>
      <sheetName val="MD&amp;A_201514"/>
      <sheetName val="chart__14"/>
      <sheetName val="Journal_entries14"/>
      <sheetName val="IS_20079"/>
      <sheetName val="BS_20079"/>
      <sheetName val="CF_20079"/>
      <sheetName val="FC_start9"/>
      <sheetName val="Gx_20079"/>
      <sheetName val="Gx_adj9"/>
      <sheetName val="Gx_tax9"/>
      <sheetName val="Tx_20079"/>
      <sheetName val="Tx_adj9"/>
      <sheetName val="Tx_tax9"/>
      <sheetName val="Dx_20079"/>
      <sheetName val="Dx_adj9"/>
      <sheetName val="Dx_tax9"/>
      <sheetName val="Trex_20079"/>
      <sheetName val="Trex_adj9"/>
      <sheetName val="Trex_tax9"/>
      <sheetName val="Expx_20079"/>
      <sheetName val="Expx_tax9"/>
      <sheetName val="Expx_adj9"/>
      <sheetName val="Dsmx_20079"/>
      <sheetName val="Dsmx_adj9"/>
      <sheetName val="Dsmx_tax9"/>
      <sheetName val="Corpx_20079"/>
      <sheetName val="Corpx_adj9"/>
      <sheetName val="Corpx_tax9"/>
      <sheetName val="invx_20079"/>
      <sheetName val="capex_(2)9"/>
      <sheetName val="2007_TB9"/>
      <sheetName val="Revised_ending_2006_TB9"/>
      <sheetName val="Old_TB-_20079"/>
      <sheetName val="Wef_17Jun059"/>
      <sheetName val="Reserves_Breakdown9"/>
      <sheetName val="Journal_entries_-_Group6"/>
      <sheetName val="BUS_EXP_52"/>
      <sheetName val="30TH_FINANCIAL52"/>
      <sheetName val="INCOME_STATEMENT52"/>
      <sheetName val="BALSHEET_TEMPLATE52"/>
      <sheetName val="COMM&amp;FEES_TEMPLATE52"/>
      <sheetName val="LCY_BALSHEET_WKS52"/>
      <sheetName val="COMM_FEES_TEMPLATE52"/>
      <sheetName val="Staff_Debtors52"/>
      <sheetName val="AFRICA_OTH_temp51"/>
      <sheetName val="LINEBYLINE_temp51"/>
      <sheetName val="CAMEROON_temp51"/>
      <sheetName val="GHANA_temp51"/>
      <sheetName val="NIGERIA_temp51"/>
      <sheetName val="EAST_AFRICA_temp51"/>
      <sheetName val="REPORT_temp51"/>
      <sheetName val="SEYCHELLES_temp51"/>
      <sheetName val="Movement_Calc51"/>
      <sheetName val="ANNUAL_CTC16"/>
      <sheetName val="Summary_BS15"/>
      <sheetName val="All_Securities15"/>
      <sheetName val="Market_Data_Input15"/>
      <sheetName val="MD&amp;A_201515"/>
      <sheetName val="chart__15"/>
      <sheetName val="Journal_entries15"/>
      <sheetName val="IS_200710"/>
      <sheetName val="BS_200710"/>
      <sheetName val="CF_200710"/>
      <sheetName val="FC_start10"/>
      <sheetName val="Gx_200710"/>
      <sheetName val="Gx_adj10"/>
      <sheetName val="Gx_tax10"/>
      <sheetName val="Tx_200710"/>
      <sheetName val="Tx_adj10"/>
      <sheetName val="Tx_tax10"/>
      <sheetName val="Dx_200710"/>
      <sheetName val="Dx_adj10"/>
      <sheetName val="Dx_tax10"/>
      <sheetName val="Trex_200710"/>
      <sheetName val="Trex_adj10"/>
      <sheetName val="Trex_tax10"/>
      <sheetName val="Expx_200710"/>
      <sheetName val="Expx_tax10"/>
      <sheetName val="Expx_adj10"/>
      <sheetName val="Dsmx_200710"/>
      <sheetName val="Dsmx_adj10"/>
      <sheetName val="Dsmx_tax10"/>
      <sheetName val="Corpx_200710"/>
      <sheetName val="Corpx_adj10"/>
      <sheetName val="Corpx_tax10"/>
      <sheetName val="invx_200710"/>
      <sheetName val="capex_(2)10"/>
      <sheetName val="2007_TB10"/>
      <sheetName val="Revised_ending_2006_TB10"/>
      <sheetName val="Old_TB-_200710"/>
      <sheetName val="Wef_17Jun0510"/>
      <sheetName val="Reserves_Breakdown10"/>
      <sheetName val="Journal_entries_-_Group7"/>
      <sheetName val="BUS_EXP_53"/>
      <sheetName val="30TH_FINANCIAL53"/>
      <sheetName val="INCOME_STATEMENT53"/>
      <sheetName val="BALSHEET_TEMPLATE53"/>
      <sheetName val="COMM&amp;FEES_TEMPLATE53"/>
      <sheetName val="LCY_BALSHEET_WKS53"/>
      <sheetName val="COMM_FEES_TEMPLATE53"/>
      <sheetName val="Staff_Debtors53"/>
      <sheetName val="AFRICA_OTH_temp52"/>
      <sheetName val="LINEBYLINE_temp52"/>
      <sheetName val="CAMEROON_temp52"/>
      <sheetName val="GHANA_temp52"/>
      <sheetName val="NIGERIA_temp52"/>
      <sheetName val="EAST_AFRICA_temp52"/>
      <sheetName val="REPORT_temp52"/>
      <sheetName val="SEYCHELLES_temp52"/>
      <sheetName val="Movement_Calc52"/>
      <sheetName val="ANNUAL_CTC17"/>
      <sheetName val="Summary_BS16"/>
      <sheetName val="All_Securities16"/>
      <sheetName val="Market_Data_Input16"/>
      <sheetName val="MD&amp;A_201516"/>
      <sheetName val="chart__16"/>
      <sheetName val="Journal_entries16"/>
      <sheetName val="IS_200711"/>
      <sheetName val="BS_200711"/>
      <sheetName val="CF_200711"/>
      <sheetName val="FC_start11"/>
      <sheetName val="Gx_200711"/>
      <sheetName val="Gx_adj11"/>
      <sheetName val="Gx_tax11"/>
      <sheetName val="Tx_200711"/>
      <sheetName val="Tx_adj11"/>
      <sheetName val="Tx_tax11"/>
      <sheetName val="Dx_200711"/>
      <sheetName val="Dx_adj11"/>
      <sheetName val="Dx_tax11"/>
      <sheetName val="Trex_200711"/>
      <sheetName val="Trex_adj11"/>
      <sheetName val="Trex_tax11"/>
      <sheetName val="Expx_200711"/>
      <sheetName val="Expx_tax11"/>
      <sheetName val="Expx_adj11"/>
      <sheetName val="Dsmx_200711"/>
      <sheetName val="Dsmx_adj11"/>
      <sheetName val="Dsmx_tax11"/>
      <sheetName val="Corpx_200711"/>
      <sheetName val="Corpx_adj11"/>
      <sheetName val="Corpx_tax11"/>
      <sheetName val="invx_200711"/>
      <sheetName val="capex_(2)11"/>
      <sheetName val="2007_TB11"/>
      <sheetName val="Revised_ending_2006_TB11"/>
      <sheetName val="Old_TB-_200711"/>
      <sheetName val="Wef_17Jun0511"/>
      <sheetName val="Reserves_Breakdown11"/>
      <sheetName val="Journal_entries_-_Group8"/>
      <sheetName val="Agent"/>
      <sheetName val="Phone_Finance"/>
      <sheetName val="BUS_EXP_54"/>
      <sheetName val="30TH_FINANCIAL54"/>
      <sheetName val="INCOME_STATEMENT54"/>
      <sheetName val="BALSHEET_TEMPLATE54"/>
      <sheetName val="COMM&amp;FEES_TEMPLATE54"/>
      <sheetName val="LCY_BALSHEET_WKS54"/>
      <sheetName val="COMM_FEES_TEMPLATE54"/>
      <sheetName val="Staff_Debtors54"/>
      <sheetName val="AFRICA_OTH_temp53"/>
      <sheetName val="LINEBYLINE_temp53"/>
      <sheetName val="CAMEROON_temp53"/>
      <sheetName val="GHANA_temp53"/>
      <sheetName val="NIGERIA_temp53"/>
      <sheetName val="EAST_AFRICA_temp53"/>
      <sheetName val="REPORT_temp53"/>
      <sheetName val="SEYCHELLES_temp53"/>
      <sheetName val="Movement_Calc53"/>
      <sheetName val="ANNUAL_CTC18"/>
      <sheetName val="Summary_BS17"/>
      <sheetName val="All_Securities17"/>
      <sheetName val="Market_Data_Input17"/>
      <sheetName val="MD&amp;A_201517"/>
      <sheetName val="chart__17"/>
      <sheetName val="Journal_entries17"/>
      <sheetName val="IS_200712"/>
      <sheetName val="BS_200712"/>
      <sheetName val="CF_200712"/>
      <sheetName val="FC_start12"/>
      <sheetName val="Gx_200712"/>
      <sheetName val="Gx_adj12"/>
      <sheetName val="Gx_tax12"/>
      <sheetName val="Tx_200712"/>
      <sheetName val="Tx_adj12"/>
      <sheetName val="Tx_tax12"/>
      <sheetName val="Dx_200712"/>
      <sheetName val="Dx_adj12"/>
      <sheetName val="Dx_tax12"/>
      <sheetName val="Trex_200712"/>
      <sheetName val="Trex_adj12"/>
      <sheetName val="Trex_tax12"/>
      <sheetName val="Expx_200712"/>
      <sheetName val="Expx_tax12"/>
      <sheetName val="Expx_adj12"/>
      <sheetName val="Dsmx_200712"/>
      <sheetName val="Dsmx_adj12"/>
      <sheetName val="Dsmx_tax12"/>
      <sheetName val="Corpx_200712"/>
      <sheetName val="Corpx_adj12"/>
      <sheetName val="Corpx_tax12"/>
      <sheetName val="invx_200712"/>
      <sheetName val="capex_(2)12"/>
      <sheetName val="2007_TB12"/>
      <sheetName val="Revised_ending_2006_TB12"/>
      <sheetName val="Old_TB-_200712"/>
      <sheetName val="Wef_17Jun0512"/>
      <sheetName val="Reserves_Breakdown12"/>
      <sheetName val="Journal_entries_-_Group9"/>
      <sheetName val="Agency_Prod_Budg_Analysis"/>
      <sheetName val="PDS1"/>
      <sheetName val="PDS2"/>
      <sheetName val="ALA210"/>
      <sheetName val="EBU210"/>
      <sheetName val="OKE210"/>
      <sheetName val="TREND PAL"/>
      <sheetName val="CODES"/>
      <sheetName val="Recon__Matrix2"/>
      <sheetName val="IS_200713"/>
      <sheetName val="BS_200713"/>
      <sheetName val="CF_200713"/>
      <sheetName val="FC_start13"/>
      <sheetName val="Gx_200713"/>
      <sheetName val="Gx_adj13"/>
      <sheetName val="Gx_tax13"/>
      <sheetName val="Tx_200713"/>
      <sheetName val="Tx_adj13"/>
      <sheetName val="Tx_tax13"/>
      <sheetName val="Dx_200713"/>
      <sheetName val="Dx_adj13"/>
      <sheetName val="Dx_tax13"/>
      <sheetName val="Trex_200713"/>
      <sheetName val="Trex_adj13"/>
      <sheetName val="Trex_tax13"/>
      <sheetName val="Expx_200713"/>
      <sheetName val="Expx_tax13"/>
      <sheetName val="Expx_adj13"/>
      <sheetName val="Dsmx_200713"/>
      <sheetName val="Dsmx_adj13"/>
      <sheetName val="Dsmx_tax13"/>
      <sheetName val="Corpx_200713"/>
      <sheetName val="Corpx_adj13"/>
      <sheetName val="Corpx_tax13"/>
      <sheetName val="invx_200713"/>
      <sheetName val="capex_(2)13"/>
      <sheetName val="2007_TB13"/>
      <sheetName val="Revised_ending_2006_TB13"/>
      <sheetName val="Old_TB-_200713"/>
      <sheetName val="Amortisation Schedule (State)"/>
      <sheetName val="Profit &amp; Loss"/>
      <sheetName val="Balance Sheet"/>
      <sheetName val="EXTENDED TRIAL BALANCE-F"/>
      <sheetName val="AUD REPORT CON'T"/>
      <sheetName val="BAL SHEET"/>
      <sheetName val="TREND_P+L2"/>
      <sheetName val="Agency_Prod_Budg_Analysis1"/>
      <sheetName val="TB_20131"/>
      <sheetName val="Extended_Trial_Balance_20131"/>
      <sheetName val="Cover_page1"/>
      <sheetName val="Corp_info_and_Opinion1"/>
      <sheetName val="SFP_and_P_or_L1"/>
      <sheetName val="Acc_pol1"/>
      <sheetName val="Acc_policy1"/>
      <sheetName val="Notes_to_account1"/>
      <sheetName val="Risk_mgt1"/>
      <sheetName val="Other_National_Disclosures1"/>
      <sheetName val="VAS_&amp;_Fin_Summ1"/>
      <sheetName val="Fin_summ1"/>
      <sheetName val="ADJ_-_20141"/>
      <sheetName val="ADJ_-_20131"/>
      <sheetName val="2015_SAP_Movement1"/>
      <sheetName val="2017_SAP_Movement1"/>
      <sheetName val="ADJ_-_20151"/>
      <sheetName val="Lease_Payment_Schedule1"/>
      <sheetName val="ADJ_-_20161"/>
      <sheetName val="ADJ_-_20171"/>
      <sheetName val="Prepayment_20171"/>
      <sheetName val="2017_Revenue_comp1"/>
      <sheetName val="Cash_and_Cash_Equivalent1"/>
      <sheetName val="Transactions_Reclassification1"/>
      <sheetName val="Prepayment_Movement1"/>
      <sheetName val="Intercompany_Payables1"/>
      <sheetName val="Realised_Exchange_Loss_Calc1"/>
      <sheetName val="Sheet6_(2)1"/>
      <sheetName val="2016_SAP_Movement1"/>
      <sheetName val="Revenue_Analysis1"/>
      <sheetName val="418115001_Grp_PrdEndInc__Targe1"/>
      <sheetName val="Revenue_&amp;_Bonus_Analysis1"/>
      <sheetName val="TREND_P+L3"/>
      <sheetName val="Agency_Prod_Budg_Analysis2"/>
      <sheetName val="TB_20132"/>
      <sheetName val="Extended_Trial_Balance_20132"/>
      <sheetName val="Cover_page2"/>
      <sheetName val="Corp_info_and_Opinion2"/>
      <sheetName val="SFP_and_P_or_L2"/>
      <sheetName val="Acc_pol2"/>
      <sheetName val="Acc_policy2"/>
      <sheetName val="Notes_to_account2"/>
      <sheetName val="Risk_mgt2"/>
      <sheetName val="Other_National_Disclosures2"/>
      <sheetName val="VAS_&amp;_Fin_Summ2"/>
      <sheetName val="Fin_summ2"/>
      <sheetName val="ADJ_-_20142"/>
      <sheetName val="ADJ_-_20132"/>
      <sheetName val="2015_SAP_Movement2"/>
      <sheetName val="2017_SAP_Movement2"/>
      <sheetName val="ADJ_-_20152"/>
      <sheetName val="Lease_Payment_Schedule2"/>
      <sheetName val="ADJ_-_20162"/>
      <sheetName val="ADJ_-_20172"/>
      <sheetName val="Prepayment_20172"/>
      <sheetName val="2017_Revenue_comp2"/>
      <sheetName val="Cash_and_Cash_Equivalent2"/>
      <sheetName val="Transactions_Reclassification2"/>
      <sheetName val="Prepayment_Movement2"/>
      <sheetName val="Intercompany_Payables2"/>
      <sheetName val="Realised_Exchange_Loss_Calc2"/>
      <sheetName val="Sheet6_(2)2"/>
      <sheetName val="2016_SAP_Movement2"/>
      <sheetName val="Revenue_Analysis2"/>
      <sheetName val="418115001_Grp_PrdEndInc__Targe2"/>
      <sheetName val="Revenue_&amp;_Bonus_Analysis2"/>
      <sheetName val="Recon__Matrix3"/>
      <sheetName val="Journal_entries(Coy)4"/>
      <sheetName val="Statistics_{pbc}3"/>
      <sheetName val="BS100_NEW3"/>
      <sheetName val="Tenant_Data3"/>
      <sheetName val="Lookup_Tables3"/>
      <sheetName val="Table_3_-_Valuation3"/>
      <sheetName val="Summary_13"/>
      <sheetName val="TREND_P+L4"/>
      <sheetName val="Agency_Prod_Budg_Analysis3"/>
      <sheetName val="TB_20133"/>
      <sheetName val="Extended_Trial_Balance_20133"/>
      <sheetName val="Cover_page3"/>
      <sheetName val="Corp_info_and_Opinion3"/>
      <sheetName val="SFP_and_P_or_L3"/>
      <sheetName val="Acc_pol3"/>
      <sheetName val="Acc_policy3"/>
      <sheetName val="Notes_to_account3"/>
      <sheetName val="Risk_mgt3"/>
      <sheetName val="Other_National_Disclosures3"/>
      <sheetName val="VAS_&amp;_Fin_Summ3"/>
      <sheetName val="Fin_summ3"/>
      <sheetName val="ADJ_-_20143"/>
      <sheetName val="ADJ_-_20133"/>
      <sheetName val="2015_SAP_Movement3"/>
      <sheetName val="2017_SAP_Movement3"/>
      <sheetName val="ADJ_-_20153"/>
      <sheetName val="Lease_Payment_Schedule3"/>
      <sheetName val="ADJ_-_20163"/>
      <sheetName val="ADJ_-_20173"/>
      <sheetName val="Prepayment_20173"/>
      <sheetName val="2017_Revenue_comp3"/>
      <sheetName val="Cash_and_Cash_Equivalent3"/>
      <sheetName val="Transactions_Reclassification3"/>
      <sheetName val="Prepayment_Movement3"/>
      <sheetName val="Intercompany_Payables3"/>
      <sheetName val="Realised_Exchange_Loss_Calc3"/>
      <sheetName val="Sheet6_(2)3"/>
      <sheetName val="2016_SAP_Movement3"/>
      <sheetName val="Revenue_Analysis3"/>
      <sheetName val="418115001_Grp_PrdEndInc__Targe3"/>
      <sheetName val="Revenue_&amp;_Bonus_Analysis3"/>
      <sheetName val="Recon__Matrix4"/>
      <sheetName val="Journal_entries(Coy)5"/>
      <sheetName val="Statistics_{pbc}4"/>
      <sheetName val="BS100_NEW4"/>
      <sheetName val="Tenant_Data4"/>
      <sheetName val="Lookup_Tables4"/>
      <sheetName val="Table_3_-_Valuation4"/>
      <sheetName val="Summary_14"/>
      <sheetName val="TREND_P+L5"/>
      <sheetName val="Agency_Prod_Budg_Analysis4"/>
      <sheetName val="TB_20134"/>
      <sheetName val="Extended_Trial_Balance_20134"/>
      <sheetName val="Cover_page4"/>
      <sheetName val="Corp_info_and_Opinion4"/>
      <sheetName val="SFP_and_P_or_L4"/>
      <sheetName val="Acc_pol4"/>
      <sheetName val="Acc_policy4"/>
      <sheetName val="Notes_to_account4"/>
      <sheetName val="Risk_mgt4"/>
      <sheetName val="Other_National_Disclosures4"/>
      <sheetName val="VAS_&amp;_Fin_Summ4"/>
      <sheetName val="Fin_summ4"/>
      <sheetName val="ADJ_-_20144"/>
      <sheetName val="ADJ_-_20134"/>
      <sheetName val="2015_SAP_Movement4"/>
      <sheetName val="2017_SAP_Movement4"/>
      <sheetName val="ADJ_-_20154"/>
      <sheetName val="Lease_Payment_Schedule4"/>
      <sheetName val="ADJ_-_20164"/>
      <sheetName val="ADJ_-_20174"/>
      <sheetName val="Prepayment_20174"/>
      <sheetName val="2017_Revenue_comp4"/>
      <sheetName val="Cash_and_Cash_Equivalent4"/>
      <sheetName val="Transactions_Reclassification4"/>
      <sheetName val="Prepayment_Movement4"/>
      <sheetName val="Intercompany_Payables4"/>
      <sheetName val="Realised_Exchange_Loss_Calc4"/>
      <sheetName val="Sheet6_(2)4"/>
      <sheetName val="2016_SAP_Movement4"/>
      <sheetName val="Revenue_Analysis4"/>
      <sheetName val="418115001_Grp_PrdEndInc__Targe4"/>
      <sheetName val="Revenue_&amp;_Bonus_Analysis4"/>
      <sheetName val="Journal_entries(Coy)6"/>
      <sheetName val="Statistics_{pbc}6"/>
      <sheetName val="BS100_NEW6"/>
      <sheetName val="Tenant_Data6"/>
      <sheetName val="Lookup_Tables6"/>
      <sheetName val="Table_3_-_Valuation6"/>
      <sheetName val="Summary_16"/>
      <sheetName val="Statistics_{pbc}5"/>
      <sheetName val="BS100_NEW5"/>
      <sheetName val="Tenant_Data5"/>
      <sheetName val="Lookup_Tables5"/>
      <sheetName val="Table_3_-_Valuation5"/>
      <sheetName val="Summary_15"/>
      <sheetName val="Scenario_Definitions"/>
      <sheetName val="Preliminary_Tariff_Results"/>
      <sheetName val="Wef_17Jun0513"/>
      <sheetName val="IS_200714"/>
      <sheetName val="BS_200714"/>
      <sheetName val="CF_200714"/>
      <sheetName val="FC_start14"/>
      <sheetName val="Gx_200714"/>
      <sheetName val="Gx_adj14"/>
      <sheetName val="Gx_tax14"/>
      <sheetName val="Tx_200714"/>
      <sheetName val="Tx_adj14"/>
      <sheetName val="Tx_tax14"/>
      <sheetName val="Dx_200714"/>
      <sheetName val="Dx_adj14"/>
      <sheetName val="Dx_tax14"/>
      <sheetName val="Trex_200714"/>
      <sheetName val="Trex_adj14"/>
      <sheetName val="Trex_tax14"/>
      <sheetName val="Expx_200714"/>
      <sheetName val="Expx_tax14"/>
      <sheetName val="Expx_adj14"/>
      <sheetName val="Dsmx_200714"/>
      <sheetName val="Dsmx_adj14"/>
      <sheetName val="Dsmx_tax14"/>
      <sheetName val="Corpx_200714"/>
      <sheetName val="Corpx_adj14"/>
      <sheetName val="Corpx_tax14"/>
      <sheetName val="invx_200714"/>
      <sheetName val="capex_(2)14"/>
      <sheetName val="2007_TB14"/>
      <sheetName val="Revised_ending_2006_TB14"/>
      <sheetName val="Old_TB-_200714"/>
      <sheetName val="Reserves_Breakdown13"/>
      <sheetName val="BUS_EXP_55"/>
      <sheetName val="30TH_FINANCIAL55"/>
      <sheetName val="INCOME_STATEMENT55"/>
      <sheetName val="BALSHEET_TEMPLATE55"/>
      <sheetName val="COMM&amp;FEES_TEMPLATE55"/>
      <sheetName val="LCY_BALSHEET_WKS55"/>
      <sheetName val="COMM_FEES_TEMPLATE55"/>
      <sheetName val="Staff_Debtors55"/>
      <sheetName val="AFRICA_OTH_temp54"/>
      <sheetName val="LINEBYLINE_temp54"/>
      <sheetName val="CAMEROON_temp54"/>
      <sheetName val="GHANA_temp54"/>
      <sheetName val="NIGERIA_temp54"/>
      <sheetName val="EAST_AFRICA_temp54"/>
      <sheetName val="REPORT_temp54"/>
      <sheetName val="SEYCHELLES_temp54"/>
      <sheetName val="Movement_Calc54"/>
      <sheetName val="ANNUAL_CTC19"/>
      <sheetName val="Summary_BS18"/>
      <sheetName val="MD&amp;A_201518"/>
      <sheetName val="All_Securities18"/>
      <sheetName val="Market_Data_Input18"/>
      <sheetName val="Journal_entries18"/>
      <sheetName val="chart__18"/>
      <sheetName val="Wef_17Jun0514"/>
      <sheetName val="IS_200715"/>
      <sheetName val="BS_200715"/>
      <sheetName val="CF_200715"/>
      <sheetName val="FC_start15"/>
      <sheetName val="Gx_200715"/>
      <sheetName val="Gx_adj15"/>
      <sheetName val="Gx_tax15"/>
      <sheetName val="Tx_200715"/>
      <sheetName val="Tx_adj15"/>
      <sheetName val="Tx_tax15"/>
      <sheetName val="Dx_200715"/>
      <sheetName val="Dx_adj15"/>
      <sheetName val="Dx_tax15"/>
      <sheetName val="Trex_200715"/>
      <sheetName val="Trex_adj15"/>
      <sheetName val="Trex_tax15"/>
      <sheetName val="Expx_200715"/>
      <sheetName val="Expx_tax15"/>
      <sheetName val="Expx_adj15"/>
      <sheetName val="Dsmx_200715"/>
      <sheetName val="Dsmx_adj15"/>
      <sheetName val="Dsmx_tax15"/>
      <sheetName val="Corpx_200715"/>
      <sheetName val="Corpx_adj15"/>
      <sheetName val="Corpx_tax15"/>
      <sheetName val="invx_200715"/>
      <sheetName val="capex_(2)15"/>
      <sheetName val="2007_TB15"/>
      <sheetName val="Revised_ending_2006_TB15"/>
      <sheetName val="Old_TB-_200715"/>
      <sheetName val="Reserves_Breakdown14"/>
      <sheetName val="Journal_entries_-_Group10"/>
      <sheetName val="Leadway_jv"/>
      <sheetName val="Static_Data"/>
      <sheetName val="Princ_Arr"/>
      <sheetName val="Int_Arr"/>
      <sheetName val="NPV_calculator"/>
      <sheetName val="DETAILED_BALSHT_VOL_PROJ1"/>
      <sheetName val="Param"/>
      <sheetName val="P&amp;L"/>
      <sheetName val="EXPLO_WELLS"/>
      <sheetName val="Mapping"/>
      <sheetName val="mapping,"/>
      <sheetName val="NBC Regrinding Schedule"/>
      <sheetName val="Regrinding Workdays Mapping"/>
      <sheetName val="Sales,Prodn &amp; Stock"/>
      <sheetName val="NBC Regrind consumption &amp; Stock"/>
      <sheetName val="Whisky01"/>
      <sheetName val="BUS_EXP_56"/>
      <sheetName val="30TH_FINANCIAL56"/>
      <sheetName val="INCOME_STATEMENT56"/>
      <sheetName val="BALSHEET_TEMPLATE56"/>
      <sheetName val="COMM&amp;FEES_TEMPLATE56"/>
      <sheetName val="LCY_BALSHEET_WKS56"/>
      <sheetName val="COMM_FEES_TEMPLATE56"/>
      <sheetName val="Staff_Debtors56"/>
      <sheetName val="AFRICA_OTH_temp55"/>
      <sheetName val="LINEBYLINE_temp55"/>
      <sheetName val="CAMEROON_temp55"/>
      <sheetName val="GHANA_temp55"/>
      <sheetName val="NIGERIA_temp55"/>
      <sheetName val="EAST_AFRICA_temp55"/>
      <sheetName val="REPORT_temp55"/>
      <sheetName val="SEYCHELLES_temp55"/>
      <sheetName val="Movement_Calc55"/>
      <sheetName val="ANNUAL_CTC20"/>
      <sheetName val="Summary_BS19"/>
      <sheetName val="All_Securities19"/>
      <sheetName val="Market_Data_Input19"/>
      <sheetName val="MD&amp;A_201519"/>
      <sheetName val="chart__19"/>
      <sheetName val="Journal_entries19"/>
      <sheetName val="Journal_entries_-_Group11"/>
      <sheetName val="Princ_Arr1"/>
      <sheetName val="Int_Arr1"/>
      <sheetName val="NPV_calculator1"/>
      <sheetName val="DETAILED_BALSHT_VOL_PROJ2"/>
      <sheetName val="Wef_17Jun0515"/>
      <sheetName val="IS_200716"/>
      <sheetName val="BS_200716"/>
      <sheetName val="CF_200716"/>
      <sheetName val="FC_start16"/>
      <sheetName val="Gx_200716"/>
      <sheetName val="Gx_adj16"/>
      <sheetName val="Gx_tax16"/>
      <sheetName val="Tx_200716"/>
      <sheetName val="Tx_adj16"/>
      <sheetName val="Tx_tax16"/>
      <sheetName val="Dx_200716"/>
      <sheetName val="Dx_adj16"/>
      <sheetName val="Dx_tax16"/>
      <sheetName val="Trex_200716"/>
      <sheetName val="Trex_adj16"/>
      <sheetName val="Trex_tax16"/>
      <sheetName val="Expx_200716"/>
      <sheetName val="Expx_tax16"/>
      <sheetName val="Expx_adj16"/>
      <sheetName val="Dsmx_200716"/>
      <sheetName val="Dsmx_adj16"/>
      <sheetName val="Dsmx_tax16"/>
      <sheetName val="Corpx_200716"/>
      <sheetName val="Corpx_adj16"/>
      <sheetName val="Corpx_tax16"/>
      <sheetName val="invx_200716"/>
      <sheetName val="capex_(2)16"/>
      <sheetName val="2007_TB16"/>
      <sheetName val="Revised_ending_2006_TB16"/>
      <sheetName val="Old_TB-_200716"/>
      <sheetName val="Reserves_Breakdown15"/>
      <sheetName val="Leadway_jv1"/>
      <sheetName val="Static_Data1"/>
      <sheetName val="Preliminary_Tariff_Results1"/>
      <sheetName val="Scenario_Definitions1"/>
      <sheetName val="TREND_PAL"/>
      <sheetName val="BUS_EXP_57"/>
      <sheetName val="30TH_FINANCIAL57"/>
      <sheetName val="INCOME_STATEMENT57"/>
      <sheetName val="BALSHEET_TEMPLATE57"/>
      <sheetName val="COMM&amp;FEES_TEMPLATE57"/>
      <sheetName val="LCY_BALSHEET_WKS57"/>
      <sheetName val="COMM_FEES_TEMPLATE57"/>
      <sheetName val="Staff_Debtors57"/>
      <sheetName val="AFRICA_OTH_temp56"/>
      <sheetName val="LINEBYLINE_temp56"/>
      <sheetName val="CAMEROON_temp56"/>
      <sheetName val="GHANA_temp56"/>
      <sheetName val="NIGERIA_temp56"/>
      <sheetName val="EAST_AFRICA_temp56"/>
      <sheetName val="REPORT_temp56"/>
      <sheetName val="SEYCHELLES_temp56"/>
      <sheetName val="Movement_Calc56"/>
      <sheetName val="ANNUAL_CTC21"/>
      <sheetName val="Summary_BS20"/>
      <sheetName val="MD&amp;A_201520"/>
      <sheetName val="All_Securities20"/>
      <sheetName val="Market_Data_Input20"/>
      <sheetName val="Journal_entries20"/>
      <sheetName val="chart__20"/>
      <sheetName val="Wef_17Jun0516"/>
      <sheetName val="IS_200717"/>
      <sheetName val="BS_200717"/>
      <sheetName val="CF_200717"/>
      <sheetName val="FC_start17"/>
      <sheetName val="Gx_200717"/>
      <sheetName val="Gx_adj17"/>
      <sheetName val="Gx_tax17"/>
      <sheetName val="Tx_200717"/>
      <sheetName val="Tx_adj17"/>
      <sheetName val="Tx_tax17"/>
      <sheetName val="Dx_200717"/>
      <sheetName val="Dx_adj17"/>
      <sheetName val="Dx_tax17"/>
      <sheetName val="Trex_200717"/>
      <sheetName val="Trex_adj17"/>
      <sheetName val="Trex_tax17"/>
      <sheetName val="Expx_200717"/>
      <sheetName val="Expx_tax17"/>
      <sheetName val="Expx_adj17"/>
      <sheetName val="Dsmx_200717"/>
      <sheetName val="Dsmx_adj17"/>
      <sheetName val="Dsmx_tax17"/>
      <sheetName val="Corpx_200717"/>
      <sheetName val="Corpx_adj17"/>
      <sheetName val="Corpx_tax17"/>
      <sheetName val="invx_200717"/>
      <sheetName val="capex_(2)17"/>
      <sheetName val="2007_TB17"/>
      <sheetName val="Revised_ending_2006_TB17"/>
      <sheetName val="Old_TB-_200717"/>
      <sheetName val="Reserves_Breakdown16"/>
      <sheetName val="Journal_entries_-_Group12"/>
      <sheetName val="TB_20135"/>
      <sheetName val="Extended_Trial_Balance_20135"/>
      <sheetName val="Cover_page5"/>
      <sheetName val="Corp_info_and_Opinion5"/>
      <sheetName val="SFP_and_P_or_L5"/>
      <sheetName val="Acc_pol5"/>
      <sheetName val="Acc_policy5"/>
      <sheetName val="Notes_to_account5"/>
      <sheetName val="Risk_mgt5"/>
      <sheetName val="Other_National_Disclosures5"/>
      <sheetName val="VAS_&amp;_Fin_Summ5"/>
      <sheetName val="Fin_summ5"/>
      <sheetName val="ADJ_-_20145"/>
      <sheetName val="ADJ_-_20135"/>
      <sheetName val="2015_SAP_Movement5"/>
      <sheetName val="2017_SAP_Movement5"/>
      <sheetName val="ADJ_-_20155"/>
      <sheetName val="Lease_Payment_Schedule5"/>
      <sheetName val="ADJ_-_20165"/>
      <sheetName val="ADJ_-_20175"/>
      <sheetName val="Prepayment_20175"/>
      <sheetName val="2017_Revenue_comp5"/>
      <sheetName val="Cash_and_Cash_Equivalent5"/>
      <sheetName val="Transactions_Reclassification5"/>
      <sheetName val="Prepayment_Movement5"/>
      <sheetName val="Intercompany_Payables5"/>
      <sheetName val="Realised_Exchange_Loss_Calc5"/>
      <sheetName val="Sheet6_(2)5"/>
      <sheetName val="2016_SAP_Movement5"/>
      <sheetName val="Revenue_Analysis5"/>
      <sheetName val="418115001_Grp_PrdEndInc__Targe5"/>
      <sheetName val="Revenue_&amp;_Bonus_Analysis5"/>
      <sheetName val="TREND_P+L6"/>
      <sheetName val="Recon__Matrix5"/>
      <sheetName val="Agency_Prod_Budg_Analysis5"/>
      <sheetName val="Leadway_jv2"/>
      <sheetName val="Static_Data2"/>
      <sheetName val="Preliminary_Tariff_Results2"/>
      <sheetName val="Scenario_Definitions2"/>
      <sheetName val="Princ_Arr2"/>
      <sheetName val="Int_Arr2"/>
      <sheetName val="NPV_calculator2"/>
      <sheetName val="DETAILED_BALSHT_VOL_PROJ3"/>
      <sheetName val="BUS_EXP_58"/>
      <sheetName val="30TH_FINANCIAL58"/>
      <sheetName val="INCOME_STATEMENT58"/>
      <sheetName val="BALSHEET_TEMPLATE58"/>
      <sheetName val="COMM&amp;FEES_TEMPLATE58"/>
      <sheetName val="LCY_BALSHEET_WKS58"/>
      <sheetName val="COMM_FEES_TEMPLATE58"/>
      <sheetName val="Staff_Debtors58"/>
      <sheetName val="AFRICA_OTH_temp57"/>
      <sheetName val="LINEBYLINE_temp57"/>
      <sheetName val="CAMEROON_temp57"/>
      <sheetName val="GHANA_temp57"/>
      <sheetName val="NIGERIA_temp57"/>
      <sheetName val="EAST_AFRICA_temp57"/>
      <sheetName val="REPORT_temp57"/>
      <sheetName val="SEYCHELLES_temp57"/>
      <sheetName val="Movement_Calc57"/>
      <sheetName val="ANNUAL_CTC22"/>
      <sheetName val="Summary_BS21"/>
      <sheetName val="MD&amp;A_201521"/>
      <sheetName val="All_Securities21"/>
      <sheetName val="Market_Data_Input21"/>
      <sheetName val="Journal_entries21"/>
      <sheetName val="chart__21"/>
      <sheetName val="Wef_17Jun0517"/>
      <sheetName val="IS_200718"/>
      <sheetName val="BS_200718"/>
      <sheetName val="CF_200718"/>
      <sheetName val="FC_start18"/>
      <sheetName val="Gx_200718"/>
      <sheetName val="Gx_adj18"/>
      <sheetName val="Gx_tax18"/>
      <sheetName val="Tx_200718"/>
      <sheetName val="Tx_adj18"/>
      <sheetName val="Tx_tax18"/>
      <sheetName val="Dx_200718"/>
      <sheetName val="Dx_adj18"/>
      <sheetName val="Dx_tax18"/>
      <sheetName val="Trex_200718"/>
      <sheetName val="Trex_adj18"/>
      <sheetName val="Trex_tax18"/>
      <sheetName val="Expx_200718"/>
      <sheetName val="Expx_tax18"/>
      <sheetName val="Expx_adj18"/>
      <sheetName val="Dsmx_200718"/>
      <sheetName val="Dsmx_adj18"/>
      <sheetName val="Dsmx_tax18"/>
      <sheetName val="Corpx_200718"/>
      <sheetName val="Corpx_adj18"/>
      <sheetName val="Corpx_tax18"/>
      <sheetName val="invx_200718"/>
      <sheetName val="capex_(2)18"/>
      <sheetName val="2007_TB18"/>
      <sheetName val="Revised_ending_2006_TB18"/>
      <sheetName val="Old_TB-_200718"/>
      <sheetName val="Reserves_Breakdown17"/>
      <sheetName val="Journal_entries_-_Group13"/>
      <sheetName val="TB_20136"/>
      <sheetName val="Extended_Trial_Balance_20136"/>
      <sheetName val="Cover_page6"/>
      <sheetName val="Corp_info_and_Opinion6"/>
      <sheetName val="SFP_and_P_or_L6"/>
      <sheetName val="Acc_pol6"/>
      <sheetName val="Acc_policy6"/>
      <sheetName val="Notes_to_account6"/>
      <sheetName val="Risk_mgt6"/>
      <sheetName val="Other_National_Disclosures6"/>
      <sheetName val="VAS_&amp;_Fin_Summ6"/>
      <sheetName val="Fin_summ6"/>
      <sheetName val="ADJ_-_20146"/>
      <sheetName val="ADJ_-_20136"/>
      <sheetName val="2015_SAP_Movement6"/>
      <sheetName val="2017_SAP_Movement6"/>
      <sheetName val="ADJ_-_20156"/>
      <sheetName val="Lease_Payment_Schedule6"/>
      <sheetName val="ADJ_-_20166"/>
      <sheetName val="ADJ_-_20176"/>
      <sheetName val="Prepayment_20176"/>
      <sheetName val="2017_Revenue_comp6"/>
      <sheetName val="Cash_and_Cash_Equivalent6"/>
      <sheetName val="Transactions_Reclassification6"/>
      <sheetName val="Prepayment_Movement6"/>
      <sheetName val="Intercompany_Payables6"/>
      <sheetName val="Realised_Exchange_Loss_Calc6"/>
      <sheetName val="Sheet6_(2)6"/>
      <sheetName val="2016_SAP_Movement6"/>
      <sheetName val="Revenue_Analysis6"/>
      <sheetName val="418115001_Grp_PrdEndInc__Targe6"/>
      <sheetName val="Revenue_&amp;_Bonus_Analysis6"/>
      <sheetName val="Journal_entries(Coy)7"/>
      <sheetName val="TREND_P+L7"/>
      <sheetName val="Recon__Matrix6"/>
      <sheetName val="Agency_Prod_Budg_Analysis6"/>
      <sheetName val="Leadway_jv3"/>
      <sheetName val="Static_Data3"/>
      <sheetName val="Preliminary_Tariff_Results3"/>
      <sheetName val="Scenario_Definitions3"/>
      <sheetName val="Princ_Arr3"/>
      <sheetName val="Int_Arr3"/>
      <sheetName val="NPV_calculator3"/>
      <sheetName val="DETAILED_BALSHT_VOL_PROJ4"/>
      <sheetName val="GL PnL"/>
      <sheetName val="Journal_entries(Coy)8"/>
      <sheetName val="Journal_entries(Coy)10"/>
      <sheetName val="Journal_entries(Coy)9"/>
      <sheetName val="Journal_entries(Coy)11"/>
      <sheetName val="Journal_entries(Coy)12"/>
      <sheetName val="Journal_entries(Coy)13"/>
      <sheetName val="Journal_entries(Coy)14"/>
      <sheetName val="Cover"/>
      <sheetName val="Introduction"/>
      <sheetName val="Accounts"/>
      <sheetName val="Fixed Assets Schedule"/>
      <sheetName val="Recon__Matrix7"/>
      <sheetName val="Statistics_{pbc}7"/>
      <sheetName val="BS100_NEW7"/>
      <sheetName val="Tenant_Data7"/>
      <sheetName val="Lookup_Tables7"/>
      <sheetName val="Table_3_-_Valuation7"/>
      <sheetName val="Summary_17"/>
      <sheetName val="Recon__Matrix8"/>
      <sheetName val="Statistics_{pbc}8"/>
      <sheetName val="BS100_NEW8"/>
      <sheetName val="Tenant_Data8"/>
      <sheetName val="Lookup_Tables8"/>
      <sheetName val="Table_3_-_Valuation8"/>
      <sheetName val="Summary_18"/>
      <sheetName val="Recon__Matrix9"/>
      <sheetName val="TB_20137"/>
      <sheetName val="Extended_Trial_Balance_20137"/>
      <sheetName val="Cover_page7"/>
      <sheetName val="Corp_info_and_Opinion7"/>
      <sheetName val="SFP_and_P_or_L7"/>
      <sheetName val="Acc_pol7"/>
      <sheetName val="Acc_policy7"/>
      <sheetName val="Notes_to_account7"/>
      <sheetName val="Risk_mgt7"/>
      <sheetName val="Other_National_Disclosures7"/>
      <sheetName val="VAS_&amp;_Fin_Summ7"/>
      <sheetName val="Fin_summ7"/>
      <sheetName val="ADJ_-_20147"/>
      <sheetName val="ADJ_-_20137"/>
      <sheetName val="2015_SAP_Movement7"/>
      <sheetName val="2017_SAP_Movement7"/>
      <sheetName val="ADJ_-_20157"/>
      <sheetName val="Lease_Payment_Schedule7"/>
      <sheetName val="ADJ_-_20167"/>
      <sheetName val="ADJ_-_20177"/>
      <sheetName val="Prepayment_20177"/>
      <sheetName val="2017_Revenue_comp7"/>
      <sheetName val="Cash_and_Cash_Equivalent7"/>
      <sheetName val="Transactions_Reclassification7"/>
      <sheetName val="Prepayment_Movement7"/>
      <sheetName val="Intercompany_Payables7"/>
      <sheetName val="Realised_Exchange_Loss_Calc7"/>
      <sheetName val="Sheet6_(2)7"/>
      <sheetName val="2016_SAP_Movement7"/>
      <sheetName val="Revenue_Analysis7"/>
      <sheetName val="418115001_Grp_PrdEndInc__Targe7"/>
      <sheetName val="Revenue_&amp;_Bonus_Analysis7"/>
      <sheetName val="Statistics_{pbc}9"/>
      <sheetName val="BS100_NEW9"/>
      <sheetName val="Tenant_Data9"/>
      <sheetName val="Lookup_Tables9"/>
      <sheetName val="Table_3_-_Valuation9"/>
      <sheetName val="Summary_19"/>
      <sheetName val="TREND_P+L8"/>
      <sheetName val="Agency_Prod_Budg_Analysis7"/>
      <sheetName val="Recon__Matrix11"/>
      <sheetName val="TB_20139"/>
      <sheetName val="Extended_Trial_Balance_20139"/>
      <sheetName val="Cover_page9"/>
      <sheetName val="Corp_info_and_Opinion9"/>
      <sheetName val="SFP_and_P_or_L9"/>
      <sheetName val="Acc_pol9"/>
      <sheetName val="Acc_policy9"/>
      <sheetName val="Notes_to_account9"/>
      <sheetName val="Risk_mgt9"/>
      <sheetName val="Other_National_Disclosures9"/>
      <sheetName val="VAS_&amp;_Fin_Summ9"/>
      <sheetName val="Fin_summ9"/>
      <sheetName val="ADJ_-_20149"/>
      <sheetName val="ADJ_-_20139"/>
      <sheetName val="2015_SAP_Movement9"/>
      <sheetName val="2017_SAP_Movement9"/>
      <sheetName val="ADJ_-_20159"/>
      <sheetName val="Lease_Payment_Schedule9"/>
      <sheetName val="ADJ_-_20169"/>
      <sheetName val="ADJ_-_20179"/>
      <sheetName val="Prepayment_20179"/>
      <sheetName val="2017_Revenue_comp9"/>
      <sheetName val="Cash_and_Cash_Equivalent9"/>
      <sheetName val="Transactions_Reclassification9"/>
      <sheetName val="Prepayment_Movement9"/>
      <sheetName val="Intercompany_Payables9"/>
      <sheetName val="Realised_Exchange_Loss_Calc9"/>
      <sheetName val="Sheet6_(2)9"/>
      <sheetName val="2016_SAP_Movement9"/>
      <sheetName val="Revenue_Analysis9"/>
      <sheetName val="418115001_Grp_PrdEndInc__Targe9"/>
      <sheetName val="Revenue_&amp;_Bonus_Analysis9"/>
      <sheetName val="Statistics_{pbc}11"/>
      <sheetName val="BS100_NEW11"/>
      <sheetName val="Tenant_Data11"/>
      <sheetName val="Lookup_Tables11"/>
      <sheetName val="Table_3_-_Valuation11"/>
      <sheetName val="Summary_111"/>
      <sheetName val="TREND_P+L10"/>
      <sheetName val="Agency_Prod_Budg_Analysis9"/>
      <sheetName val="Recon__Matrix10"/>
      <sheetName val="TB_20138"/>
      <sheetName val="Extended_Trial_Balance_20138"/>
      <sheetName val="Cover_page8"/>
      <sheetName val="Corp_info_and_Opinion8"/>
      <sheetName val="SFP_and_P_or_L8"/>
      <sheetName val="Acc_pol8"/>
      <sheetName val="Acc_policy8"/>
      <sheetName val="Notes_to_account8"/>
      <sheetName val="Risk_mgt8"/>
      <sheetName val="Other_National_Disclosures8"/>
      <sheetName val="VAS_&amp;_Fin_Summ8"/>
      <sheetName val="Fin_summ8"/>
      <sheetName val="ADJ_-_20148"/>
      <sheetName val="ADJ_-_20138"/>
      <sheetName val="2015_SAP_Movement8"/>
      <sheetName val="2017_SAP_Movement8"/>
      <sheetName val="ADJ_-_20158"/>
      <sheetName val="Lease_Payment_Schedule8"/>
      <sheetName val="ADJ_-_20168"/>
      <sheetName val="ADJ_-_20178"/>
      <sheetName val="Prepayment_20178"/>
      <sheetName val="2017_Revenue_comp8"/>
      <sheetName val="Cash_and_Cash_Equivalent8"/>
      <sheetName val="Transactions_Reclassification8"/>
      <sheetName val="Prepayment_Movement8"/>
      <sheetName val="Intercompany_Payables8"/>
      <sheetName val="Realised_Exchange_Loss_Calc8"/>
      <sheetName val="Sheet6_(2)8"/>
      <sheetName val="2016_SAP_Movement8"/>
      <sheetName val="Revenue_Analysis8"/>
      <sheetName val="418115001_Grp_PrdEndInc__Targe8"/>
      <sheetName val="Revenue_&amp;_Bonus_Analysis8"/>
      <sheetName val="Statistics_{pbc}10"/>
      <sheetName val="BS100_NEW10"/>
      <sheetName val="Tenant_Data10"/>
      <sheetName val="Lookup_Tables10"/>
      <sheetName val="Table_3_-_Valuation10"/>
      <sheetName val="Summary_110"/>
      <sheetName val="TREND_P+L9"/>
      <sheetName val="Agency_Prod_Budg_Analysis8"/>
      <sheetName val="Recon__Matrix12"/>
      <sheetName val="TB_201310"/>
      <sheetName val="Extended_Trial_Balance_201310"/>
      <sheetName val="Cover_page10"/>
      <sheetName val="Corp_info_and_Opinion10"/>
      <sheetName val="SFP_and_P_or_L10"/>
      <sheetName val="Acc_pol10"/>
      <sheetName val="Acc_policy10"/>
      <sheetName val="Notes_to_account10"/>
      <sheetName val="Risk_mgt10"/>
      <sheetName val="Other_National_Disclosures10"/>
      <sheetName val="VAS_&amp;_Fin_Summ10"/>
      <sheetName val="Fin_summ10"/>
      <sheetName val="ADJ_-_201410"/>
      <sheetName val="ADJ_-_201310"/>
      <sheetName val="2015_SAP_Movement10"/>
      <sheetName val="2017_SAP_Movement10"/>
      <sheetName val="ADJ_-_201510"/>
      <sheetName val="Lease_Payment_Schedule10"/>
      <sheetName val="ADJ_-_201610"/>
      <sheetName val="ADJ_-_201710"/>
      <sheetName val="Prepayment_201710"/>
      <sheetName val="2017_Revenue_comp10"/>
      <sheetName val="Cash_and_Cash_Equivalent10"/>
      <sheetName val="Transactions_Reclassification10"/>
      <sheetName val="Prepayment_Movement10"/>
      <sheetName val="Intercompany_Payables10"/>
      <sheetName val="Realised_Exchange_Loss_Calc10"/>
      <sheetName val="Sheet6_(2)10"/>
      <sheetName val="2016_SAP_Movement10"/>
      <sheetName val="Revenue_Analysis10"/>
      <sheetName val="418115001_Grp_PrdEndInc__Targ10"/>
      <sheetName val="Revenue_&amp;_Bonus_Analysis10"/>
      <sheetName val="Statistics_{pbc}12"/>
      <sheetName val="BS100_NEW12"/>
      <sheetName val="Tenant_Data12"/>
      <sheetName val="Lookup_Tables12"/>
      <sheetName val="Table_3_-_Valuation12"/>
      <sheetName val="Summary_112"/>
      <sheetName val="TREND_P+L11"/>
      <sheetName val="Agency_Prod_Budg_Analysis10"/>
      <sheetName val="Recon__Matrix13"/>
      <sheetName val="TB_201311"/>
      <sheetName val="Extended_Trial_Balance_201311"/>
      <sheetName val="Cover_page11"/>
      <sheetName val="Corp_info_and_Opinion11"/>
      <sheetName val="SFP_and_P_or_L11"/>
      <sheetName val="Acc_pol11"/>
      <sheetName val="Acc_policy11"/>
      <sheetName val="Notes_to_account11"/>
      <sheetName val="Risk_mgt11"/>
      <sheetName val="Other_National_Disclosures11"/>
      <sheetName val="VAS_&amp;_Fin_Summ11"/>
      <sheetName val="Fin_summ11"/>
      <sheetName val="ADJ_-_201411"/>
      <sheetName val="ADJ_-_201311"/>
      <sheetName val="2015_SAP_Movement11"/>
      <sheetName val="2017_SAP_Movement11"/>
      <sheetName val="ADJ_-_201511"/>
      <sheetName val="Lease_Payment_Schedule11"/>
      <sheetName val="ADJ_-_201611"/>
      <sheetName val="ADJ_-_201711"/>
      <sheetName val="Prepayment_201711"/>
      <sheetName val="2017_Revenue_comp11"/>
      <sheetName val="Cash_and_Cash_Equivalent11"/>
      <sheetName val="Transactions_Reclassification11"/>
      <sheetName val="Prepayment_Movement11"/>
      <sheetName val="Intercompany_Payables11"/>
      <sheetName val="Realised_Exchange_Loss_Calc11"/>
      <sheetName val="Sheet6_(2)11"/>
      <sheetName val="2016_SAP_Movement11"/>
      <sheetName val="Revenue_Analysis11"/>
      <sheetName val="418115001_Grp_PrdEndInc__Targ11"/>
      <sheetName val="Revenue_&amp;_Bonus_Analysis11"/>
      <sheetName val="Statistics_{pbc}13"/>
      <sheetName val="BS100_NEW13"/>
      <sheetName val="Tenant_Data13"/>
      <sheetName val="Lookup_Tables13"/>
      <sheetName val="Table_3_-_Valuation13"/>
      <sheetName val="Summary_113"/>
      <sheetName val="TREND_P+L12"/>
      <sheetName val="Agency_Prod_Budg_Analysis11"/>
      <sheetName val="BUS_EXP_59"/>
      <sheetName val="30TH_FINANCIAL59"/>
      <sheetName val="INCOME_STATEMENT59"/>
      <sheetName val="BALSHEET_TEMPLATE59"/>
      <sheetName val="COMM&amp;FEES_TEMPLATE59"/>
      <sheetName val="LCY_BALSHEET_WKS59"/>
      <sheetName val="COMM_FEES_TEMPLATE59"/>
      <sheetName val="Staff_Debtors59"/>
      <sheetName val="AFRICA_OTH_temp58"/>
      <sheetName val="LINEBYLINE_temp58"/>
      <sheetName val="CAMEROON_temp58"/>
      <sheetName val="GHANA_temp58"/>
      <sheetName val="NIGERIA_temp58"/>
      <sheetName val="EAST_AFRICA_temp58"/>
      <sheetName val="REPORT_temp58"/>
      <sheetName val="SEYCHELLES_temp58"/>
      <sheetName val="Movement_Calc58"/>
      <sheetName val="MD&amp;A_201522"/>
      <sheetName val="Summary_BS22"/>
      <sheetName val="ANNUAL_CTC23"/>
      <sheetName val="chart__22"/>
      <sheetName val="All_Securities22"/>
      <sheetName val="Market_Data_Input22"/>
      <sheetName val="Journal_entries22"/>
      <sheetName val="Journal_entries_-_Group14"/>
      <sheetName val="Recon__Matrix14"/>
      <sheetName val="TB_201312"/>
      <sheetName val="Extended_Trial_Balance_201312"/>
      <sheetName val="Cover_page12"/>
      <sheetName val="Corp_info_and_Opinion12"/>
      <sheetName val="SFP_and_P_or_L12"/>
      <sheetName val="Acc_pol12"/>
      <sheetName val="Acc_policy12"/>
      <sheetName val="Notes_to_account12"/>
      <sheetName val="Risk_mgt12"/>
      <sheetName val="Other_National_Disclosures12"/>
      <sheetName val="VAS_&amp;_Fin_Summ12"/>
      <sheetName val="Fin_summ12"/>
      <sheetName val="ADJ_-_201412"/>
      <sheetName val="ADJ_-_201312"/>
      <sheetName val="2015_SAP_Movement12"/>
      <sheetName val="2017_SAP_Movement12"/>
      <sheetName val="ADJ_-_201512"/>
      <sheetName val="Lease_Payment_Schedule12"/>
      <sheetName val="ADJ_-_201612"/>
      <sheetName val="ADJ_-_201712"/>
      <sheetName val="Prepayment_201712"/>
      <sheetName val="2017_Revenue_comp12"/>
      <sheetName val="Cash_and_Cash_Equivalent12"/>
      <sheetName val="Transactions_Reclassification12"/>
      <sheetName val="Prepayment_Movement12"/>
      <sheetName val="Intercompany_Payables12"/>
      <sheetName val="Realised_Exchange_Loss_Calc12"/>
      <sheetName val="Sheet6_(2)12"/>
      <sheetName val="2016_SAP_Movement12"/>
      <sheetName val="Revenue_Analysis12"/>
      <sheetName val="418115001_Grp_PrdEndInc__Targ12"/>
      <sheetName val="Revenue_&amp;_Bonus_Analysis12"/>
      <sheetName val="Statistics_{pbc}14"/>
      <sheetName val="BS100_NEW14"/>
      <sheetName val="Tenant_Data14"/>
      <sheetName val="Lookup_Tables14"/>
      <sheetName val="Table_3_-_Valuation14"/>
      <sheetName val="Summary_114"/>
      <sheetName val="TREND_P+L13"/>
      <sheetName val="Agency_Prod_Budg_Analysis12"/>
      <sheetName val="BUS_EXP_60"/>
      <sheetName val="30TH_FINANCIAL60"/>
      <sheetName val="INCOME_STATEMENT60"/>
      <sheetName val="BALSHEET_TEMPLATE60"/>
      <sheetName val="COMM&amp;FEES_TEMPLATE60"/>
      <sheetName val="LCY_BALSHEET_WKS60"/>
      <sheetName val="COMM_FEES_TEMPLATE60"/>
      <sheetName val="Staff_Debtors60"/>
      <sheetName val="AFRICA_OTH_temp59"/>
      <sheetName val="LINEBYLINE_temp59"/>
      <sheetName val="CAMEROON_temp59"/>
      <sheetName val="GHANA_temp59"/>
      <sheetName val="NIGERIA_temp59"/>
      <sheetName val="EAST_AFRICA_temp59"/>
      <sheetName val="REPORT_temp59"/>
      <sheetName val="SEYCHELLES_temp59"/>
      <sheetName val="Movement_Calc59"/>
      <sheetName val="MD&amp;A_201523"/>
      <sheetName val="Summary_BS23"/>
      <sheetName val="ANNUAL_CTC24"/>
      <sheetName val="chart__23"/>
      <sheetName val="All_Securities23"/>
      <sheetName val="Market_Data_Input23"/>
      <sheetName val="Wef_17Jun0518"/>
      <sheetName val="Journal_entries23"/>
      <sheetName val="Reserves_Breakdown18"/>
      <sheetName val="Journal_entries_-_Group15"/>
      <sheetName val="Recon__Matrix15"/>
      <sheetName val="Journal_entries(Coy)15"/>
      <sheetName val="TB_201313"/>
      <sheetName val="Extended_Trial_Balance_201313"/>
      <sheetName val="Cover_page13"/>
      <sheetName val="Corp_info_and_Opinion13"/>
      <sheetName val="SFP_and_P_or_L13"/>
      <sheetName val="Acc_pol13"/>
      <sheetName val="Acc_policy13"/>
      <sheetName val="Notes_to_account13"/>
      <sheetName val="Risk_mgt13"/>
      <sheetName val="Other_National_Disclosures13"/>
      <sheetName val="VAS_&amp;_Fin_Summ13"/>
      <sheetName val="Fin_summ13"/>
      <sheetName val="ADJ_-_201413"/>
      <sheetName val="ADJ_-_201313"/>
      <sheetName val="2015_SAP_Movement13"/>
      <sheetName val="2017_SAP_Movement13"/>
      <sheetName val="ADJ_-_201513"/>
      <sheetName val="Lease_Payment_Schedule13"/>
      <sheetName val="ADJ_-_201613"/>
      <sheetName val="ADJ_-_201713"/>
      <sheetName val="Prepayment_201713"/>
      <sheetName val="2017_Revenue_comp13"/>
      <sheetName val="Cash_and_Cash_Equivalent13"/>
      <sheetName val="Transactions_Reclassification13"/>
      <sheetName val="Prepayment_Movement13"/>
      <sheetName val="Intercompany_Payables13"/>
      <sheetName val="Realised_Exchange_Loss_Calc13"/>
      <sheetName val="Sheet6_(2)13"/>
      <sheetName val="2016_SAP_Movement13"/>
      <sheetName val="Revenue_Analysis13"/>
      <sheetName val="418115001_Grp_PrdEndInc__Targ13"/>
      <sheetName val="Revenue_&amp;_Bonus_Analysis13"/>
      <sheetName val="Statistics_{pbc}15"/>
      <sheetName val="BS100_NEW15"/>
      <sheetName val="Tenant_Data15"/>
      <sheetName val="Lookup_Tables15"/>
      <sheetName val="Table_3_-_Valuation15"/>
      <sheetName val="Summary_115"/>
      <sheetName val="TREND_P+L14"/>
      <sheetName val="Agency_Prod_Budg_Analysis13"/>
      <sheetName val="BUS_EXP_61"/>
      <sheetName val="30TH_FINANCIAL61"/>
      <sheetName val="INCOME_STATEMENT61"/>
      <sheetName val="BALSHEET_TEMPLATE61"/>
      <sheetName val="COMM&amp;FEES_TEMPLATE61"/>
      <sheetName val="LCY_BALSHEET_WKS61"/>
      <sheetName val="COMM_FEES_TEMPLATE61"/>
      <sheetName val="Staff_Debtors61"/>
      <sheetName val="AFRICA_OTH_temp60"/>
      <sheetName val="LINEBYLINE_temp60"/>
      <sheetName val="CAMEROON_temp60"/>
      <sheetName val="GHANA_temp60"/>
      <sheetName val="NIGERIA_temp60"/>
      <sheetName val="EAST_AFRICA_temp60"/>
      <sheetName val="REPORT_temp60"/>
      <sheetName val="SEYCHELLES_temp60"/>
      <sheetName val="IS_200719"/>
      <sheetName val="BS_200719"/>
      <sheetName val="CF_200719"/>
      <sheetName val="FC_start19"/>
      <sheetName val="Gx_200719"/>
      <sheetName val="Gx_adj19"/>
      <sheetName val="Gx_tax19"/>
      <sheetName val="Tx_200719"/>
      <sheetName val="Tx_adj19"/>
      <sheetName val="Tx_tax19"/>
      <sheetName val="Dx_200719"/>
      <sheetName val="Dx_adj19"/>
      <sheetName val="Dx_tax19"/>
      <sheetName val="Trex_200719"/>
      <sheetName val="Trex_adj19"/>
      <sheetName val="Trex_tax19"/>
      <sheetName val="Expx_200719"/>
      <sheetName val="Expx_tax19"/>
      <sheetName val="Expx_adj19"/>
      <sheetName val="Dsmx_200719"/>
      <sheetName val="Dsmx_adj19"/>
      <sheetName val="Dsmx_tax19"/>
      <sheetName val="Corpx_200719"/>
      <sheetName val="Corpx_adj19"/>
      <sheetName val="Corpx_tax19"/>
      <sheetName val="invx_200719"/>
      <sheetName val="capex_(2)19"/>
      <sheetName val="2007_TB19"/>
      <sheetName val="Revised_ending_2006_TB19"/>
      <sheetName val="Old_TB-_200719"/>
      <sheetName val="Movement_Calc60"/>
      <sheetName val="MD&amp;A_201524"/>
      <sheetName val="Summary_BS24"/>
      <sheetName val="ANNUAL_CTC25"/>
      <sheetName val="chart__24"/>
      <sheetName val="All_Securities24"/>
      <sheetName val="Market_Data_Input24"/>
      <sheetName val="Wef_17Jun0519"/>
      <sheetName val="Journal_entries24"/>
      <sheetName val="Reserves_Breakdown19"/>
      <sheetName val="Journal_entries_-_Group16"/>
      <sheetName val="Recon__Matrix16"/>
      <sheetName val="Journal_entries(Coy)16"/>
      <sheetName val="TB_201314"/>
      <sheetName val="Extended_Trial_Balance_201314"/>
      <sheetName val="Cover_page14"/>
      <sheetName val="Corp_info_and_Opinion14"/>
      <sheetName val="SFP_and_P_or_L14"/>
      <sheetName val="Acc_pol14"/>
      <sheetName val="Acc_policy14"/>
      <sheetName val="Notes_to_account14"/>
      <sheetName val="Risk_mgt14"/>
      <sheetName val="Other_National_Disclosures14"/>
      <sheetName val="VAS_&amp;_Fin_Summ14"/>
      <sheetName val="Fin_summ14"/>
      <sheetName val="ADJ_-_201414"/>
      <sheetName val="ADJ_-_201314"/>
      <sheetName val="2015_SAP_Movement14"/>
      <sheetName val="2017_SAP_Movement14"/>
      <sheetName val="ADJ_-_201514"/>
      <sheetName val="Lease_Payment_Schedule14"/>
      <sheetName val="ADJ_-_201614"/>
      <sheetName val="ADJ_-_201714"/>
      <sheetName val="Prepayment_201714"/>
      <sheetName val="2017_Revenue_comp14"/>
      <sheetName val="Cash_and_Cash_Equivalent14"/>
      <sheetName val="Transactions_Reclassification14"/>
      <sheetName val="Prepayment_Movement14"/>
      <sheetName val="Intercompany_Payables14"/>
      <sheetName val="Realised_Exchange_Loss_Calc14"/>
      <sheetName val="Sheet6_(2)14"/>
      <sheetName val="2016_SAP_Movement14"/>
      <sheetName val="Revenue_Analysis14"/>
      <sheetName val="418115001_Grp_PrdEndInc__Targ14"/>
      <sheetName val="Revenue_&amp;_Bonus_Analysis14"/>
      <sheetName val="Statistics_{pbc}16"/>
      <sheetName val="BS100_NEW16"/>
      <sheetName val="Tenant_Data16"/>
      <sheetName val="Lookup_Tables16"/>
      <sheetName val="Table_3_-_Valuation16"/>
      <sheetName val="Summary_116"/>
      <sheetName val="TREND_P+L15"/>
      <sheetName val="Agency_Prod_Budg_Analysis14"/>
      <sheetName val="Actual"/>
      <sheetName val="LE2"/>
      <sheetName val="Plan"/>
      <sheetName val="2004"/>
      <sheetName val="Budget -P&amp;L"/>
      <sheetName val="ControlDashBoard"/>
      <sheetName val="WP"/>
      <sheetName val="JNR-SALARY ADVANCE"/>
      <sheetName val="JNR-BIKE LOAN"/>
      <sheetName val="JNR-CAR LOAN"/>
      <sheetName val="JNR-GENERATOR"/>
      <sheetName val="JNR-HOME OWNERSHIP"/>
      <sheetName val="JNR-HOUSING"/>
      <sheetName val="JNR-SPECIAL LOAN"/>
      <sheetName val="BSNotes"/>
      <sheetName val="Library Procedures"/>
      <sheetName val="3. Movement schedule"/>
      <sheetName val="Note 4-12"/>
      <sheetName val="SOFP"/>
      <sheetName val="SPL"/>
      <sheetName val="Note 13 ppe"/>
      <sheetName val="Note_4-12"/>
      <sheetName val="Note_13_ppe"/>
      <sheetName val="Note_4-126"/>
      <sheetName val="Note_13_ppe6"/>
      <sheetName val="Note_4-121"/>
      <sheetName val="Note_13_ppe1"/>
      <sheetName val="Note_4-122"/>
      <sheetName val="Note_13_ppe2"/>
      <sheetName val="Note_4-123"/>
      <sheetName val="Note_13_ppe3"/>
      <sheetName val="Note_4-125"/>
      <sheetName val="Note_13_ppe5"/>
      <sheetName val="Note_4-124"/>
      <sheetName val="Note_13_ppe4"/>
      <sheetName val="Note_4-127"/>
      <sheetName val="Note_13_ppe7"/>
      <sheetName val="Note_4-128"/>
      <sheetName val="Note_13_ppe8"/>
      <sheetName val="Note_4-129"/>
      <sheetName val="Note_13_ppe9"/>
      <sheetName val="Cover sheet"/>
      <sheetName val="INTERCONTINENTAL"/>
      <sheetName val="INVEST_BANK_GROUP"/>
      <sheetName val="paye 3-1"/>
      <sheetName val="Per Plant"/>
      <sheetName val="June 2015 Upload"/>
      <sheetName val="Jan 21"/>
      <sheetName val="Target"/>
      <sheetName val="Branch Target (TL target)"/>
      <sheetName val="ID"/>
      <sheetName val="1000"/>
      <sheetName val="2000"/>
      <sheetName val="5000"/>
      <sheetName val="6000"/>
      <sheetName val="Parameters"/>
      <sheetName val="3000"/>
      <sheetName val="Sales table Poles"/>
      <sheetName val="Stock"/>
      <sheetName val="Debtors Age"/>
      <sheetName val="Dispatch Plan"/>
      <sheetName val="Oct"/>
      <sheetName val="Saw Mill FY20 Actual"/>
      <sheetName val="Sawmill FY19 Budget"/>
      <sheetName val="NAMES"/>
      <sheetName val="2005"/>
      <sheetName val="Economics"/>
      <sheetName val="AWARDED"/>
      <sheetName val="estgl81"/>
      <sheetName val="Convertible Bond"/>
      <sheetName val="12. Balance Sheet"/>
      <sheetName val="11. Income Statement"/>
      <sheetName val="TB2"/>
      <sheetName val="GHV"/>
      <sheetName val="IS_200720"/>
      <sheetName val="BS_200720"/>
      <sheetName val="CF_200720"/>
      <sheetName val="FC_start20"/>
      <sheetName val="Gx_200720"/>
      <sheetName val="Gx_adj20"/>
      <sheetName val="Gx_tax20"/>
      <sheetName val="Tx_200720"/>
      <sheetName val="Tx_adj20"/>
      <sheetName val="Tx_tax20"/>
      <sheetName val="Dx_200720"/>
      <sheetName val="Dx_adj20"/>
      <sheetName val="Dx_tax20"/>
      <sheetName val="Trex_200720"/>
      <sheetName val="Trex_adj20"/>
      <sheetName val="Trex_tax20"/>
      <sheetName val="Expx_200720"/>
      <sheetName val="Expx_tax20"/>
      <sheetName val="Expx_adj20"/>
      <sheetName val="Dsmx_200720"/>
      <sheetName val="Dsmx_adj20"/>
      <sheetName val="Dsmx_tax20"/>
      <sheetName val="Corpx_200720"/>
      <sheetName val="Corpx_adj20"/>
      <sheetName val="Corpx_tax20"/>
      <sheetName val="invx_200720"/>
      <sheetName val="capex_(2)20"/>
      <sheetName val="2007_TB20"/>
      <sheetName val="Revised_ending_2006_TB20"/>
      <sheetName val="Old_TB-_200720"/>
      <sheetName val="Preliminary_Tariff_Results5"/>
      <sheetName val="Scenario_Definitions5"/>
      <sheetName val="Leadway_jv5"/>
      <sheetName val="Princ_Arr5"/>
      <sheetName val="Int_Arr5"/>
      <sheetName val="NPV_calculator5"/>
      <sheetName val="Static_Data5"/>
      <sheetName val="DETAILED_BALSHT_VOL_PROJ6"/>
      <sheetName val="Amortisation_Schedule_(State)2"/>
      <sheetName val="Profit_&amp;_Loss2"/>
      <sheetName val="Balance_Sheet2"/>
      <sheetName val="TREND_PAL3"/>
      <sheetName val="EXTENDED_TRIAL_BALANCE-F2"/>
      <sheetName val="AUD_REPORT_CON'T2"/>
      <sheetName val="BAL_SHEET2"/>
      <sheetName val="NBC_Regrinding_Schedule2"/>
      <sheetName val="Regrinding_Workdays_Mapping2"/>
      <sheetName val="Sales,Prodn_&amp;_Stock2"/>
      <sheetName val="NBC_Regrind_consumption_&amp;_Stoc2"/>
      <sheetName val="Note_4-1212"/>
      <sheetName val="Note_13_ppe12"/>
      <sheetName val="Preliminary_Tariff_Results4"/>
      <sheetName val="Scenario_Definitions4"/>
      <sheetName val="Leadway_jv4"/>
      <sheetName val="Princ_Arr4"/>
      <sheetName val="Int_Arr4"/>
      <sheetName val="NPV_calculator4"/>
      <sheetName val="Static_Data4"/>
      <sheetName val="DETAILED_BALSHT_VOL_PROJ5"/>
      <sheetName val="Amortisation_Schedule_(State)1"/>
      <sheetName val="Profit_&amp;_Loss1"/>
      <sheetName val="Balance_Sheet1"/>
      <sheetName val="TREND_PAL2"/>
      <sheetName val="EXTENDED_TRIAL_BALANCE-F1"/>
      <sheetName val="AUD_REPORT_CON'T1"/>
      <sheetName val="BAL_SHEET1"/>
      <sheetName val="NBC_Regrinding_Schedule1"/>
      <sheetName val="Regrinding_Workdays_Mapping1"/>
      <sheetName val="Sales,Prodn_&amp;_Stock1"/>
      <sheetName val="NBC_Regrind_consumption_&amp;_Stoc1"/>
      <sheetName val="Note_4-1211"/>
      <sheetName val="Note_13_ppe11"/>
      <sheetName val="Amortisation_Schedule_(State)"/>
      <sheetName val="Profit_&amp;_Loss"/>
      <sheetName val="Balance_Sheet"/>
      <sheetName val="TREND_PAL1"/>
      <sheetName val="EXTENDED_TRIAL_BALANCE-F"/>
      <sheetName val="AUD_REPORT_CON'T"/>
      <sheetName val="BAL_SHEET"/>
      <sheetName val="NBC_Regrinding_Schedule"/>
      <sheetName val="Regrinding_Workdays_Mapping"/>
      <sheetName val="Sales,Prodn_&amp;_Stock"/>
      <sheetName val="NBC_Regrind_consumption_&amp;_Stock"/>
      <sheetName val="Note_4-1210"/>
      <sheetName val="Note_13_ppe10"/>
      <sheetName val="graph"/>
      <sheetName val="NBL-Main "/>
      <sheetName val="BUS_EXP_64"/>
      <sheetName val="30TH_FINANCIAL64"/>
      <sheetName val="INCOME_STATEMENT64"/>
      <sheetName val="BALSHEET_TEMPLATE64"/>
      <sheetName val="COMM&amp;FEES_TEMPLATE64"/>
      <sheetName val="LCY_BALSHEET_WKS64"/>
      <sheetName val="COMM_FEES_TEMPLATE64"/>
      <sheetName val="Staff_Debtors64"/>
      <sheetName val="AFRICA_OTH_temp63"/>
      <sheetName val="LINEBYLINE_temp63"/>
      <sheetName val="CAMEROON_temp63"/>
      <sheetName val="GHANA_temp63"/>
      <sheetName val="NIGERIA_temp63"/>
      <sheetName val="EAST_AFRICA_temp63"/>
      <sheetName val="REPORT_temp63"/>
      <sheetName val="SEYCHELLES_temp63"/>
      <sheetName val="Movement_Calc63"/>
      <sheetName val="ANNUAL_CTC28"/>
      <sheetName val="Summary_BS27"/>
      <sheetName val="MD&amp;A_201527"/>
      <sheetName val="All_Securities27"/>
      <sheetName val="Market_Data_Input27"/>
      <sheetName val="IS_200725"/>
      <sheetName val="BS_200725"/>
      <sheetName val="CF_200725"/>
      <sheetName val="FC_start25"/>
      <sheetName val="Gx_200725"/>
      <sheetName val="Gx_adj25"/>
      <sheetName val="Gx_tax25"/>
      <sheetName val="Tx_200725"/>
      <sheetName val="Tx_adj25"/>
      <sheetName val="Tx_tax25"/>
      <sheetName val="Dx_200725"/>
      <sheetName val="Dx_adj25"/>
      <sheetName val="Dx_tax25"/>
      <sheetName val="Trex_200725"/>
      <sheetName val="Trex_adj25"/>
      <sheetName val="Trex_tax25"/>
      <sheetName val="Expx_200725"/>
      <sheetName val="Expx_tax25"/>
      <sheetName val="Expx_adj25"/>
      <sheetName val="Dsmx_200725"/>
      <sheetName val="Dsmx_adj25"/>
      <sheetName val="Dsmx_tax25"/>
      <sheetName val="Corpx_200725"/>
      <sheetName val="Corpx_adj25"/>
      <sheetName val="Corpx_tax25"/>
      <sheetName val="invx_200725"/>
      <sheetName val="capex_(2)25"/>
      <sheetName val="2007_TB25"/>
      <sheetName val="Revised_ending_2006_TB25"/>
      <sheetName val="Old_TB-_200725"/>
      <sheetName val="Journal_entries27"/>
      <sheetName val="chart__27"/>
      <sheetName val="Reserves_Breakdown24"/>
      <sheetName val="Wef_17Jun0524"/>
      <sheetName val="IS_200721"/>
      <sheetName val="BS_200721"/>
      <sheetName val="CF_200721"/>
      <sheetName val="FC_start21"/>
      <sheetName val="Gx_200721"/>
      <sheetName val="Gx_adj21"/>
      <sheetName val="Gx_tax21"/>
      <sheetName val="Tx_200721"/>
      <sheetName val="Tx_adj21"/>
      <sheetName val="Tx_tax21"/>
      <sheetName val="Dx_200721"/>
      <sheetName val="Dx_adj21"/>
      <sheetName val="Dx_tax21"/>
      <sheetName val="Trex_200721"/>
      <sheetName val="Trex_adj21"/>
      <sheetName val="Trex_tax21"/>
      <sheetName val="Expx_200721"/>
      <sheetName val="Expx_tax21"/>
      <sheetName val="Expx_adj21"/>
      <sheetName val="Dsmx_200721"/>
      <sheetName val="Dsmx_adj21"/>
      <sheetName val="Dsmx_tax21"/>
      <sheetName val="Corpx_200721"/>
      <sheetName val="Corpx_adj21"/>
      <sheetName val="Corpx_tax21"/>
      <sheetName val="invx_200721"/>
      <sheetName val="capex_(2)21"/>
      <sheetName val="2007_TB21"/>
      <sheetName val="Revised_ending_2006_TB21"/>
      <sheetName val="Old_TB-_200721"/>
      <sheetName val="Reserves_Breakdown20"/>
      <sheetName val="Wef_17Jun0520"/>
      <sheetName val="IS_200722"/>
      <sheetName val="BS_200722"/>
      <sheetName val="CF_200722"/>
      <sheetName val="FC_start22"/>
      <sheetName val="Gx_200722"/>
      <sheetName val="Gx_adj22"/>
      <sheetName val="Gx_tax22"/>
      <sheetName val="Tx_200722"/>
      <sheetName val="Tx_adj22"/>
      <sheetName val="Tx_tax22"/>
      <sheetName val="Dx_200722"/>
      <sheetName val="Dx_adj22"/>
      <sheetName val="Dx_tax22"/>
      <sheetName val="Trex_200722"/>
      <sheetName val="Trex_adj22"/>
      <sheetName val="Trex_tax22"/>
      <sheetName val="Expx_200722"/>
      <sheetName val="Expx_tax22"/>
      <sheetName val="Expx_adj22"/>
      <sheetName val="Dsmx_200722"/>
      <sheetName val="Dsmx_adj22"/>
      <sheetName val="Dsmx_tax22"/>
      <sheetName val="Corpx_200722"/>
      <sheetName val="Corpx_adj22"/>
      <sheetName val="Corpx_tax22"/>
      <sheetName val="invx_200722"/>
      <sheetName val="capex_(2)22"/>
      <sheetName val="2007_TB22"/>
      <sheetName val="Revised_ending_2006_TB22"/>
      <sheetName val="Old_TB-_200722"/>
      <sheetName val="Reserves_Breakdown21"/>
      <sheetName val="Wef_17Jun0521"/>
      <sheetName val="Amortisation_Schedule_(State)3"/>
      <sheetName val="Profit_&amp;_Loss3"/>
      <sheetName val="Balance_Sheet3"/>
      <sheetName val="AUD_REPORT_CON'T3"/>
      <sheetName val="BAL_SHEET3"/>
      <sheetName val="BUS_EXP_62"/>
      <sheetName val="30TH_FINANCIAL62"/>
      <sheetName val="INCOME_STATEMENT62"/>
      <sheetName val="BALSHEET_TEMPLATE62"/>
      <sheetName val="COMM&amp;FEES_TEMPLATE62"/>
      <sheetName val="LCY_BALSHEET_WKS62"/>
      <sheetName val="COMM_FEES_TEMPLATE62"/>
      <sheetName val="Staff_Debtors62"/>
      <sheetName val="AFRICA_OTH_temp61"/>
      <sheetName val="LINEBYLINE_temp61"/>
      <sheetName val="CAMEROON_temp61"/>
      <sheetName val="GHANA_temp61"/>
      <sheetName val="NIGERIA_temp61"/>
      <sheetName val="EAST_AFRICA_temp61"/>
      <sheetName val="REPORT_temp61"/>
      <sheetName val="SEYCHELLES_temp61"/>
      <sheetName val="Movement_Calc61"/>
      <sheetName val="ANNUAL_CTC26"/>
      <sheetName val="Summary_BS25"/>
      <sheetName val="MD&amp;A_201525"/>
      <sheetName val="All_Securities25"/>
      <sheetName val="Market_Data_Input25"/>
      <sheetName val="IS_200723"/>
      <sheetName val="BS_200723"/>
      <sheetName val="CF_200723"/>
      <sheetName val="FC_start23"/>
      <sheetName val="Gx_200723"/>
      <sheetName val="Gx_adj23"/>
      <sheetName val="Gx_tax23"/>
      <sheetName val="Tx_200723"/>
      <sheetName val="Tx_adj23"/>
      <sheetName val="Tx_tax23"/>
      <sheetName val="Dx_200723"/>
      <sheetName val="Dx_adj23"/>
      <sheetName val="Dx_tax23"/>
      <sheetName val="Trex_200723"/>
      <sheetName val="Trex_adj23"/>
      <sheetName val="Trex_tax23"/>
      <sheetName val="Expx_200723"/>
      <sheetName val="Expx_tax23"/>
      <sheetName val="Expx_adj23"/>
      <sheetName val="Dsmx_200723"/>
      <sheetName val="Dsmx_adj23"/>
      <sheetName val="Dsmx_tax23"/>
      <sheetName val="Corpx_200723"/>
      <sheetName val="Corpx_adj23"/>
      <sheetName val="Corpx_tax23"/>
      <sheetName val="invx_200723"/>
      <sheetName val="capex_(2)23"/>
      <sheetName val="2007_TB23"/>
      <sheetName val="Revised_ending_2006_TB23"/>
      <sheetName val="Old_TB-_200723"/>
      <sheetName val="Journal_entries25"/>
      <sheetName val="chart__25"/>
      <sheetName val="Reserves_Breakdown22"/>
      <sheetName val="Wef_17Jun0522"/>
      <sheetName val="BUS_EXP_63"/>
      <sheetName val="30TH_FINANCIAL63"/>
      <sheetName val="INCOME_STATEMENT63"/>
      <sheetName val="BALSHEET_TEMPLATE63"/>
      <sheetName val="COMM&amp;FEES_TEMPLATE63"/>
      <sheetName val="LCY_BALSHEET_WKS63"/>
      <sheetName val="COMM_FEES_TEMPLATE63"/>
      <sheetName val="Staff_Debtors63"/>
      <sheetName val="AFRICA_OTH_temp62"/>
      <sheetName val="LINEBYLINE_temp62"/>
      <sheetName val="CAMEROON_temp62"/>
      <sheetName val="GHANA_temp62"/>
      <sheetName val="NIGERIA_temp62"/>
      <sheetName val="EAST_AFRICA_temp62"/>
      <sheetName val="REPORT_temp62"/>
      <sheetName val="SEYCHELLES_temp62"/>
      <sheetName val="Movement_Calc62"/>
      <sheetName val="ANNUAL_CTC27"/>
      <sheetName val="Summary_BS26"/>
      <sheetName val="MD&amp;A_201526"/>
      <sheetName val="All_Securities26"/>
      <sheetName val="Market_Data_Input26"/>
      <sheetName val="IS_200724"/>
      <sheetName val="BS_200724"/>
      <sheetName val="CF_200724"/>
      <sheetName val="FC_start24"/>
      <sheetName val="Gx_200724"/>
      <sheetName val="Gx_adj24"/>
      <sheetName val="Gx_tax24"/>
      <sheetName val="Tx_200724"/>
      <sheetName val="Tx_adj24"/>
      <sheetName val="Tx_tax24"/>
      <sheetName val="Dx_200724"/>
      <sheetName val="Dx_adj24"/>
      <sheetName val="Dx_tax24"/>
      <sheetName val="Trex_200724"/>
      <sheetName val="Trex_adj24"/>
      <sheetName val="Trex_tax24"/>
      <sheetName val="Expx_200724"/>
      <sheetName val="Expx_tax24"/>
      <sheetName val="Expx_adj24"/>
      <sheetName val="Dsmx_200724"/>
      <sheetName val="Dsmx_adj24"/>
      <sheetName val="Dsmx_tax24"/>
      <sheetName val="Corpx_200724"/>
      <sheetName val="Corpx_adj24"/>
      <sheetName val="Corpx_tax24"/>
      <sheetName val="invx_200724"/>
      <sheetName val="capex_(2)24"/>
      <sheetName val="2007_TB24"/>
      <sheetName val="Revised_ending_2006_TB24"/>
      <sheetName val="Old_TB-_200724"/>
      <sheetName val="Journal_entries26"/>
      <sheetName val="chart__26"/>
      <sheetName val="Reserves_Breakdown23"/>
      <sheetName val="Wef_17Jun0523"/>
      <sheetName val="BUS_EXP_65"/>
      <sheetName val="30TH_FINANCIAL65"/>
      <sheetName val="INCOME_STATEMENT65"/>
      <sheetName val="BALSHEET_TEMPLATE65"/>
      <sheetName val="COMM&amp;FEES_TEMPLATE65"/>
      <sheetName val="LCY_BALSHEET_WKS65"/>
      <sheetName val="COMM_FEES_TEMPLATE65"/>
      <sheetName val="Staff_Debtors65"/>
      <sheetName val="AFRICA_OTH_temp64"/>
      <sheetName val="LINEBYLINE_temp64"/>
      <sheetName val="CAMEROON_temp64"/>
      <sheetName val="GHANA_temp64"/>
      <sheetName val="NIGERIA_temp64"/>
      <sheetName val="EAST_AFRICA_temp64"/>
      <sheetName val="REPORT_temp64"/>
      <sheetName val="SEYCHELLES_temp64"/>
      <sheetName val="Movement_Calc64"/>
      <sheetName val="ANNUAL_CTC29"/>
      <sheetName val="Summary_BS28"/>
      <sheetName val="All_Securities28"/>
      <sheetName val="Market_Data_Input28"/>
      <sheetName val="MD&amp;A_201528"/>
      <sheetName val="chart__28"/>
      <sheetName val="Journal_entries28"/>
      <sheetName val="IS_200726"/>
      <sheetName val="BS_200726"/>
      <sheetName val="CF_200726"/>
      <sheetName val="FC_start26"/>
      <sheetName val="Gx_200726"/>
      <sheetName val="Gx_adj26"/>
      <sheetName val="Gx_tax26"/>
      <sheetName val="Tx_200726"/>
      <sheetName val="Tx_adj26"/>
      <sheetName val="Tx_tax26"/>
      <sheetName val="Dx_200726"/>
      <sheetName val="Dx_adj26"/>
      <sheetName val="Dx_tax26"/>
      <sheetName val="Trex_200726"/>
      <sheetName val="Trex_adj26"/>
      <sheetName val="Trex_tax26"/>
      <sheetName val="Expx_200726"/>
      <sheetName val="Expx_tax26"/>
      <sheetName val="Expx_adj26"/>
      <sheetName val="Dsmx_200726"/>
      <sheetName val="Dsmx_adj26"/>
      <sheetName val="Dsmx_tax26"/>
      <sheetName val="Corpx_200726"/>
      <sheetName val="Corpx_adj26"/>
      <sheetName val="Corpx_tax26"/>
      <sheetName val="invx_200726"/>
      <sheetName val="capex_(2)26"/>
      <sheetName val="2007_TB26"/>
      <sheetName val="Revised_ending_2006_TB26"/>
      <sheetName val="Old_TB-_200726"/>
      <sheetName val="Wef_17Jun0525"/>
      <sheetName val="Reserves_Breakdown25"/>
      <sheetName val="Technial Budget Assumptions"/>
      <sheetName val="HR - Subscription"/>
      <sheetName val="Legal"/>
      <sheetName val="ActivityData"/>
      <sheetName val="Jul-99(1)"/>
      <sheetName val="pcQueryData"/>
      <sheetName val="Analysis"/>
      <sheetName val="BUS_EXP_66"/>
      <sheetName val="30TH_FINANCIAL66"/>
      <sheetName val="INCOME_STATEMENT66"/>
      <sheetName val="BALSHEET_TEMPLATE66"/>
      <sheetName val="COMM&amp;FEES_TEMPLATE66"/>
      <sheetName val="LCY_BALSHEET_WKS66"/>
      <sheetName val="COMM_FEES_TEMPLATE66"/>
      <sheetName val="Staff_Debtors66"/>
      <sheetName val="AFRICA_OTH_temp65"/>
      <sheetName val="LINEBYLINE_temp65"/>
      <sheetName val="CAMEROON_temp65"/>
      <sheetName val="GHANA_temp65"/>
      <sheetName val="NIGERIA_temp65"/>
      <sheetName val="EAST_AFRICA_temp65"/>
      <sheetName val="REPORT_temp65"/>
      <sheetName val="SEYCHELLES_temp65"/>
      <sheetName val="Movement_Calc65"/>
      <sheetName val="ANNUAL_CTC30"/>
      <sheetName val="Summary_BS29"/>
      <sheetName val="All_Securities29"/>
      <sheetName val="Market_Data_Input29"/>
      <sheetName val="MD&amp;A_201529"/>
      <sheetName val="chart__29"/>
      <sheetName val="Wef_17Jun0526"/>
      <sheetName val="Journal_entries29"/>
      <sheetName val="Reserves_Breakdown26"/>
      <sheetName val="IS_200727"/>
      <sheetName val="BS_200727"/>
      <sheetName val="CF_200727"/>
      <sheetName val="FC_start27"/>
      <sheetName val="Gx_200727"/>
      <sheetName val="Gx_adj27"/>
      <sheetName val="Gx_tax27"/>
      <sheetName val="Tx_200727"/>
      <sheetName val="Tx_adj27"/>
      <sheetName val="Tx_tax27"/>
      <sheetName val="Dx_200727"/>
      <sheetName val="Dx_adj27"/>
      <sheetName val="Dx_tax27"/>
      <sheetName val="Trex_200727"/>
      <sheetName val="Trex_adj27"/>
      <sheetName val="Trex_tax27"/>
      <sheetName val="Expx_200727"/>
      <sheetName val="Expx_tax27"/>
      <sheetName val="Expx_adj27"/>
      <sheetName val="Dsmx_200727"/>
      <sheetName val="Dsmx_adj27"/>
      <sheetName val="Dsmx_tax27"/>
      <sheetName val="Corpx_200727"/>
      <sheetName val="Corpx_adj27"/>
      <sheetName val="Corpx_tax27"/>
      <sheetName val="invx_200727"/>
      <sheetName val="capex_(2)27"/>
      <sheetName val="2007_TB27"/>
      <sheetName val="Revised_ending_2006_TB27"/>
      <sheetName val="Old_TB-_200727"/>
      <sheetName val="Journal_entries_-_Group17"/>
      <sheetName val="Journal_entries(Coy)17"/>
      <sheetName val="Statistics_{pbc}17"/>
      <sheetName val="BS100_NEW17"/>
      <sheetName val="Tenant_Data17"/>
      <sheetName val="Lookup_Tables17"/>
      <sheetName val="Table_3_-_Valuation17"/>
      <sheetName val="Summary_117"/>
      <sheetName val="Recon__Matrix17"/>
      <sheetName val="TB_201315"/>
      <sheetName val="Extended_Trial_Balance_201315"/>
      <sheetName val="Cover_page15"/>
      <sheetName val="Corp_info_and_Opinion15"/>
      <sheetName val="SFP_and_P_or_L15"/>
      <sheetName val="Acc_pol15"/>
      <sheetName val="Acc_policy15"/>
      <sheetName val="Notes_to_account15"/>
      <sheetName val="Risk_mgt15"/>
      <sheetName val="Other_National_Disclosures15"/>
      <sheetName val="VAS_&amp;_Fin_Summ15"/>
      <sheetName val="Fin_summ15"/>
      <sheetName val="ADJ_-_201415"/>
      <sheetName val="ADJ_-_201315"/>
      <sheetName val="2015_SAP_Movement15"/>
      <sheetName val="2017_SAP_Movement15"/>
      <sheetName val="ADJ_-_201515"/>
      <sheetName val="Lease_Payment_Schedule15"/>
      <sheetName val="ADJ_-_201615"/>
      <sheetName val="ADJ_-_201715"/>
      <sheetName val="Prepayment_201715"/>
      <sheetName val="2017_Revenue_comp15"/>
      <sheetName val="Cash_and_Cash_Equivalent15"/>
      <sheetName val="Transactions_Reclassification15"/>
      <sheetName val="Prepayment_Movement15"/>
      <sheetName val="Intercompany_Payables15"/>
      <sheetName val="Realised_Exchange_Loss_Calc15"/>
      <sheetName val="Sheet6_(2)15"/>
      <sheetName val="2016_SAP_Movement15"/>
      <sheetName val="Revenue_Analysis15"/>
      <sheetName val="418115001_Grp_PrdEndInc__Targ15"/>
      <sheetName val="Revenue_&amp;_Bonus_Analysis15"/>
      <sheetName val="TREND_P+L16"/>
      <sheetName val="Agency_Prod_Budg_Analysis15"/>
      <sheetName val="Profit_&amp;_Loss4"/>
      <sheetName val="Balance_Sheet4"/>
      <sheetName val="TREND_PAL4"/>
      <sheetName val="AUD_REPORT_CON'T4"/>
      <sheetName val="BAL_SHEET4"/>
      <sheetName val="Amortisation_Schedule_(State)4"/>
      <sheetName val="GL_PnL"/>
      <sheetName val="Fixed_Assets_Schedule"/>
      <sheetName val="JNR-SALARY_ADVANCE"/>
      <sheetName val="JNR-BIKE_LOAN"/>
      <sheetName val="JNR-CAR_LOAN"/>
      <sheetName val="JNR-HOME_OWNERSHIP"/>
      <sheetName val="JNR-SPECIAL_LOAN"/>
      <sheetName val="Cover_sheet"/>
      <sheetName val="Technial_Budget_Assumptions"/>
      <sheetName val="HR_-_Subscription"/>
      <sheetName val="paye_3-1"/>
      <sheetName val="Convertible_Bond"/>
      <sheetName val="Per_Plant"/>
      <sheetName val="June_2015_Upload"/>
      <sheetName val="Jan_21"/>
      <sheetName val="Branch_Target_(TL_target)"/>
      <sheetName val="Sales_table_Poles"/>
      <sheetName val="Debtors_Age"/>
      <sheetName val="Dispatch_Plan"/>
      <sheetName val="Saw_Mill_FY20_Actual"/>
      <sheetName val="Sawmill_FY19_Budget"/>
      <sheetName val="DETAILED_BALSHT_VOL_PROJ7"/>
      <sheetName val="Leadway_jv6"/>
      <sheetName val="Static_Data6"/>
      <sheetName val="Preliminary_Tariff_Results6"/>
      <sheetName val="Scenario_Definitions6"/>
      <sheetName val="Princ_Arr6"/>
      <sheetName val="Int_Arr6"/>
      <sheetName val="NPV_calculator6"/>
      <sheetName val="EXTENDED_TRIAL_BALANCE-F3"/>
      <sheetName val="NBL-Main_"/>
      <sheetName val="NBC_Regrinding_Schedule3"/>
      <sheetName val="Regrinding_Workdays_Mapping3"/>
      <sheetName val="Sales,Prodn_&amp;_Stock3"/>
      <sheetName val="NBC_Regrind_consumption_&amp;_Stoc3"/>
      <sheetName val="Budget_-P&amp;L"/>
      <sheetName val="Library_Procedures"/>
      <sheetName val="3__Movement_schedule"/>
      <sheetName val="Note_4-1213"/>
      <sheetName val="Note_13_ppe13"/>
      <sheetName val="12__Balance_Sheet"/>
      <sheetName val="11__Income_Statement"/>
      <sheetName val="N-Client Information"/>
      <sheetName val="Names All"/>
      <sheetName val="CONTROL"/>
      <sheetName val="Front Page"/>
      <sheetName val="work3"/>
      <sheetName val="specs"/>
      <sheetName val="avebs"/>
      <sheetName val="Lead Schedule"/>
      <sheetName val="Amortisation_Schedule_(State)5"/>
      <sheetName val="TREND_PAL5"/>
      <sheetName val="Profit_&amp;_Loss5"/>
      <sheetName val="Balance_Sheet5"/>
      <sheetName val="AUD_REPORT_CON'T5"/>
      <sheetName val="BAL_SHEET5"/>
      <sheetName val="BUS_EXP_67"/>
      <sheetName val="30TH_FINANCIAL67"/>
      <sheetName val="INCOME_STATEMENT67"/>
      <sheetName val="BALSHEET_TEMPLATE67"/>
      <sheetName val="COMM&amp;FEES_TEMPLATE67"/>
      <sheetName val="LCY_BALSHEET_WKS67"/>
      <sheetName val="COMM_FEES_TEMPLATE67"/>
      <sheetName val="Staff_Debtors67"/>
      <sheetName val="AFRICA_OTH_temp66"/>
      <sheetName val="LINEBYLINE_temp66"/>
      <sheetName val="CAMEROON_temp66"/>
      <sheetName val="GHANA_temp66"/>
      <sheetName val="NIGERIA_temp66"/>
      <sheetName val="EAST_AFRICA_temp66"/>
      <sheetName val="REPORT_temp66"/>
      <sheetName val="SEYCHELLES_temp66"/>
      <sheetName val="Movement_Calc66"/>
      <sheetName val="ANNUAL_CTC31"/>
      <sheetName val="Summary_BS30"/>
      <sheetName val="MD&amp;A_201530"/>
      <sheetName val="All_Securities30"/>
      <sheetName val="Market_Data_Input30"/>
      <sheetName val="IS_200728"/>
      <sheetName val="BS_200728"/>
      <sheetName val="CF_200728"/>
      <sheetName val="FC_start28"/>
      <sheetName val="Gx_200728"/>
      <sheetName val="Gx_adj28"/>
      <sheetName val="Gx_tax28"/>
      <sheetName val="Tx_200728"/>
      <sheetName val="Tx_adj28"/>
      <sheetName val="Tx_tax28"/>
      <sheetName val="Dx_200728"/>
      <sheetName val="Dx_adj28"/>
      <sheetName val="Dx_tax28"/>
      <sheetName val="Trex_200728"/>
      <sheetName val="Trex_adj28"/>
      <sheetName val="Trex_tax28"/>
      <sheetName val="Expx_200728"/>
      <sheetName val="Expx_tax28"/>
      <sheetName val="Expx_adj28"/>
      <sheetName val="Dsmx_200728"/>
      <sheetName val="Dsmx_adj28"/>
      <sheetName val="Dsmx_tax28"/>
      <sheetName val="Corpx_200728"/>
      <sheetName val="Corpx_adj28"/>
      <sheetName val="Corpx_tax28"/>
      <sheetName val="invx_200728"/>
      <sheetName val="capex_(2)28"/>
      <sheetName val="2007_TB28"/>
      <sheetName val="Revised_ending_2006_TB28"/>
      <sheetName val="Old_TB-_200728"/>
      <sheetName val="Journal_entries30"/>
      <sheetName val="chart__30"/>
      <sheetName val="Reserves_Breakdown27"/>
      <sheetName val="Wef_17Jun0527"/>
      <sheetName val="Amortisation_Schedule_(State)6"/>
      <sheetName val="TREND_PAL6"/>
      <sheetName val="Profit_&amp;_Loss6"/>
      <sheetName val="Balance_Sheet6"/>
      <sheetName val="AUD_REPORT_CON'T6"/>
      <sheetName val="BAL_SHEET6"/>
      <sheetName val="ASSUMPTIONS AND BOND LIST"/>
      <sheetName val="Public Holidays"/>
      <sheetName val="Currency"/>
      <sheetName val="TBILLS-HTM"/>
      <sheetName val="Contr-3510"/>
      <sheetName val="PD Computation Model"/>
      <sheetName val="Historical Info"/>
      <sheetName val="DAILY COLLECTIONS"/>
      <sheetName val="Additional Provisions"/>
      <sheetName val="Mar 05-Manual Accruals"/>
      <sheetName val="Preliminary_Tariff_Results7"/>
      <sheetName val="Scenario_Definitions7"/>
      <sheetName val="Leadway_jv7"/>
      <sheetName val="Princ_Arr7"/>
      <sheetName val="Int_Arr7"/>
      <sheetName val="NPV_calculator7"/>
      <sheetName val="Static_Data7"/>
      <sheetName val="DETAILED_BALSHT_VOL_PROJ8"/>
      <sheetName val="EXTENDED_TRIAL_BALANCE-F4"/>
      <sheetName val="NBC_Regrinding_Schedule4"/>
      <sheetName val="Regrinding_Workdays_Mapping4"/>
      <sheetName val="Sales,Prodn_&amp;_Stock4"/>
      <sheetName val="NBC_Regrind_consumption_&amp;_Stoc4"/>
      <sheetName val="Note_4-1214"/>
      <sheetName val="Note_13_ppe14"/>
      <sheetName val="Journal_entries_-_Group18"/>
      <sheetName val="Preliminary_Tariff_Results8"/>
      <sheetName val="Scenario_Definitions8"/>
      <sheetName val="Leadway_jv8"/>
      <sheetName val="Princ_Arr8"/>
      <sheetName val="Int_Arr8"/>
      <sheetName val="NPV_calculator8"/>
      <sheetName val="Static_Data8"/>
      <sheetName val="DETAILED_BALSHT_VOL_PROJ9"/>
      <sheetName val="EXTENDED_TRIAL_BALANCE-F5"/>
      <sheetName val="NBC_Regrinding_Schedule5"/>
      <sheetName val="Regrinding_Workdays_Mapping5"/>
      <sheetName val="Sales,Prodn_&amp;_Stock5"/>
      <sheetName val="NBC_Regrind_consumption_&amp;_Stoc5"/>
      <sheetName val="Note_4-1215"/>
      <sheetName val="Note_13_ppe15"/>
      <sheetName val="Journal_entries_-_Group19"/>
      <sheetName val="Preliminary_Tariff_Results9"/>
      <sheetName val="Scenario_Definitions9"/>
      <sheetName val="Leadway_jv9"/>
      <sheetName val="Princ_Arr9"/>
      <sheetName val="Int_Arr9"/>
      <sheetName val="NPV_calculator9"/>
      <sheetName val="Static_Data9"/>
      <sheetName val="DETAILED_BALSHT_VOL_PROJ10"/>
      <sheetName val="TREND_PAL7"/>
      <sheetName val="EXTENDED_TRIAL_BALANCE-F6"/>
      <sheetName val="NBC_Regrinding_Schedule6"/>
      <sheetName val="Regrinding_Workdays_Mapping6"/>
      <sheetName val="Sales,Prodn_&amp;_Stock6"/>
      <sheetName val="NBC_Regrind_consumption_&amp;_Stoc6"/>
      <sheetName val="Note_4-1216"/>
      <sheetName val="Note_13_ppe16"/>
      <sheetName val="C-Client Information"/>
      <sheetName val="AWARDED (2)"/>
      <sheetName val="Schedule 2010"/>
      <sheetName val="AFE"/>
      <sheetName val="Paramaters"/>
      <sheetName val="Budget"/>
      <sheetName val="RE 2"/>
      <sheetName val="SCH A"/>
      <sheetName val="SCH Q"/>
      <sheetName val="SCH C Charts"/>
      <sheetName val="SCH D"/>
      <sheetName val="Budget - Coy_Total_Product"/>
      <sheetName val="Budget Coy_Total_Volume"/>
      <sheetName val="MARŻA-bank"/>
      <sheetName val="BUS_EXP_68"/>
      <sheetName val="30TH_FINANCIAL68"/>
      <sheetName val="INCOME_STATEMENT68"/>
      <sheetName val="BALSHEET_TEMPLATE68"/>
      <sheetName val="COMM&amp;FEES_TEMPLATE68"/>
      <sheetName val="LCY_BALSHEET_WKS68"/>
      <sheetName val="COMM_FEES_TEMPLATE68"/>
      <sheetName val="Staff_Debtors68"/>
      <sheetName val="AFRICA_OTH_temp67"/>
      <sheetName val="LINEBYLINE_temp67"/>
      <sheetName val="CAMEROON_temp67"/>
      <sheetName val="GHANA_temp67"/>
      <sheetName val="NIGERIA_temp67"/>
      <sheetName val="EAST_AFRICA_temp67"/>
      <sheetName val="REPORT_temp67"/>
      <sheetName val="SEYCHELLES_temp67"/>
      <sheetName val="Movement_Calc67"/>
      <sheetName val="ANNUAL_CTC32"/>
      <sheetName val="Summary_BS31"/>
      <sheetName val="MD&amp;A_201531"/>
      <sheetName val="All_Securities31"/>
      <sheetName val="Market_Data_Input31"/>
      <sheetName val="Journal_entries31"/>
      <sheetName val="chart__31"/>
      <sheetName val="Wef_17Jun0528"/>
      <sheetName val="Reserves_Breakdown28"/>
      <sheetName val="IS_200729"/>
      <sheetName val="BS_200729"/>
      <sheetName val="CF_200729"/>
      <sheetName val="FC_start29"/>
      <sheetName val="Gx_200729"/>
      <sheetName val="Gx_adj29"/>
      <sheetName val="Gx_tax29"/>
      <sheetName val="Tx_200729"/>
      <sheetName val="Tx_adj29"/>
      <sheetName val="Tx_tax29"/>
      <sheetName val="Dx_200729"/>
      <sheetName val="Dx_adj29"/>
      <sheetName val="Dx_tax29"/>
      <sheetName val="Trex_200729"/>
      <sheetName val="Trex_adj29"/>
      <sheetName val="Trex_tax29"/>
      <sheetName val="Expx_200729"/>
      <sheetName val="Expx_tax29"/>
      <sheetName val="Expx_adj29"/>
      <sheetName val="Dsmx_200729"/>
      <sheetName val="Dsmx_adj29"/>
      <sheetName val="Dsmx_tax29"/>
      <sheetName val="Corpx_200729"/>
      <sheetName val="Corpx_adj29"/>
      <sheetName val="Corpx_tax29"/>
      <sheetName val="invx_200729"/>
      <sheetName val="capex_(2)29"/>
      <sheetName val="2007_TB29"/>
      <sheetName val="Revised_ending_2006_TB29"/>
      <sheetName val="Old_TB-_200729"/>
      <sheetName val="Journal_entries_-_Group20"/>
      <sheetName val="DETAILED_BALSHT_VOL_PROJ11"/>
      <sheetName val="Leadway_jv10"/>
      <sheetName val="Static_Data10"/>
      <sheetName val="Preliminary_Tariff_Results10"/>
      <sheetName val="Scenario_Definitions10"/>
      <sheetName val="Princ_Arr10"/>
      <sheetName val="Int_Arr10"/>
      <sheetName val="NPV_calculator10"/>
      <sheetName val="TREND_PAL8"/>
      <sheetName val="Amortisation_Schedule_(State)7"/>
      <sheetName val="Profit_&amp;_Loss7"/>
      <sheetName val="Balance_Sheet7"/>
      <sheetName val="EXTENDED_TRIAL_BALANCE-F7"/>
      <sheetName val="AUD_REPORT_CON'T7"/>
      <sheetName val="BAL_SHEET7"/>
      <sheetName val="NBC_Regrinding_Schedule7"/>
      <sheetName val="Regrinding_Workdays_Mapping7"/>
      <sheetName val="Sales,Prodn_&amp;_Stock7"/>
      <sheetName val="NBC_Regrind_consumption_&amp;_Stoc7"/>
      <sheetName val="Front_Page"/>
      <sheetName val="Lead_Schedule"/>
      <sheetName val="ASSUMPTIONS_AND_BOND_LIST"/>
      <sheetName val="Public_Holidays"/>
      <sheetName val="PD_Computation_Model"/>
      <sheetName val="Historical_Info"/>
      <sheetName val="DAILY_COLLECTIONS"/>
      <sheetName val="Additional_Provisions"/>
      <sheetName val="Mar_05-Manual_Accruals"/>
      <sheetName val="Note_4-1217"/>
      <sheetName val="Note_13_ppe17"/>
      <sheetName val="C-Client_Information"/>
      <sheetName val="AWARDED_(2)"/>
      <sheetName val="Schedule_2010"/>
      <sheetName val="BUS_EXP_69"/>
      <sheetName val="30TH_FINANCIAL69"/>
      <sheetName val="INCOME_STATEMENT69"/>
      <sheetName val="BALSHEET_TEMPLATE69"/>
      <sheetName val="COMM&amp;FEES_TEMPLATE69"/>
      <sheetName val="LCY_BALSHEET_WKS69"/>
      <sheetName val="COMM_FEES_TEMPLATE69"/>
      <sheetName val="Staff_Debtors69"/>
      <sheetName val="AFRICA_OTH_temp68"/>
      <sheetName val="LINEBYLINE_temp68"/>
      <sheetName val="CAMEROON_temp68"/>
      <sheetName val="GHANA_temp68"/>
      <sheetName val="NIGERIA_temp68"/>
      <sheetName val="EAST_AFRICA_temp68"/>
      <sheetName val="REPORT_temp68"/>
      <sheetName val="SEYCHELLES_temp68"/>
      <sheetName val="Movement_Calc68"/>
      <sheetName val="ANNUAL_CTC33"/>
      <sheetName val="Summary_BS32"/>
      <sheetName val="MD&amp;A_201532"/>
      <sheetName val="All_Securities32"/>
      <sheetName val="Market_Data_Input32"/>
      <sheetName val="Journal_entries32"/>
      <sheetName val="chart__32"/>
      <sheetName val="Wef_17Jun0529"/>
      <sheetName val="Reserves_Breakdown29"/>
      <sheetName val="IS_200730"/>
      <sheetName val="BS_200730"/>
      <sheetName val="CF_200730"/>
      <sheetName val="FC_start30"/>
      <sheetName val="Gx_200730"/>
      <sheetName val="Gx_adj30"/>
      <sheetName val="Gx_tax30"/>
      <sheetName val="Tx_200730"/>
      <sheetName val="Tx_adj30"/>
      <sheetName val="Tx_tax30"/>
      <sheetName val="Dx_200730"/>
      <sheetName val="Dx_adj30"/>
      <sheetName val="Dx_tax30"/>
      <sheetName val="Trex_200730"/>
      <sheetName val="Trex_adj30"/>
      <sheetName val="Trex_tax30"/>
      <sheetName val="Expx_200730"/>
      <sheetName val="Expx_tax30"/>
      <sheetName val="Expx_adj30"/>
      <sheetName val="Dsmx_200730"/>
      <sheetName val="Dsmx_adj30"/>
      <sheetName val="Dsmx_tax30"/>
      <sheetName val="Corpx_200730"/>
      <sheetName val="Corpx_adj30"/>
      <sheetName val="Corpx_tax30"/>
      <sheetName val="invx_200730"/>
      <sheetName val="capex_(2)30"/>
      <sheetName val="2007_TB30"/>
      <sheetName val="Revised_ending_2006_TB30"/>
      <sheetName val="Old_TB-_200730"/>
      <sheetName val="Journal_entries(Coy)18"/>
      <sheetName val="Journal_entries_-_Group21"/>
      <sheetName val="Statistics_{pbc}18"/>
      <sheetName val="BS100_NEW18"/>
      <sheetName val="Tenant_Data18"/>
      <sheetName val="Lookup_Tables18"/>
      <sheetName val="Table_3_-_Valuation18"/>
      <sheetName val="Summary_118"/>
      <sheetName val="TB_201316"/>
      <sheetName val="Extended_Trial_Balance_201316"/>
      <sheetName val="Cover_page16"/>
      <sheetName val="Corp_info_and_Opinion16"/>
      <sheetName val="SFP_and_P_or_L16"/>
      <sheetName val="Acc_pol16"/>
      <sheetName val="Acc_policy16"/>
      <sheetName val="Notes_to_account16"/>
      <sheetName val="Risk_mgt16"/>
      <sheetName val="Other_National_Disclosures16"/>
      <sheetName val="VAS_&amp;_Fin_Summ16"/>
      <sheetName val="Fin_summ16"/>
      <sheetName val="ADJ_-_201416"/>
      <sheetName val="ADJ_-_201316"/>
      <sheetName val="2015_SAP_Movement16"/>
      <sheetName val="2017_SAP_Movement16"/>
      <sheetName val="ADJ_-_201516"/>
      <sheetName val="Lease_Payment_Schedule16"/>
      <sheetName val="ADJ_-_201616"/>
      <sheetName val="ADJ_-_201716"/>
      <sheetName val="Prepayment_201716"/>
      <sheetName val="2017_Revenue_comp16"/>
      <sheetName val="Cash_and_Cash_Equivalent16"/>
      <sheetName val="Transactions_Reclassification16"/>
      <sheetName val="Prepayment_Movement16"/>
      <sheetName val="Intercompany_Payables16"/>
      <sheetName val="Realised_Exchange_Loss_Calc16"/>
      <sheetName val="Sheet6_(2)16"/>
      <sheetName val="2016_SAP_Movement16"/>
      <sheetName val="Revenue_Analysis16"/>
      <sheetName val="418115001_Grp_PrdEndInc__Targ16"/>
      <sheetName val="Revenue_&amp;_Bonus_Analysis16"/>
      <sheetName val="TREND_P+L17"/>
      <sheetName val="Recon__Matrix18"/>
      <sheetName val="Agency_Prod_Budg_Analysis16"/>
      <sheetName val="DETAILED_BALSHT_VOL_PROJ12"/>
      <sheetName val="Leadway_jv11"/>
      <sheetName val="Static_Data11"/>
      <sheetName val="Preliminary_Tariff_Results11"/>
      <sheetName val="Scenario_Definitions11"/>
      <sheetName val="Princ_Arr11"/>
      <sheetName val="Int_Arr11"/>
      <sheetName val="NPV_calculator11"/>
      <sheetName val="TREND_PAL9"/>
      <sheetName val="Amortisation_Schedule_(State)8"/>
      <sheetName val="Profit_&amp;_Loss8"/>
      <sheetName val="Balance_Sheet8"/>
      <sheetName val="EXTENDED_TRIAL_BALANCE-F8"/>
      <sheetName val="AUD_REPORT_CON'T8"/>
      <sheetName val="BAL_SHEET8"/>
      <sheetName val="GL_PnL1"/>
      <sheetName val="NBC_Regrinding_Schedule8"/>
      <sheetName val="Regrinding_Workdays_Mapping8"/>
      <sheetName val="Sales,Prodn_&amp;_Stock8"/>
      <sheetName val="NBC_Regrind_consumption_&amp;_Stoc8"/>
      <sheetName val="paye_3-11"/>
      <sheetName val="Fixed_Assets_Schedule1"/>
      <sheetName val="Convertible_Bond1"/>
      <sheetName val="12__Balance_Sheet1"/>
      <sheetName val="11__Income_Statement1"/>
      <sheetName val="JNR-SALARY_ADVANCE1"/>
      <sheetName val="JNR-BIKE_LOAN1"/>
      <sheetName val="JNR-CAR_LOAN1"/>
      <sheetName val="JNR-HOME_OWNERSHIP1"/>
      <sheetName val="JNR-SPECIAL_LOAN1"/>
      <sheetName val="Cover_sheet1"/>
      <sheetName val="Technial_Budget_Assumptions1"/>
      <sheetName val="HR_-_Subscription1"/>
      <sheetName val="Per_Plant1"/>
      <sheetName val="June_2015_Upload1"/>
      <sheetName val="Jan_211"/>
      <sheetName val="Branch_Target_(TL_target)1"/>
      <sheetName val="Sales_table_Poles1"/>
      <sheetName val="Debtors_Age1"/>
      <sheetName val="Dispatch_Plan1"/>
      <sheetName val="Saw_Mill_FY20_Actual1"/>
      <sheetName val="Sawmill_FY19_Budget1"/>
      <sheetName val="Front_Page1"/>
      <sheetName val="Lead_Schedule1"/>
      <sheetName val="ASSUMPTIONS_AND_BOND_LIST1"/>
      <sheetName val="Public_Holidays1"/>
      <sheetName val="PD_Computation_Model1"/>
      <sheetName val="Historical_Info1"/>
      <sheetName val="Budget_-P&amp;L1"/>
      <sheetName val="Library_Procedures1"/>
      <sheetName val="3__Movement_schedule1"/>
      <sheetName val="DAILY_COLLECTIONS1"/>
      <sheetName val="Additional_Provisions1"/>
      <sheetName val="Mar_05-Manual_Accruals1"/>
      <sheetName val="Note_4-1218"/>
      <sheetName val="Note_13_ppe18"/>
      <sheetName val="C-Client_Information1"/>
      <sheetName val="AWARDED_(2)1"/>
      <sheetName val="Schedule_20101"/>
      <sheetName val="BUS_EXP_70"/>
      <sheetName val="30TH_FINANCIAL70"/>
      <sheetName val="INCOME_STATEMENT70"/>
      <sheetName val="BALSHEET_TEMPLATE70"/>
      <sheetName val="COMM&amp;FEES_TEMPLATE70"/>
      <sheetName val="LCY_BALSHEET_WKS70"/>
      <sheetName val="COMM_FEES_TEMPLATE70"/>
      <sheetName val="Staff_Debtors70"/>
      <sheetName val="AFRICA_OTH_temp69"/>
      <sheetName val="LINEBYLINE_temp69"/>
      <sheetName val="CAMEROON_temp69"/>
      <sheetName val="GHANA_temp69"/>
      <sheetName val="NIGERIA_temp69"/>
      <sheetName val="EAST_AFRICA_temp69"/>
      <sheetName val="REPORT_temp69"/>
      <sheetName val="SEYCHELLES_temp69"/>
      <sheetName val="Movement_Calc69"/>
      <sheetName val="ANNUAL_CTC34"/>
      <sheetName val="Summary_BS33"/>
      <sheetName val="MD&amp;A_201533"/>
      <sheetName val="All_Securities33"/>
      <sheetName val="Market_Data_Input33"/>
      <sheetName val="Journal_entries33"/>
      <sheetName val="chart__33"/>
      <sheetName val="Wef_17Jun0530"/>
      <sheetName val="Reserves_Breakdown30"/>
      <sheetName val="IS_200731"/>
      <sheetName val="BS_200731"/>
      <sheetName val="CF_200731"/>
      <sheetName val="FC_start31"/>
      <sheetName val="Gx_200731"/>
      <sheetName val="Gx_adj31"/>
      <sheetName val="Gx_tax31"/>
      <sheetName val="Tx_200731"/>
      <sheetName val="Tx_adj31"/>
      <sheetName val="Tx_tax31"/>
      <sheetName val="Dx_200731"/>
      <sheetName val="Dx_adj31"/>
      <sheetName val="Dx_tax31"/>
      <sheetName val="Trex_200731"/>
      <sheetName val="Trex_adj31"/>
      <sheetName val="Trex_tax31"/>
      <sheetName val="Expx_200731"/>
      <sheetName val="Expx_tax31"/>
      <sheetName val="Expx_adj31"/>
      <sheetName val="Dsmx_200731"/>
      <sheetName val="Dsmx_adj31"/>
      <sheetName val="Dsmx_tax31"/>
      <sheetName val="Corpx_200731"/>
      <sheetName val="Corpx_adj31"/>
      <sheetName val="Corpx_tax31"/>
      <sheetName val="invx_200731"/>
      <sheetName val="capex_(2)31"/>
      <sheetName val="2007_TB31"/>
      <sheetName val="Revised_ending_2006_TB31"/>
      <sheetName val="Old_TB-_200731"/>
      <sheetName val="Journal_entries(Coy)19"/>
      <sheetName val="Journal_entries_-_Group22"/>
      <sheetName val="Statistics_{pbc}19"/>
      <sheetName val="BS100_NEW19"/>
      <sheetName val="Tenant_Data19"/>
      <sheetName val="Lookup_Tables19"/>
      <sheetName val="Table_3_-_Valuation19"/>
      <sheetName val="Summary_119"/>
      <sheetName val="TB_201317"/>
      <sheetName val="Extended_Trial_Balance_201317"/>
      <sheetName val="Cover_page17"/>
      <sheetName val="Corp_info_and_Opinion17"/>
      <sheetName val="SFP_and_P_or_L17"/>
      <sheetName val="Acc_pol17"/>
      <sheetName val="Acc_policy17"/>
      <sheetName val="Notes_to_account17"/>
      <sheetName val="Risk_mgt17"/>
      <sheetName val="Other_National_Disclosures17"/>
      <sheetName val="VAS_&amp;_Fin_Summ17"/>
      <sheetName val="Fin_summ17"/>
      <sheetName val="ADJ_-_201417"/>
      <sheetName val="ADJ_-_201317"/>
      <sheetName val="2015_SAP_Movement17"/>
      <sheetName val="2017_SAP_Movement17"/>
      <sheetName val="ADJ_-_201517"/>
      <sheetName val="Lease_Payment_Schedule17"/>
      <sheetName val="ADJ_-_201617"/>
      <sheetName val="ADJ_-_201717"/>
      <sheetName val="Prepayment_201717"/>
      <sheetName val="2017_Revenue_comp17"/>
      <sheetName val="Cash_and_Cash_Equivalent17"/>
      <sheetName val="Transactions_Reclassification17"/>
      <sheetName val="Prepayment_Movement17"/>
      <sheetName val="Intercompany_Payables17"/>
      <sheetName val="Realised_Exchange_Loss_Calc17"/>
      <sheetName val="Sheet6_(2)17"/>
      <sheetName val="2016_SAP_Movement17"/>
      <sheetName val="Revenue_Analysis17"/>
      <sheetName val="418115001_Grp_PrdEndInc__Targ17"/>
      <sheetName val="Revenue_&amp;_Bonus_Analysis17"/>
      <sheetName val="TREND_P+L18"/>
      <sheetName val="Recon__Matrix19"/>
      <sheetName val="Agency_Prod_Budg_Analysis17"/>
      <sheetName val="DETAILED_BALSHT_VOL_PROJ13"/>
      <sheetName val="Leadway_jv12"/>
      <sheetName val="Static_Data12"/>
      <sheetName val="Preliminary_Tariff_Results12"/>
      <sheetName val="Scenario_Definitions12"/>
      <sheetName val="Princ_Arr12"/>
      <sheetName val="Int_Arr12"/>
      <sheetName val="NPV_calculator12"/>
      <sheetName val="TREND_PAL10"/>
      <sheetName val="Amortisation_Schedule_(State)9"/>
      <sheetName val="Profit_&amp;_Loss9"/>
      <sheetName val="Balance_Sheet9"/>
      <sheetName val="EXTENDED_TRIAL_BALANCE-F9"/>
      <sheetName val="AUD_REPORT_CON'T9"/>
      <sheetName val="BAL_SHEET9"/>
      <sheetName val="GL_PnL2"/>
      <sheetName val="NBC_Regrinding_Schedule9"/>
      <sheetName val="Regrinding_Workdays_Mapping9"/>
      <sheetName val="Sales,Prodn_&amp;_Stock9"/>
      <sheetName val="NBC_Regrind_consumption_&amp;_Stoc9"/>
      <sheetName val="paye_3-12"/>
      <sheetName val="Fixed_Assets_Schedule2"/>
      <sheetName val="Convertible_Bond2"/>
      <sheetName val="12__Balance_Sheet2"/>
      <sheetName val="11__Income_Statement2"/>
      <sheetName val="JNR-SALARY_ADVANCE2"/>
      <sheetName val="JNR-BIKE_LOAN2"/>
      <sheetName val="JNR-CAR_LOAN2"/>
      <sheetName val="JNR-HOME_OWNERSHIP2"/>
      <sheetName val="JNR-SPECIAL_LOAN2"/>
      <sheetName val="Cover_sheet2"/>
      <sheetName val="Technial_Budget_Assumptions2"/>
      <sheetName val="HR_-_Subscription2"/>
      <sheetName val="Per_Plant2"/>
      <sheetName val="June_2015_Upload2"/>
      <sheetName val="Jan_212"/>
      <sheetName val="Branch_Target_(TL_target)2"/>
      <sheetName val="Sales_table_Poles2"/>
      <sheetName val="Debtors_Age2"/>
      <sheetName val="Dispatch_Plan2"/>
      <sheetName val="Saw_Mill_FY20_Actual2"/>
      <sheetName val="Sawmill_FY19_Budget2"/>
      <sheetName val="Front_Page2"/>
      <sheetName val="Lead_Schedule2"/>
      <sheetName val="ASSUMPTIONS_AND_BOND_LIST2"/>
      <sheetName val="Public_Holidays2"/>
      <sheetName val="PD_Computation_Model2"/>
      <sheetName val="Historical_Info2"/>
      <sheetName val="Budget_-P&amp;L2"/>
      <sheetName val="Library_Procedures2"/>
      <sheetName val="3__Movement_schedule2"/>
      <sheetName val="DAILY_COLLECTIONS2"/>
      <sheetName val="Additional_Provisions2"/>
      <sheetName val="Mar_05-Manual_Accruals2"/>
      <sheetName val="Note_4-1219"/>
      <sheetName val="Note_13_ppe19"/>
      <sheetName val="C-Client_Information2"/>
      <sheetName val="AWARDED_(2)2"/>
      <sheetName val="Schedule_20102"/>
      <sheetName val="1. Memo"/>
      <sheetName val="Sensitivity"/>
      <sheetName val="Debt"/>
      <sheetName val="Journal_entries_-_Group25"/>
      <sheetName val="TB_201318"/>
      <sheetName val="Extended_Trial_Balance_201318"/>
      <sheetName val="Cover_page18"/>
      <sheetName val="Corp_info_and_Opinion18"/>
      <sheetName val="SFP_and_P_or_L18"/>
      <sheetName val="Acc_pol18"/>
      <sheetName val="Acc_policy18"/>
      <sheetName val="Notes_to_account18"/>
      <sheetName val="Risk_mgt18"/>
      <sheetName val="Other_National_Disclosures18"/>
      <sheetName val="VAS_&amp;_Fin_Summ18"/>
      <sheetName val="Fin_summ18"/>
      <sheetName val="ADJ_-_201418"/>
      <sheetName val="ADJ_-_201318"/>
      <sheetName val="2015_SAP_Movement18"/>
      <sheetName val="2017_SAP_Movement18"/>
      <sheetName val="ADJ_-_201518"/>
      <sheetName val="Lease_Payment_Schedule18"/>
      <sheetName val="ADJ_-_201618"/>
      <sheetName val="ADJ_-_201718"/>
      <sheetName val="Prepayment_201718"/>
      <sheetName val="2017_Revenue_comp18"/>
      <sheetName val="Cash_and_Cash_Equivalent18"/>
      <sheetName val="Transactions_Reclassification18"/>
      <sheetName val="Prepayment_Movement18"/>
      <sheetName val="Intercompany_Payables18"/>
      <sheetName val="Realised_Exchange_Loss_Calc18"/>
      <sheetName val="Sheet6_(2)18"/>
      <sheetName val="2016_SAP_Movement18"/>
      <sheetName val="Revenue_Analysis18"/>
      <sheetName val="418115001_Grp_PrdEndInc__Targ18"/>
      <sheetName val="Revenue_&amp;_Bonus_Analysis18"/>
      <sheetName val="TREND_P+L19"/>
      <sheetName val="Agency_Prod_Budg_Analysis18"/>
      <sheetName val="Preliminary_Tariff_Results15"/>
      <sheetName val="Scenario_Definitions15"/>
      <sheetName val="Leadway_jv15"/>
      <sheetName val="Princ_Arr15"/>
      <sheetName val="Int_Arr15"/>
      <sheetName val="NPV_calculator15"/>
      <sheetName val="Static_Data15"/>
      <sheetName val="DETAILED_BALSHT_VOL_PROJ16"/>
      <sheetName val="Amortisation_Schedule_(State)12"/>
      <sheetName val="Profit_&amp;_Loss12"/>
      <sheetName val="Balance_Sheet12"/>
      <sheetName val="TREND_PAL13"/>
      <sheetName val="EXTENDED_TRIAL_BALANCE-F12"/>
      <sheetName val="AUD_REPORT_CON'T12"/>
      <sheetName val="BAL_SHEET12"/>
      <sheetName val="NBC_Regrinding_Schedule12"/>
      <sheetName val="Regrinding_Workdays_Mapping12"/>
      <sheetName val="Sales,Prodn_&amp;_Stock12"/>
      <sheetName val="NBC_Regrind_consumption_&amp;_Sto12"/>
      <sheetName val="Note_4-1222"/>
      <sheetName val="Note_13_ppe22"/>
      <sheetName val="Cover_sheet9"/>
      <sheetName val="Cover_sheet3"/>
      <sheetName val="Cover_sheet4"/>
      <sheetName val="Cover_sheet5"/>
      <sheetName val="Cover_sheet6"/>
      <sheetName val="Journal_entries_-_Group23"/>
      <sheetName val="Preliminary_Tariff_Results13"/>
      <sheetName val="Scenario_Definitions13"/>
      <sheetName val="Leadway_jv13"/>
      <sheetName val="Princ_Arr13"/>
      <sheetName val="Int_Arr13"/>
      <sheetName val="NPV_calculator13"/>
      <sheetName val="Static_Data13"/>
      <sheetName val="DETAILED_BALSHT_VOL_PROJ14"/>
      <sheetName val="Amortisation_Schedule_(State)10"/>
      <sheetName val="Profit_&amp;_Loss10"/>
      <sheetName val="Balance_Sheet10"/>
      <sheetName val="TREND_PAL11"/>
      <sheetName val="EXTENDED_TRIAL_BALANCE-F10"/>
      <sheetName val="AUD_REPORT_CON'T10"/>
      <sheetName val="BAL_SHEET10"/>
      <sheetName val="NBC_Regrinding_Schedule10"/>
      <sheetName val="Regrinding_Workdays_Mapping10"/>
      <sheetName val="Sales,Prodn_&amp;_Stock10"/>
      <sheetName val="NBC_Regrind_consumption_&amp;_Sto10"/>
      <sheetName val="Note_4-1220"/>
      <sheetName val="Note_13_ppe20"/>
      <sheetName val="Cover_sheet7"/>
      <sheetName val="Journal_entries_-_Group24"/>
      <sheetName val="Preliminary_Tariff_Results14"/>
      <sheetName val="Scenario_Definitions14"/>
      <sheetName val="Leadway_jv14"/>
      <sheetName val="Princ_Arr14"/>
      <sheetName val="Int_Arr14"/>
      <sheetName val="NPV_calculator14"/>
      <sheetName val="Static_Data14"/>
      <sheetName val="DETAILED_BALSHT_VOL_PROJ15"/>
      <sheetName val="Amortisation_Schedule_(State)11"/>
      <sheetName val="Profit_&amp;_Loss11"/>
      <sheetName val="Balance_Sheet11"/>
      <sheetName val="TREND_PAL12"/>
      <sheetName val="EXTENDED_TRIAL_BALANCE-F11"/>
      <sheetName val="AUD_REPORT_CON'T11"/>
      <sheetName val="BAL_SHEET11"/>
      <sheetName val="NBC_Regrinding_Schedule11"/>
      <sheetName val="Regrinding_Workdays_Mapping11"/>
      <sheetName val="Sales,Prodn_&amp;_Stock11"/>
      <sheetName val="NBC_Regrind_consumption_&amp;_Sto11"/>
      <sheetName val="Note_4-1221"/>
      <sheetName val="Note_13_ppe21"/>
      <sheetName val="Cover_sheet8"/>
      <sheetName val="BUS_EXP_71"/>
      <sheetName val="30TH_FINANCIAL71"/>
      <sheetName val="INCOME_STATEMENT71"/>
      <sheetName val="BALSHEET_TEMPLATE71"/>
      <sheetName val="COMM&amp;FEES_TEMPLATE71"/>
      <sheetName val="LCY_BALSHEET_WKS71"/>
      <sheetName val="COMM_FEES_TEMPLATE71"/>
      <sheetName val="Staff_Debtors71"/>
      <sheetName val="AFRICA_OTH_temp70"/>
      <sheetName val="LINEBYLINE_temp70"/>
      <sheetName val="CAMEROON_temp70"/>
      <sheetName val="GHANA_temp70"/>
      <sheetName val="NIGERIA_temp70"/>
      <sheetName val="EAST_AFRICA_temp70"/>
      <sheetName val="REPORT_temp70"/>
      <sheetName val="SEYCHELLES_temp70"/>
      <sheetName val="Movement_Calc70"/>
      <sheetName val="ANNUAL_CTC35"/>
      <sheetName val="Summary_BS34"/>
      <sheetName val="All_Securities34"/>
      <sheetName val="Market_Data_Input34"/>
      <sheetName val="MD&amp;A_201534"/>
      <sheetName val="chart__34"/>
      <sheetName val="Journal_entries34"/>
      <sheetName val="Journal_entries(Coy)20"/>
      <sheetName val="Journal_entries_-_Group26"/>
      <sheetName val="TB_201319"/>
      <sheetName val="Extended_Trial_Balance_201319"/>
      <sheetName val="Cover_page19"/>
      <sheetName val="Corp_info_and_Opinion19"/>
      <sheetName val="SFP_and_P_or_L19"/>
      <sheetName val="Acc_pol19"/>
      <sheetName val="Acc_policy19"/>
      <sheetName val="Notes_to_account19"/>
      <sheetName val="Risk_mgt19"/>
      <sheetName val="Other_National_Disclosures19"/>
      <sheetName val="VAS_&amp;_Fin_Summ19"/>
      <sheetName val="Fin_summ19"/>
      <sheetName val="ADJ_-_201419"/>
      <sheetName val="ADJ_-_201319"/>
      <sheetName val="2015_SAP_Movement19"/>
      <sheetName val="2017_SAP_Movement19"/>
      <sheetName val="ADJ_-_201519"/>
      <sheetName val="Lease_Payment_Schedule19"/>
      <sheetName val="ADJ_-_201619"/>
      <sheetName val="ADJ_-_201719"/>
      <sheetName val="Prepayment_201719"/>
      <sheetName val="2017_Revenue_comp19"/>
      <sheetName val="Cash_and_Cash_Equivalent19"/>
      <sheetName val="Transactions_Reclassification19"/>
      <sheetName val="Prepayment_Movement19"/>
      <sheetName val="Intercompany_Payables19"/>
      <sheetName val="Realised_Exchange_Loss_Calc19"/>
      <sheetName val="Sheet6_(2)19"/>
      <sheetName val="2016_SAP_Movement19"/>
      <sheetName val="Revenue_Analysis19"/>
      <sheetName val="418115001_Grp_PrdEndInc__Targ19"/>
      <sheetName val="Revenue_&amp;_Bonus_Analysis19"/>
      <sheetName val="Statistics_{pbc}20"/>
      <sheetName val="BS100_NEW20"/>
      <sheetName val="Tenant_Data20"/>
      <sheetName val="Lookup_Tables20"/>
      <sheetName val="Table_3_-_Valuation20"/>
      <sheetName val="Summary_120"/>
      <sheetName val="TREND_P+L20"/>
      <sheetName val="Agency_Prod_Budg_Analysis19"/>
      <sheetName val="Preliminary_Tariff_Results16"/>
      <sheetName val="Scenario_Definitions16"/>
      <sheetName val="Leadway_jv16"/>
      <sheetName val="Princ_Arr16"/>
      <sheetName val="Int_Arr16"/>
      <sheetName val="NPV_calculator16"/>
      <sheetName val="Static_Data16"/>
      <sheetName val="DETAILED_BALSHT_VOL_PROJ17"/>
      <sheetName val="Amortisation_Schedule_(State)13"/>
      <sheetName val="Profit_&amp;_Loss13"/>
      <sheetName val="Balance_Sheet13"/>
      <sheetName val="TREND_PAL14"/>
      <sheetName val="EXTENDED_TRIAL_BALANCE-F13"/>
      <sheetName val="AUD_REPORT_CON'T13"/>
      <sheetName val="BAL_SHEET13"/>
      <sheetName val="NBC_Regrinding_Schedule13"/>
      <sheetName val="Regrinding_Workdays_Mapping13"/>
      <sheetName val="Sales,Prodn_&amp;_Stock13"/>
      <sheetName val="NBC_Regrind_consumption_&amp;_Sto13"/>
      <sheetName val="Note_4-1223"/>
      <sheetName val="Note_13_ppe23"/>
      <sheetName val="Cover_sheet10"/>
      <sheetName val="BUS_EXP_72"/>
      <sheetName val="30TH_FINANCIAL72"/>
      <sheetName val="INCOME_STATEMENT72"/>
      <sheetName val="BALSHEET_TEMPLATE72"/>
      <sheetName val="COMM&amp;FEES_TEMPLATE72"/>
      <sheetName val="LCY_BALSHEET_WKS72"/>
      <sheetName val="COMM_FEES_TEMPLATE72"/>
      <sheetName val="Staff_Debtors72"/>
      <sheetName val="AFRICA_OTH_temp71"/>
      <sheetName val="LINEBYLINE_temp71"/>
      <sheetName val="CAMEROON_temp71"/>
      <sheetName val="GHANA_temp71"/>
      <sheetName val="NIGERIA_temp71"/>
      <sheetName val="EAST_AFRICA_temp71"/>
      <sheetName val="REPORT_temp71"/>
      <sheetName val="SEYCHELLES_temp71"/>
      <sheetName val="Movement_Calc71"/>
      <sheetName val="ANNUAL_CTC36"/>
      <sheetName val="Summary_BS35"/>
      <sheetName val="All_Securities35"/>
      <sheetName val="Market_Data_Input35"/>
      <sheetName val="MD&amp;A_201535"/>
      <sheetName val="chart__35"/>
      <sheetName val="Journal_entries35"/>
      <sheetName val="IS_200732"/>
      <sheetName val="BS_200732"/>
      <sheetName val="CF_200732"/>
      <sheetName val="FC_start32"/>
      <sheetName val="Gx_200732"/>
      <sheetName val="Gx_adj32"/>
      <sheetName val="Gx_tax32"/>
      <sheetName val="Tx_200732"/>
      <sheetName val="Tx_adj32"/>
      <sheetName val="Tx_tax32"/>
      <sheetName val="Dx_200732"/>
      <sheetName val="Dx_adj32"/>
      <sheetName val="Dx_tax32"/>
      <sheetName val="Trex_200732"/>
      <sheetName val="Trex_adj32"/>
      <sheetName val="Trex_tax32"/>
      <sheetName val="Expx_200732"/>
      <sheetName val="Expx_tax32"/>
      <sheetName val="Expx_adj32"/>
      <sheetName val="Dsmx_200732"/>
      <sheetName val="Dsmx_adj32"/>
      <sheetName val="Dsmx_tax32"/>
      <sheetName val="Corpx_200732"/>
      <sheetName val="Corpx_adj32"/>
      <sheetName val="Corpx_tax32"/>
      <sheetName val="invx_200732"/>
      <sheetName val="capex_(2)32"/>
      <sheetName val="2007_TB32"/>
      <sheetName val="Revised_ending_2006_TB32"/>
      <sheetName val="Old_TB-_200732"/>
      <sheetName val="Wef_17Jun0531"/>
      <sheetName val="Reserves_Breakdown31"/>
      <sheetName val="Journal_entries(Coy)21"/>
      <sheetName val="Journal_entries_-_Group27"/>
      <sheetName val="Recon__Matrix20"/>
      <sheetName val="TB_201320"/>
      <sheetName val="Extended_Trial_Balance_201320"/>
      <sheetName val="Cover_page20"/>
      <sheetName val="Corp_info_and_Opinion20"/>
      <sheetName val="SFP_and_P_or_L20"/>
      <sheetName val="Acc_pol20"/>
      <sheetName val="Acc_policy20"/>
      <sheetName val="Notes_to_account20"/>
      <sheetName val="Risk_mgt20"/>
      <sheetName val="Other_National_Disclosures20"/>
      <sheetName val="VAS_&amp;_Fin_Summ20"/>
      <sheetName val="Fin_summ20"/>
      <sheetName val="ADJ_-_201420"/>
      <sheetName val="ADJ_-_201320"/>
      <sheetName val="2015_SAP_Movement20"/>
      <sheetName val="2017_SAP_Movement20"/>
      <sheetName val="ADJ_-_201520"/>
      <sheetName val="Lease_Payment_Schedule20"/>
      <sheetName val="ADJ_-_201620"/>
      <sheetName val="ADJ_-_201720"/>
      <sheetName val="Prepayment_201720"/>
      <sheetName val="2017_Revenue_comp20"/>
      <sheetName val="Cash_and_Cash_Equivalent20"/>
      <sheetName val="Transactions_Reclassification20"/>
      <sheetName val="Prepayment_Movement20"/>
      <sheetName val="Intercompany_Payables20"/>
      <sheetName val="Realised_Exchange_Loss_Calc20"/>
      <sheetName val="Sheet6_(2)20"/>
      <sheetName val="2016_SAP_Movement20"/>
      <sheetName val="Revenue_Analysis20"/>
      <sheetName val="418115001_Grp_PrdEndInc__Targ20"/>
      <sheetName val="Revenue_&amp;_Bonus_Analysis20"/>
      <sheetName val="Statistics_{pbc}21"/>
      <sheetName val="BS100_NEW21"/>
      <sheetName val="Tenant_Data21"/>
      <sheetName val="Lookup_Tables21"/>
      <sheetName val="Table_3_-_Valuation21"/>
      <sheetName val="Summary_121"/>
      <sheetName val="TREND_P+L21"/>
      <sheetName val="Agency_Prod_Budg_Analysis20"/>
      <sheetName val="Preliminary_Tariff_Results17"/>
      <sheetName val="Scenario_Definitions17"/>
      <sheetName val="Leadway_jv17"/>
      <sheetName val="Princ_Arr17"/>
      <sheetName val="Int_Arr17"/>
      <sheetName val="NPV_calculator17"/>
      <sheetName val="Static_Data17"/>
      <sheetName val="DETAILED_BALSHT_VOL_PROJ18"/>
      <sheetName val="Amortisation_Schedule_(State)14"/>
      <sheetName val="Profit_&amp;_Loss14"/>
      <sheetName val="Balance_Sheet14"/>
      <sheetName val="TREND_PAL15"/>
      <sheetName val="EXTENDED_TRIAL_BALANCE-F14"/>
      <sheetName val="AUD_REPORT_CON'T14"/>
      <sheetName val="BAL_SHEET14"/>
      <sheetName val="NBC_Regrinding_Schedule14"/>
      <sheetName val="Regrinding_Workdays_Mapping14"/>
      <sheetName val="Sales,Prodn_&amp;_Stock14"/>
      <sheetName val="NBC_Regrind_consumption_&amp;_Sto14"/>
      <sheetName val="Note_4-1224"/>
      <sheetName val="Note_13_ppe24"/>
      <sheetName val="Cover_sheet11"/>
      <sheetName val="export_1423224848412"/>
      <sheetName val="Master Payroll"/>
      <sheetName val="Summary Cash Flow"/>
      <sheetName val="Input_Output"/>
      <sheetName val="Project earnings and cashflow"/>
      <sheetName val="Summary Active"/>
      <sheetName val="AA"/>
      <sheetName val="pallocation"/>
      <sheetName val="Leave"/>
      <sheetName val="Lifetime"/>
      <sheetName val="NO-GO"/>
      <sheetName val="TD BASE"/>
      <sheetName val="BASE NPL"/>
      <sheetName val="Chairman's Statement"/>
      <sheetName val="Product range"/>
      <sheetName val="Overview"/>
      <sheetName val="do not Delete"/>
      <sheetName val="TREND P_L"/>
      <sheetName val="Treasury"/>
      <sheetName val="C1-Cash"/>
      <sheetName val="Journal_entries(Coy)22"/>
      <sheetName val="Statistics_{pbc}22"/>
      <sheetName val="BS100_NEW22"/>
      <sheetName val="Tenant_Data22"/>
      <sheetName val="Lookup_Tables22"/>
      <sheetName val="Table_3_-_Valuation22"/>
      <sheetName val="Summary_122"/>
      <sheetName val="Recon__Matrix22"/>
      <sheetName val="GL_PnL5"/>
      <sheetName val="Fixed_Assets_Schedule5"/>
      <sheetName val="JNR-SALARY_ADVANCE5"/>
      <sheetName val="JNR-BIKE_LOAN5"/>
      <sheetName val="JNR-CAR_LOAN5"/>
      <sheetName val="JNR-HOME_OWNERSHIP5"/>
      <sheetName val="JNR-SPECIAL_LOAN5"/>
      <sheetName val="Technial_Budget_Assumptions5"/>
      <sheetName val="HR_-_Subscription5"/>
      <sheetName val="paye_3-15"/>
      <sheetName val="Convertible_Bond5"/>
      <sheetName val="12__Balance_Sheet5"/>
      <sheetName val="11__Income_Statement5"/>
      <sheetName val="Front_Page5"/>
      <sheetName val="GL_PnL3"/>
      <sheetName val="Fixed_Assets_Schedule3"/>
      <sheetName val="JNR-SALARY_ADVANCE3"/>
      <sheetName val="JNR-BIKE_LOAN3"/>
      <sheetName val="JNR-CAR_LOAN3"/>
      <sheetName val="JNR-HOME_OWNERSHIP3"/>
      <sheetName val="JNR-SPECIAL_LOAN3"/>
      <sheetName val="Technial_Budget_Assumptions3"/>
      <sheetName val="HR_-_Subscription3"/>
      <sheetName val="paye_3-13"/>
      <sheetName val="Convertible_Bond3"/>
      <sheetName val="12__Balance_Sheet3"/>
      <sheetName val="11__Income_Statement3"/>
      <sheetName val="Front_Page3"/>
      <sheetName val="Recon__Matrix21"/>
      <sheetName val="GL_PnL4"/>
      <sheetName val="Fixed_Assets_Schedule4"/>
      <sheetName val="JNR-SALARY_ADVANCE4"/>
      <sheetName val="JNR-BIKE_LOAN4"/>
      <sheetName val="JNR-CAR_LOAN4"/>
      <sheetName val="JNR-HOME_OWNERSHIP4"/>
      <sheetName val="JNR-SPECIAL_LOAN4"/>
      <sheetName val="Technial_Budget_Assumptions4"/>
      <sheetName val="HR_-_Subscription4"/>
      <sheetName val="paye_3-14"/>
      <sheetName val="Convertible_Bond4"/>
      <sheetName val="12__Balance_Sheet4"/>
      <sheetName val="11__Income_Statement4"/>
      <sheetName val="Front_Page4"/>
      <sheetName val="ASSUMPTIONS_AND_BOND_LIST3"/>
      <sheetName val="Public_Holidays3"/>
      <sheetName val="PD_Computation_Model3"/>
      <sheetName val="Historical_Info3"/>
      <sheetName val="Per_Plant3"/>
      <sheetName val="June_2015_Upload3"/>
      <sheetName val="Jan_213"/>
      <sheetName val="Branch_Target_(TL_target)3"/>
      <sheetName val="Sales_table_Poles3"/>
      <sheetName val="Debtors_Age3"/>
      <sheetName val="Dispatch_Plan3"/>
      <sheetName val="Saw_Mill_FY20_Actual3"/>
      <sheetName val="Sawmill_FY19_Budget3"/>
      <sheetName val="Lead_Schedule3"/>
      <sheetName val="Budget_-P&amp;L3"/>
      <sheetName val="Library_Procedures3"/>
      <sheetName val="3__Movement_schedule3"/>
      <sheetName val="DAILY_COLLECTIONS3"/>
      <sheetName val="Additional_Provisions3"/>
      <sheetName val="Mar_05-Manual_Accruals3"/>
      <sheetName val="C-Client_Information3"/>
      <sheetName val="AWARDED_(2)3"/>
      <sheetName val="Schedule_20103"/>
      <sheetName val="Wef_17Jun0532"/>
      <sheetName val="Reserves_Breakdown32"/>
      <sheetName val="IS_200733"/>
      <sheetName val="BS_200733"/>
      <sheetName val="CF_200733"/>
      <sheetName val="FC_start33"/>
      <sheetName val="Gx_200733"/>
      <sheetName val="Gx_adj33"/>
      <sheetName val="Gx_tax33"/>
      <sheetName val="Tx_200733"/>
      <sheetName val="Tx_adj33"/>
      <sheetName val="Tx_tax33"/>
      <sheetName val="Dx_200733"/>
      <sheetName val="Dx_adj33"/>
      <sheetName val="Dx_tax33"/>
      <sheetName val="Trex_200733"/>
      <sheetName val="Trex_adj33"/>
      <sheetName val="Trex_tax33"/>
      <sheetName val="Expx_200733"/>
      <sheetName val="Expx_tax33"/>
      <sheetName val="Expx_adj33"/>
      <sheetName val="Dsmx_200733"/>
      <sheetName val="Dsmx_adj33"/>
      <sheetName val="Dsmx_tax33"/>
      <sheetName val="Corpx_200733"/>
      <sheetName val="Corpx_adj33"/>
      <sheetName val="Corpx_tax33"/>
      <sheetName val="invx_200733"/>
      <sheetName val="capex_(2)33"/>
      <sheetName val="2007_TB33"/>
      <sheetName val="Revised_ending_2006_TB33"/>
      <sheetName val="Old_TB-_200733"/>
      <sheetName val="ASSUMPTIONS_AND_BOND_LIST4"/>
      <sheetName val="Public_Holidays4"/>
      <sheetName val="PD_Computation_Model4"/>
      <sheetName val="Historical_Info4"/>
      <sheetName val="Per_Plant4"/>
      <sheetName val="June_2015_Upload4"/>
      <sheetName val="Jan_214"/>
      <sheetName val="Branch_Target_(TL_target)4"/>
      <sheetName val="Sales_table_Poles4"/>
      <sheetName val="Debtors_Age4"/>
      <sheetName val="Dispatch_Plan4"/>
      <sheetName val="Saw_Mill_FY20_Actual4"/>
      <sheetName val="Sawmill_FY19_Budget4"/>
      <sheetName val="Lead_Schedule4"/>
      <sheetName val="Budget_-P&amp;L4"/>
      <sheetName val="Library_Procedures4"/>
      <sheetName val="3__Movement_schedule4"/>
      <sheetName val="DAILY_COLLECTIONS4"/>
      <sheetName val="Additional_Provisions4"/>
      <sheetName val="Mar_05-Manual_Accruals4"/>
      <sheetName val="C-Client_Information4"/>
      <sheetName val="AWARDED_(2)4"/>
      <sheetName val="Schedule_20104"/>
      <sheetName val="TD_BASE"/>
      <sheetName val="BASE_NPL"/>
      <sheetName val="RE_2"/>
      <sheetName val="Budget_-_Coy_Total_Product"/>
      <sheetName val="Budget_Coy_Total_Volume"/>
      <sheetName val="Names_All"/>
      <sheetName val="Master_Payroll"/>
      <sheetName val="Summary_Cash_Flow"/>
      <sheetName val="Project_earnings_and_cashflow"/>
      <sheetName val="SCH_A"/>
      <sheetName val="SCH_Q"/>
      <sheetName val="SCH_C_Charts"/>
      <sheetName val="SCH_D"/>
      <sheetName val="TD_BASE1"/>
      <sheetName val="BASE_NPL1"/>
      <sheetName val="RE_21"/>
      <sheetName val="Budget_-_Coy_Total_Product1"/>
      <sheetName val="Budget_Coy_Total_Volume1"/>
      <sheetName val="Names_All1"/>
      <sheetName val="Master_Payroll1"/>
      <sheetName val="Summary_Cash_Flow1"/>
      <sheetName val="Project_earnings_and_cashflow1"/>
      <sheetName val="SCH_A1"/>
      <sheetName val="SCH_Q1"/>
      <sheetName val="SCH_C_Charts1"/>
      <sheetName val="SCH_D1"/>
      <sheetName val="BUS_EXP_74"/>
      <sheetName val="30TH_FINANCIAL74"/>
      <sheetName val="INCOME_STATEMENT74"/>
      <sheetName val="BALSHEET_TEMPLATE74"/>
      <sheetName val="COMM&amp;FEES_TEMPLATE74"/>
      <sheetName val="LCY_BALSHEET_WKS74"/>
      <sheetName val="COMM_FEES_TEMPLATE74"/>
      <sheetName val="Staff_Debtors74"/>
      <sheetName val="AFRICA_OTH_temp73"/>
      <sheetName val="LINEBYLINE_temp73"/>
      <sheetName val="CAMEROON_temp73"/>
      <sheetName val="GHANA_temp73"/>
      <sheetName val="NIGERIA_temp73"/>
      <sheetName val="EAST_AFRICA_temp73"/>
      <sheetName val="REPORT_temp73"/>
      <sheetName val="SEYCHELLES_temp73"/>
      <sheetName val="Movement_Calc73"/>
      <sheetName val="ANNUAL_CTC38"/>
      <sheetName val="Summary_BS37"/>
      <sheetName val="MD&amp;A_201537"/>
      <sheetName val="All_Securities37"/>
      <sheetName val="Market_Data_Input37"/>
      <sheetName val="IS_200735"/>
      <sheetName val="BS_200735"/>
      <sheetName val="CF_200735"/>
      <sheetName val="FC_start35"/>
      <sheetName val="Gx_200735"/>
      <sheetName val="Gx_adj35"/>
      <sheetName val="Gx_tax35"/>
      <sheetName val="Tx_200735"/>
      <sheetName val="Tx_adj35"/>
      <sheetName val="Tx_tax35"/>
      <sheetName val="Dx_200735"/>
      <sheetName val="Dx_adj35"/>
      <sheetName val="Dx_tax35"/>
      <sheetName val="Trex_200735"/>
      <sheetName val="Trex_adj35"/>
      <sheetName val="Trex_tax35"/>
      <sheetName val="Expx_200735"/>
      <sheetName val="Expx_tax35"/>
      <sheetName val="Expx_adj35"/>
      <sheetName val="Dsmx_200735"/>
      <sheetName val="Dsmx_adj35"/>
      <sheetName val="Dsmx_tax35"/>
      <sheetName val="Corpx_200735"/>
      <sheetName val="Corpx_adj35"/>
      <sheetName val="Corpx_tax35"/>
      <sheetName val="invx_200735"/>
      <sheetName val="capex_(2)35"/>
      <sheetName val="2007_TB35"/>
      <sheetName val="Revised_ending_2006_TB35"/>
      <sheetName val="Old_TB-_200735"/>
      <sheetName val="Journal_entries37"/>
      <sheetName val="chart__37"/>
      <sheetName val="Reserves_Breakdown34"/>
      <sheetName val="Wef_17Jun0534"/>
      <sheetName val="Journal_entries(Coy)23"/>
      <sheetName val="TB_201321"/>
      <sheetName val="Extended_Trial_Balance_201321"/>
      <sheetName val="Cover_page21"/>
      <sheetName val="Corp_info_and_Opinion21"/>
      <sheetName val="SFP_and_P_or_L21"/>
      <sheetName val="Acc_pol21"/>
      <sheetName val="Acc_policy21"/>
      <sheetName val="Notes_to_account21"/>
      <sheetName val="Risk_mgt21"/>
      <sheetName val="Other_National_Disclosures21"/>
      <sheetName val="VAS_&amp;_Fin_Summ21"/>
      <sheetName val="Fin_summ21"/>
      <sheetName val="ADJ_-_201421"/>
      <sheetName val="ADJ_-_201321"/>
      <sheetName val="2015_SAP_Movement21"/>
      <sheetName val="2017_SAP_Movement21"/>
      <sheetName val="ADJ_-_201521"/>
      <sheetName val="Lease_Payment_Schedule21"/>
      <sheetName val="ADJ_-_201621"/>
      <sheetName val="ADJ_-_201721"/>
      <sheetName val="Prepayment_201721"/>
      <sheetName val="2017_Revenue_comp21"/>
      <sheetName val="Cash_and_Cash_Equivalent21"/>
      <sheetName val="Transactions_Reclassification21"/>
      <sheetName val="Prepayment_Movement21"/>
      <sheetName val="Intercompany_Payables21"/>
      <sheetName val="Realised_Exchange_Loss_Calc21"/>
      <sheetName val="Sheet6_(2)21"/>
      <sheetName val="2016_SAP_Movement21"/>
      <sheetName val="Revenue_Analysis21"/>
      <sheetName val="418115001_Grp_PrdEndInc__Targ21"/>
      <sheetName val="Revenue_&amp;_Bonus_Analysis21"/>
      <sheetName val="Statistics_{pbc}23"/>
      <sheetName val="BS100_NEW23"/>
      <sheetName val="Tenant_Data23"/>
      <sheetName val="Lookup_Tables23"/>
      <sheetName val="Table_3_-_Valuation23"/>
      <sheetName val="Summary_123"/>
      <sheetName val="TREND_P+L22"/>
      <sheetName val="Recon__Matrix23"/>
      <sheetName val="Agency_Prod_Budg_Analysis21"/>
      <sheetName val="GL_PnL6"/>
      <sheetName val="Fixed_Assets_Schedule6"/>
      <sheetName val="paye_3-16"/>
      <sheetName val="BUS_EXP_73"/>
      <sheetName val="30TH_FINANCIAL73"/>
      <sheetName val="INCOME_STATEMENT73"/>
      <sheetName val="BALSHEET_TEMPLATE73"/>
      <sheetName val="COMM&amp;FEES_TEMPLATE73"/>
      <sheetName val="LCY_BALSHEET_WKS73"/>
      <sheetName val="COMM_FEES_TEMPLATE73"/>
      <sheetName val="Staff_Debtors73"/>
      <sheetName val="AFRICA_OTH_temp72"/>
      <sheetName val="LINEBYLINE_temp72"/>
      <sheetName val="CAMEROON_temp72"/>
      <sheetName val="GHANA_temp72"/>
      <sheetName val="NIGERIA_temp72"/>
      <sheetName val="EAST_AFRICA_temp72"/>
      <sheetName val="REPORT_temp72"/>
      <sheetName val="SEYCHELLES_temp72"/>
      <sheetName val="Movement_Calc72"/>
      <sheetName val="ANNUAL_CTC37"/>
      <sheetName val="Summary_BS36"/>
      <sheetName val="MD&amp;A_201536"/>
      <sheetName val="All_Securities36"/>
      <sheetName val="Market_Data_Input36"/>
      <sheetName val="IS_200734"/>
      <sheetName val="BS_200734"/>
      <sheetName val="CF_200734"/>
      <sheetName val="FC_start34"/>
      <sheetName val="Gx_200734"/>
      <sheetName val="Gx_adj34"/>
      <sheetName val="Gx_tax34"/>
      <sheetName val="Tx_200734"/>
      <sheetName val="Tx_adj34"/>
      <sheetName val="Tx_tax34"/>
      <sheetName val="Dx_200734"/>
      <sheetName val="Dx_adj34"/>
      <sheetName val="Dx_tax34"/>
      <sheetName val="Trex_200734"/>
      <sheetName val="Trex_adj34"/>
      <sheetName val="Trex_tax34"/>
      <sheetName val="Expx_200734"/>
      <sheetName val="Expx_tax34"/>
      <sheetName val="Expx_adj34"/>
      <sheetName val="Dsmx_200734"/>
      <sheetName val="Dsmx_adj34"/>
      <sheetName val="Dsmx_tax34"/>
      <sheetName val="Corpx_200734"/>
      <sheetName val="Corpx_adj34"/>
      <sheetName val="Corpx_tax34"/>
      <sheetName val="invx_200734"/>
      <sheetName val="capex_(2)34"/>
      <sheetName val="2007_TB34"/>
      <sheetName val="Revised_ending_2006_TB34"/>
      <sheetName val="Old_TB-_200734"/>
      <sheetName val="Journal_entries36"/>
      <sheetName val="chart__36"/>
      <sheetName val="Reserves_Breakdown33"/>
      <sheetName val="Wef_17Jun0533"/>
      <sheetName val="BUS_EXP_75"/>
      <sheetName val="30TH_FINANCIAL75"/>
      <sheetName val="INCOME_STATEMENT75"/>
      <sheetName val="BALSHEET_TEMPLATE75"/>
      <sheetName val="COMM&amp;FEES_TEMPLATE75"/>
      <sheetName val="LCY_BALSHEET_WKS75"/>
      <sheetName val="COMM_FEES_TEMPLATE75"/>
      <sheetName val="Staff_Debtors75"/>
      <sheetName val="AFRICA_OTH_temp74"/>
      <sheetName val="LINEBYLINE_temp74"/>
      <sheetName val="CAMEROON_temp74"/>
      <sheetName val="GHANA_temp74"/>
      <sheetName val="NIGERIA_temp74"/>
      <sheetName val="EAST_AFRICA_temp74"/>
      <sheetName val="REPORT_temp74"/>
      <sheetName val="SEYCHELLES_temp74"/>
      <sheetName val="Movement_Calc74"/>
      <sheetName val="ANNUAL_CTC39"/>
      <sheetName val="Summary_BS38"/>
      <sheetName val="MD&amp;A_201538"/>
      <sheetName val="All_Securities38"/>
      <sheetName val="Market_Data_Input38"/>
      <sheetName val="IS_200736"/>
      <sheetName val="BS_200736"/>
      <sheetName val="CF_200736"/>
      <sheetName val="FC_start36"/>
      <sheetName val="Gx_200736"/>
      <sheetName val="Gx_adj36"/>
      <sheetName val="Gx_tax36"/>
      <sheetName val="Tx_200736"/>
      <sheetName val="Tx_adj36"/>
      <sheetName val="Tx_tax36"/>
      <sheetName val="Dx_200736"/>
      <sheetName val="Dx_adj36"/>
      <sheetName val="Dx_tax36"/>
      <sheetName val="Trex_200736"/>
      <sheetName val="Trex_adj36"/>
      <sheetName val="Trex_tax36"/>
      <sheetName val="Expx_200736"/>
      <sheetName val="Expx_tax36"/>
      <sheetName val="Expx_adj36"/>
      <sheetName val="Dsmx_200736"/>
      <sheetName val="Dsmx_adj36"/>
      <sheetName val="Dsmx_tax36"/>
      <sheetName val="Corpx_200736"/>
      <sheetName val="Corpx_adj36"/>
      <sheetName val="Corpx_tax36"/>
      <sheetName val="invx_200736"/>
      <sheetName val="capex_(2)36"/>
      <sheetName val="2007_TB36"/>
      <sheetName val="Revised_ending_2006_TB36"/>
      <sheetName val="Old_TB-_200736"/>
      <sheetName val="Journal_entries38"/>
      <sheetName val="chart__38"/>
      <sheetName val="Reserves_Breakdown35"/>
      <sheetName val="Wef_17Jun0535"/>
      <sheetName val="Journal_entries(Coy)24"/>
      <sheetName val="TB_201322"/>
      <sheetName val="Extended_Trial_Balance_201322"/>
      <sheetName val="Cover_page22"/>
      <sheetName val="Corp_info_and_Opinion22"/>
      <sheetName val="SFP_and_P_or_L22"/>
      <sheetName val="Acc_pol22"/>
      <sheetName val="Acc_policy22"/>
      <sheetName val="Notes_to_account22"/>
      <sheetName val="Risk_mgt22"/>
      <sheetName val="Other_National_Disclosures22"/>
      <sheetName val="VAS_&amp;_Fin_Summ22"/>
      <sheetName val="Fin_summ22"/>
      <sheetName val="ADJ_-_201422"/>
      <sheetName val="ADJ_-_201322"/>
      <sheetName val="2015_SAP_Movement22"/>
      <sheetName val="2017_SAP_Movement22"/>
      <sheetName val="ADJ_-_201522"/>
      <sheetName val="Lease_Payment_Schedule22"/>
      <sheetName val="ADJ_-_201622"/>
      <sheetName val="ADJ_-_201722"/>
      <sheetName val="Prepayment_201722"/>
      <sheetName val="2017_Revenue_comp22"/>
      <sheetName val="Cash_and_Cash_Equivalent22"/>
      <sheetName val="Transactions_Reclassification22"/>
      <sheetName val="Prepayment_Movement22"/>
      <sheetName val="Intercompany_Payables22"/>
      <sheetName val="Realised_Exchange_Loss_Calc22"/>
      <sheetName val="Sheet6_(2)22"/>
      <sheetName val="2016_SAP_Movement22"/>
      <sheetName val="Revenue_Analysis22"/>
      <sheetName val="418115001_Grp_PrdEndInc__Targ22"/>
      <sheetName val="Revenue_&amp;_Bonus_Analysis22"/>
      <sheetName val="Statistics_{pbc}24"/>
      <sheetName val="BS100_NEW24"/>
      <sheetName val="Tenant_Data24"/>
      <sheetName val="Lookup_Tables24"/>
      <sheetName val="Table_3_-_Valuation24"/>
      <sheetName val="Summary_124"/>
      <sheetName val="TREND_P+L23"/>
      <sheetName val="Recon__Matrix24"/>
      <sheetName val="Agency_Prod_Budg_Analysis22"/>
      <sheetName val="GL_PnL7"/>
      <sheetName val="Fixed_Assets_Schedule7"/>
      <sheetName val="paye_3-17"/>
      <sheetName val="BUS_EXP_77"/>
      <sheetName val="30TH_FINANCIAL77"/>
      <sheetName val="INCOME_STATEMENT77"/>
      <sheetName val="BALSHEET_TEMPLATE77"/>
      <sheetName val="COMM&amp;FEES_TEMPLATE77"/>
      <sheetName val="LCY_BALSHEET_WKS77"/>
      <sheetName val="COMM_FEES_TEMPLATE77"/>
      <sheetName val="Staff_Debtors77"/>
      <sheetName val="AFRICA_OTH_temp76"/>
      <sheetName val="LINEBYLINE_temp76"/>
      <sheetName val="CAMEROON_temp76"/>
      <sheetName val="GHANA_temp76"/>
      <sheetName val="NIGERIA_temp76"/>
      <sheetName val="EAST_AFRICA_temp76"/>
      <sheetName val="REPORT_temp76"/>
      <sheetName val="SEYCHELLES_temp76"/>
      <sheetName val="Movement_Calc76"/>
      <sheetName val="ANNUAL_CTC41"/>
      <sheetName val="Summary_BS40"/>
      <sheetName val="MD&amp;A_201540"/>
      <sheetName val="All_Securities40"/>
      <sheetName val="Market_Data_Input40"/>
      <sheetName val="IS_200738"/>
      <sheetName val="BS_200738"/>
      <sheetName val="CF_200738"/>
      <sheetName val="FC_start38"/>
      <sheetName val="Gx_200738"/>
      <sheetName val="Gx_adj38"/>
      <sheetName val="Gx_tax38"/>
      <sheetName val="Tx_200738"/>
      <sheetName val="Tx_adj38"/>
      <sheetName val="Tx_tax38"/>
      <sheetName val="Dx_200738"/>
      <sheetName val="Dx_adj38"/>
      <sheetName val="Dx_tax38"/>
      <sheetName val="Trex_200738"/>
      <sheetName val="Trex_adj38"/>
      <sheetName val="Trex_tax38"/>
      <sheetName val="Expx_200738"/>
      <sheetName val="Expx_tax38"/>
      <sheetName val="Expx_adj38"/>
      <sheetName val="Dsmx_200738"/>
      <sheetName val="Dsmx_adj38"/>
      <sheetName val="Dsmx_tax38"/>
      <sheetName val="Corpx_200738"/>
      <sheetName val="Corpx_adj38"/>
      <sheetName val="Corpx_tax38"/>
      <sheetName val="invx_200738"/>
      <sheetName val="capex_(2)38"/>
      <sheetName val="2007_TB38"/>
      <sheetName val="Revised_ending_2006_TB38"/>
      <sheetName val="Old_TB-_200738"/>
      <sheetName val="Journal_entries40"/>
      <sheetName val="chart__40"/>
      <sheetName val="Reserves_Breakdown37"/>
      <sheetName val="Wef_17Jun0537"/>
      <sheetName val="Journal_entries(Coy)26"/>
      <sheetName val="TB_201324"/>
      <sheetName val="Extended_Trial_Balance_201324"/>
      <sheetName val="Cover_page24"/>
      <sheetName val="Corp_info_and_Opinion24"/>
      <sheetName val="SFP_and_P_or_L24"/>
      <sheetName val="Acc_pol24"/>
      <sheetName val="Acc_policy24"/>
      <sheetName val="Notes_to_account24"/>
      <sheetName val="Risk_mgt24"/>
      <sheetName val="Other_National_Disclosures24"/>
      <sheetName val="VAS_&amp;_Fin_Summ24"/>
      <sheetName val="Fin_summ24"/>
      <sheetName val="ADJ_-_201424"/>
      <sheetName val="ADJ_-_201324"/>
      <sheetName val="2015_SAP_Movement24"/>
      <sheetName val="2017_SAP_Movement24"/>
      <sheetName val="ADJ_-_201524"/>
      <sheetName val="Lease_Payment_Schedule24"/>
      <sheetName val="ADJ_-_201624"/>
      <sheetName val="ADJ_-_201724"/>
      <sheetName val="Prepayment_201724"/>
      <sheetName val="2017_Revenue_comp24"/>
      <sheetName val="Cash_and_Cash_Equivalent24"/>
      <sheetName val="Transactions_Reclassification24"/>
      <sheetName val="Prepayment_Movement24"/>
      <sheetName val="Intercompany_Payables24"/>
      <sheetName val="Realised_Exchange_Loss_Calc24"/>
      <sheetName val="Sheet6_(2)24"/>
      <sheetName val="2016_SAP_Movement24"/>
      <sheetName val="Revenue_Analysis24"/>
      <sheetName val="418115001_Grp_PrdEndInc__Targ24"/>
      <sheetName val="Revenue_&amp;_Bonus_Analysis24"/>
      <sheetName val="Statistics_{pbc}26"/>
      <sheetName val="BS100_NEW26"/>
      <sheetName val="Tenant_Data26"/>
      <sheetName val="Lookup_Tables26"/>
      <sheetName val="Table_3_-_Valuation26"/>
      <sheetName val="Summary_126"/>
      <sheetName val="TREND_P+L25"/>
      <sheetName val="Recon__Matrix26"/>
      <sheetName val="Agency_Prod_Budg_Analysis24"/>
      <sheetName val="Amortisation_Schedule_(State)16"/>
      <sheetName val="TREND_PAL16"/>
      <sheetName val="Profit_&amp;_Loss16"/>
      <sheetName val="Balance_Sheet16"/>
      <sheetName val="AUD_REPORT_CON'T16"/>
      <sheetName val="BAL_SHEET16"/>
      <sheetName val="GL_PnL9"/>
      <sheetName val="Fixed_Assets_Schedule9"/>
      <sheetName val="paye_3-19"/>
      <sheetName val="BUS_EXP_76"/>
      <sheetName val="30TH_FINANCIAL76"/>
      <sheetName val="INCOME_STATEMENT76"/>
      <sheetName val="BALSHEET_TEMPLATE76"/>
      <sheetName val="COMM&amp;FEES_TEMPLATE76"/>
      <sheetName val="LCY_BALSHEET_WKS76"/>
      <sheetName val="COMM_FEES_TEMPLATE76"/>
      <sheetName val="Staff_Debtors76"/>
      <sheetName val="AFRICA_OTH_temp75"/>
      <sheetName val="LINEBYLINE_temp75"/>
      <sheetName val="CAMEROON_temp75"/>
      <sheetName val="GHANA_temp75"/>
      <sheetName val="NIGERIA_temp75"/>
      <sheetName val="EAST_AFRICA_temp75"/>
      <sheetName val="REPORT_temp75"/>
      <sheetName val="SEYCHELLES_temp75"/>
      <sheetName val="Movement_Calc75"/>
      <sheetName val="ANNUAL_CTC40"/>
      <sheetName val="Summary_BS39"/>
      <sheetName val="MD&amp;A_201539"/>
      <sheetName val="All_Securities39"/>
      <sheetName val="Market_Data_Input39"/>
      <sheetName val="IS_200737"/>
      <sheetName val="BS_200737"/>
      <sheetName val="CF_200737"/>
      <sheetName val="FC_start37"/>
      <sheetName val="Gx_200737"/>
      <sheetName val="Gx_adj37"/>
      <sheetName val="Gx_tax37"/>
      <sheetName val="Tx_200737"/>
      <sheetName val="Tx_adj37"/>
      <sheetName val="Tx_tax37"/>
      <sheetName val="Dx_200737"/>
      <sheetName val="Dx_adj37"/>
      <sheetName val="Dx_tax37"/>
      <sheetName val="Trex_200737"/>
      <sheetName val="Trex_adj37"/>
      <sheetName val="Trex_tax37"/>
      <sheetName val="Expx_200737"/>
      <sheetName val="Expx_tax37"/>
      <sheetName val="Expx_adj37"/>
      <sheetName val="Dsmx_200737"/>
      <sheetName val="Dsmx_adj37"/>
      <sheetName val="Dsmx_tax37"/>
      <sheetName val="Corpx_200737"/>
      <sheetName val="Corpx_adj37"/>
      <sheetName val="Corpx_tax37"/>
      <sheetName val="invx_200737"/>
      <sheetName val="capex_(2)37"/>
      <sheetName val="2007_TB37"/>
      <sheetName val="Revised_ending_2006_TB37"/>
      <sheetName val="Old_TB-_200737"/>
      <sheetName val="Journal_entries39"/>
      <sheetName val="chart__39"/>
      <sheetName val="Reserves_Breakdown36"/>
      <sheetName val="Wef_17Jun0536"/>
      <sheetName val="Journal_entries(Coy)25"/>
      <sheetName val="TB_201323"/>
      <sheetName val="Extended_Trial_Balance_201323"/>
      <sheetName val="Cover_page23"/>
      <sheetName val="Corp_info_and_Opinion23"/>
      <sheetName val="SFP_and_P_or_L23"/>
      <sheetName val="Acc_pol23"/>
      <sheetName val="Acc_policy23"/>
      <sheetName val="Notes_to_account23"/>
      <sheetName val="Risk_mgt23"/>
      <sheetName val="Other_National_Disclosures23"/>
      <sheetName val="VAS_&amp;_Fin_Summ23"/>
      <sheetName val="Fin_summ23"/>
      <sheetName val="ADJ_-_201423"/>
      <sheetName val="ADJ_-_201323"/>
      <sheetName val="2015_SAP_Movement23"/>
      <sheetName val="2017_SAP_Movement23"/>
      <sheetName val="ADJ_-_201523"/>
      <sheetName val="Lease_Payment_Schedule23"/>
      <sheetName val="ADJ_-_201623"/>
      <sheetName val="ADJ_-_201723"/>
      <sheetName val="Prepayment_201723"/>
      <sheetName val="2017_Revenue_comp23"/>
      <sheetName val="Cash_and_Cash_Equivalent23"/>
      <sheetName val="Transactions_Reclassification23"/>
      <sheetName val="Prepayment_Movement23"/>
      <sheetName val="Intercompany_Payables23"/>
      <sheetName val="Realised_Exchange_Loss_Calc23"/>
      <sheetName val="Sheet6_(2)23"/>
      <sheetName val="2016_SAP_Movement23"/>
      <sheetName val="Revenue_Analysis23"/>
      <sheetName val="418115001_Grp_PrdEndInc__Targ23"/>
      <sheetName val="Revenue_&amp;_Bonus_Analysis23"/>
      <sheetName val="Statistics_{pbc}25"/>
      <sheetName val="BS100_NEW25"/>
      <sheetName val="Tenant_Data25"/>
      <sheetName val="Lookup_Tables25"/>
      <sheetName val="Table_3_-_Valuation25"/>
      <sheetName val="Summary_125"/>
      <sheetName val="TREND_P+L24"/>
      <sheetName val="Recon__Matrix25"/>
      <sheetName val="Agency_Prod_Budg_Analysis23"/>
      <sheetName val="Amortisation_Schedule_(State)15"/>
      <sheetName val="Profit_&amp;_Loss15"/>
      <sheetName val="Balance_Sheet15"/>
      <sheetName val="AUD_REPORT_CON'T15"/>
      <sheetName val="BAL_SHEET15"/>
      <sheetName val="GL_PnL8"/>
      <sheetName val="Fixed_Assets_Schedule8"/>
      <sheetName val="paye_3-18"/>
      <sheetName val="BUS_EXP_79"/>
      <sheetName val="30TH_FINANCIAL79"/>
      <sheetName val="INCOME_STATEMENT79"/>
      <sheetName val="BALSHEET_TEMPLATE79"/>
      <sheetName val="COMM&amp;FEES_TEMPLATE79"/>
      <sheetName val="LCY_BALSHEET_WKS79"/>
      <sheetName val="COMM_FEES_TEMPLATE79"/>
      <sheetName val="Staff_Debtors79"/>
      <sheetName val="AFRICA_OTH_temp78"/>
      <sheetName val="LINEBYLINE_temp78"/>
      <sheetName val="CAMEROON_temp78"/>
      <sheetName val="GHANA_temp78"/>
      <sheetName val="NIGERIA_temp78"/>
      <sheetName val="EAST_AFRICA_temp78"/>
      <sheetName val="REPORT_temp78"/>
      <sheetName val="SEYCHELLES_temp78"/>
      <sheetName val="Movement_Calc78"/>
      <sheetName val="ANNUAL_CTC43"/>
      <sheetName val="Summary_BS42"/>
      <sheetName val="MD&amp;A_201542"/>
      <sheetName val="All_Securities42"/>
      <sheetName val="Market_Data_Input42"/>
      <sheetName val="IS_200740"/>
      <sheetName val="BS_200740"/>
      <sheetName val="CF_200740"/>
      <sheetName val="FC_start40"/>
      <sheetName val="Gx_200740"/>
      <sheetName val="Gx_adj40"/>
      <sheetName val="Gx_tax40"/>
      <sheetName val="Tx_200740"/>
      <sheetName val="Tx_adj40"/>
      <sheetName val="Tx_tax40"/>
      <sheetName val="Dx_200740"/>
      <sheetName val="Dx_adj40"/>
      <sheetName val="Dx_tax40"/>
      <sheetName val="Trex_200740"/>
      <sheetName val="Trex_adj40"/>
      <sheetName val="Trex_tax40"/>
      <sheetName val="Expx_200740"/>
      <sheetName val="Expx_tax40"/>
      <sheetName val="Expx_adj40"/>
      <sheetName val="Dsmx_200740"/>
      <sheetName val="Dsmx_adj40"/>
      <sheetName val="Dsmx_tax40"/>
      <sheetName val="Corpx_200740"/>
      <sheetName val="Corpx_adj40"/>
      <sheetName val="Corpx_tax40"/>
      <sheetName val="invx_200740"/>
      <sheetName val="capex_(2)40"/>
      <sheetName val="2007_TB40"/>
      <sheetName val="Revised_ending_2006_TB40"/>
      <sheetName val="Old_TB-_200740"/>
      <sheetName val="Journal_entries42"/>
      <sheetName val="chart__42"/>
      <sheetName val="Reserves_Breakdown39"/>
      <sheetName val="Wef_17Jun0539"/>
      <sheetName val="Journal_entries_-_Group28"/>
      <sheetName val="Journal_entries(Coy)28"/>
      <sheetName val="TB_201326"/>
      <sheetName val="Extended_Trial_Balance_201326"/>
      <sheetName val="Cover_page26"/>
      <sheetName val="Corp_info_and_Opinion26"/>
      <sheetName val="SFP_and_P_or_L26"/>
      <sheetName val="Acc_pol26"/>
      <sheetName val="Acc_policy26"/>
      <sheetName val="Notes_to_account26"/>
      <sheetName val="Risk_mgt26"/>
      <sheetName val="Other_National_Disclosures26"/>
      <sheetName val="VAS_&amp;_Fin_Summ26"/>
      <sheetName val="Fin_summ26"/>
      <sheetName val="ADJ_-_201426"/>
      <sheetName val="ADJ_-_201326"/>
      <sheetName val="2015_SAP_Movement26"/>
      <sheetName val="2017_SAP_Movement26"/>
      <sheetName val="ADJ_-_201526"/>
      <sheetName val="Lease_Payment_Schedule26"/>
      <sheetName val="ADJ_-_201626"/>
      <sheetName val="ADJ_-_201726"/>
      <sheetName val="Prepayment_201726"/>
      <sheetName val="2017_Revenue_comp26"/>
      <sheetName val="Cash_and_Cash_Equivalent26"/>
      <sheetName val="Transactions_Reclassification26"/>
      <sheetName val="Prepayment_Movement26"/>
      <sheetName val="Intercompany_Payables26"/>
      <sheetName val="Realised_Exchange_Loss_Calc26"/>
      <sheetName val="Sheet6_(2)26"/>
      <sheetName val="2016_SAP_Movement26"/>
      <sheetName val="Revenue_Analysis26"/>
      <sheetName val="418115001_Grp_PrdEndInc__Targ26"/>
      <sheetName val="Revenue_&amp;_Bonus_Analysis26"/>
      <sheetName val="Statistics_{pbc}28"/>
      <sheetName val="BS100_NEW28"/>
      <sheetName val="Tenant_Data28"/>
      <sheetName val="Lookup_Tables28"/>
      <sheetName val="Table_3_-_Valuation28"/>
      <sheetName val="Summary_128"/>
      <sheetName val="TREND_P+L27"/>
      <sheetName val="Recon__Matrix28"/>
      <sheetName val="Agency_Prod_Budg_Analysis26"/>
      <sheetName val="Leadway_jv18"/>
      <sheetName val="Princ_Arr18"/>
      <sheetName val="Int_Arr18"/>
      <sheetName val="NPV_calculator18"/>
      <sheetName val="Amortisation_Schedule_(State)18"/>
      <sheetName val="TREND_PAL18"/>
      <sheetName val="Profit_&amp;_Loss18"/>
      <sheetName val="Balance_Sheet18"/>
      <sheetName val="Static_Data18"/>
      <sheetName val="Preliminary_Tariff_Results18"/>
      <sheetName val="Scenario_Definitions18"/>
      <sheetName val="DETAILED_BALSHT_VOL_PROJ19"/>
      <sheetName val="AUD_REPORT_CON'T18"/>
      <sheetName val="BAL_SHEET18"/>
      <sheetName val="EXTENDED_TRIAL_BALANCE-F15"/>
      <sheetName val="GL_PnL11"/>
      <sheetName val="Fixed_Assets_Schedule11"/>
      <sheetName val="paye_3-111"/>
      <sheetName val="BUS_EXP_78"/>
      <sheetName val="30TH_FINANCIAL78"/>
      <sheetName val="INCOME_STATEMENT78"/>
      <sheetName val="BALSHEET_TEMPLATE78"/>
      <sheetName val="COMM&amp;FEES_TEMPLATE78"/>
      <sheetName val="LCY_BALSHEET_WKS78"/>
      <sheetName val="COMM_FEES_TEMPLATE78"/>
      <sheetName val="Staff_Debtors78"/>
      <sheetName val="AFRICA_OTH_temp77"/>
      <sheetName val="LINEBYLINE_temp77"/>
      <sheetName val="CAMEROON_temp77"/>
      <sheetName val="GHANA_temp77"/>
      <sheetName val="NIGERIA_temp77"/>
      <sheetName val="EAST_AFRICA_temp77"/>
      <sheetName val="REPORT_temp77"/>
      <sheetName val="SEYCHELLES_temp77"/>
      <sheetName val="Movement_Calc77"/>
      <sheetName val="ANNUAL_CTC42"/>
      <sheetName val="Summary_BS41"/>
      <sheetName val="MD&amp;A_201541"/>
      <sheetName val="All_Securities41"/>
      <sheetName val="Market_Data_Input41"/>
      <sheetName val="IS_200739"/>
      <sheetName val="BS_200739"/>
      <sheetName val="CF_200739"/>
      <sheetName val="FC_start39"/>
      <sheetName val="Gx_200739"/>
      <sheetName val="Gx_adj39"/>
      <sheetName val="Gx_tax39"/>
      <sheetName val="Tx_200739"/>
      <sheetName val="Tx_adj39"/>
      <sheetName val="Tx_tax39"/>
      <sheetName val="Dx_200739"/>
      <sheetName val="Dx_adj39"/>
      <sheetName val="Dx_tax39"/>
      <sheetName val="Trex_200739"/>
      <sheetName val="Trex_adj39"/>
      <sheetName val="Trex_tax39"/>
      <sheetName val="Expx_200739"/>
      <sheetName val="Expx_tax39"/>
      <sheetName val="Expx_adj39"/>
      <sheetName val="Dsmx_200739"/>
      <sheetName val="Dsmx_adj39"/>
      <sheetName val="Dsmx_tax39"/>
      <sheetName val="Corpx_200739"/>
      <sheetName val="Corpx_adj39"/>
      <sheetName val="Corpx_tax39"/>
      <sheetName val="invx_200739"/>
      <sheetName val="capex_(2)39"/>
      <sheetName val="2007_TB39"/>
      <sheetName val="Revised_ending_2006_TB39"/>
      <sheetName val="Old_TB-_200739"/>
      <sheetName val="Journal_entries41"/>
      <sheetName val="chart__41"/>
      <sheetName val="Reserves_Breakdown38"/>
      <sheetName val="Wef_17Jun0538"/>
      <sheetName val="Journal_entries(Coy)27"/>
      <sheetName val="TB_201325"/>
      <sheetName val="Extended_Trial_Balance_201325"/>
      <sheetName val="Cover_page25"/>
      <sheetName val="Corp_info_and_Opinion25"/>
      <sheetName val="SFP_and_P_or_L25"/>
      <sheetName val="Acc_pol25"/>
      <sheetName val="Acc_policy25"/>
      <sheetName val="Notes_to_account25"/>
      <sheetName val="Risk_mgt25"/>
      <sheetName val="Other_National_Disclosures25"/>
      <sheetName val="VAS_&amp;_Fin_Summ25"/>
      <sheetName val="Fin_summ25"/>
      <sheetName val="ADJ_-_201425"/>
      <sheetName val="ADJ_-_201325"/>
      <sheetName val="2015_SAP_Movement25"/>
      <sheetName val="2017_SAP_Movement25"/>
      <sheetName val="ADJ_-_201525"/>
      <sheetName val="Lease_Payment_Schedule25"/>
      <sheetName val="ADJ_-_201625"/>
      <sheetName val="ADJ_-_201725"/>
      <sheetName val="Prepayment_201725"/>
      <sheetName val="2017_Revenue_comp25"/>
      <sheetName val="Cash_and_Cash_Equivalent25"/>
      <sheetName val="Transactions_Reclassification25"/>
      <sheetName val="Prepayment_Movement25"/>
      <sheetName val="Intercompany_Payables25"/>
      <sheetName val="Realised_Exchange_Loss_Calc25"/>
      <sheetName val="Sheet6_(2)25"/>
      <sheetName val="2016_SAP_Movement25"/>
      <sheetName val="Revenue_Analysis25"/>
      <sheetName val="418115001_Grp_PrdEndInc__Targ25"/>
      <sheetName val="Revenue_&amp;_Bonus_Analysis25"/>
      <sheetName val="Statistics_{pbc}27"/>
      <sheetName val="BS100_NEW27"/>
      <sheetName val="Tenant_Data27"/>
      <sheetName val="Lookup_Tables27"/>
      <sheetName val="Table_3_-_Valuation27"/>
      <sheetName val="Summary_127"/>
      <sheetName val="TREND_P+L26"/>
      <sheetName val="Recon__Matrix27"/>
      <sheetName val="Agency_Prod_Budg_Analysis25"/>
      <sheetName val="Amortisation_Schedule_(State)17"/>
      <sheetName val="TREND_PAL17"/>
      <sheetName val="Profit_&amp;_Loss17"/>
      <sheetName val="Balance_Sheet17"/>
      <sheetName val="AUD_REPORT_CON'T17"/>
      <sheetName val="BAL_SHEET17"/>
      <sheetName val="GL_PnL10"/>
      <sheetName val="Fixed_Assets_Schedule10"/>
      <sheetName val="paye_3-110"/>
      <sheetName val="BUS_EXP_80"/>
      <sheetName val="30TH_FINANCIAL80"/>
      <sheetName val="INCOME_STATEMENT80"/>
      <sheetName val="BALSHEET_TEMPLATE80"/>
      <sheetName val="COMM&amp;FEES_TEMPLATE80"/>
      <sheetName val="LCY_BALSHEET_WKS80"/>
      <sheetName val="COMM_FEES_TEMPLATE80"/>
      <sheetName val="Staff_Debtors80"/>
      <sheetName val="AFRICA_OTH_temp79"/>
      <sheetName val="LINEBYLINE_temp79"/>
      <sheetName val="CAMEROON_temp79"/>
      <sheetName val="GHANA_temp79"/>
      <sheetName val="NIGERIA_temp79"/>
      <sheetName val="EAST_AFRICA_temp79"/>
      <sheetName val="REPORT_temp79"/>
      <sheetName val="SEYCHELLES_temp79"/>
      <sheetName val="Movement_Calc79"/>
      <sheetName val="ANNUAL_CTC44"/>
      <sheetName val="Summary_BS43"/>
      <sheetName val="MD&amp;A_201543"/>
      <sheetName val="All_Securities43"/>
      <sheetName val="Market_Data_Input43"/>
      <sheetName val="IS_200741"/>
      <sheetName val="BS_200741"/>
      <sheetName val="CF_200741"/>
      <sheetName val="FC_start41"/>
      <sheetName val="Gx_200741"/>
      <sheetName val="Gx_adj41"/>
      <sheetName val="Gx_tax41"/>
      <sheetName val="Tx_200741"/>
      <sheetName val="Tx_adj41"/>
      <sheetName val="Tx_tax41"/>
      <sheetName val="Dx_200741"/>
      <sheetName val="Dx_adj41"/>
      <sheetName val="Dx_tax41"/>
      <sheetName val="Trex_200741"/>
      <sheetName val="Trex_adj41"/>
      <sheetName val="Trex_tax41"/>
      <sheetName val="Expx_200741"/>
      <sheetName val="Expx_tax41"/>
      <sheetName val="Expx_adj41"/>
      <sheetName val="Dsmx_200741"/>
      <sheetName val="Dsmx_adj41"/>
      <sheetName val="Dsmx_tax41"/>
      <sheetName val="Corpx_200741"/>
      <sheetName val="Corpx_adj41"/>
      <sheetName val="Corpx_tax41"/>
      <sheetName val="invx_200741"/>
      <sheetName val="capex_(2)41"/>
      <sheetName val="2007_TB41"/>
      <sheetName val="Revised_ending_2006_TB41"/>
      <sheetName val="Old_TB-_200741"/>
      <sheetName val="Journal_entries43"/>
      <sheetName val="chart__43"/>
      <sheetName val="Reserves_Breakdown40"/>
      <sheetName val="Wef_17Jun0540"/>
      <sheetName val="Journal_entries_-_Group29"/>
      <sheetName val="Journal_entries(Coy)29"/>
      <sheetName val="TB_201327"/>
      <sheetName val="Extended_Trial_Balance_201327"/>
      <sheetName val="Cover_page27"/>
      <sheetName val="Corp_info_and_Opinion27"/>
      <sheetName val="SFP_and_P_or_L27"/>
      <sheetName val="Acc_pol27"/>
      <sheetName val="Acc_policy27"/>
      <sheetName val="Notes_to_account27"/>
      <sheetName val="Risk_mgt27"/>
      <sheetName val="Other_National_Disclosures27"/>
      <sheetName val="VAS_&amp;_Fin_Summ27"/>
      <sheetName val="Fin_summ27"/>
      <sheetName val="ADJ_-_201427"/>
      <sheetName val="ADJ_-_201327"/>
      <sheetName val="2015_SAP_Movement27"/>
      <sheetName val="2017_SAP_Movement27"/>
      <sheetName val="ADJ_-_201527"/>
      <sheetName val="Lease_Payment_Schedule27"/>
      <sheetName val="ADJ_-_201627"/>
      <sheetName val="ADJ_-_201727"/>
      <sheetName val="Prepayment_201727"/>
      <sheetName val="2017_Revenue_comp27"/>
      <sheetName val="Cash_and_Cash_Equivalent27"/>
      <sheetName val="Transactions_Reclassification27"/>
      <sheetName val="Prepayment_Movement27"/>
      <sheetName val="Intercompany_Payables27"/>
      <sheetName val="Realised_Exchange_Loss_Calc27"/>
      <sheetName val="Sheet6_(2)27"/>
      <sheetName val="2016_SAP_Movement27"/>
      <sheetName val="Revenue_Analysis27"/>
      <sheetName val="418115001_Grp_PrdEndInc__Targ27"/>
      <sheetName val="Revenue_&amp;_Bonus_Analysis27"/>
      <sheetName val="Statistics_{pbc}29"/>
      <sheetName val="BS100_NEW29"/>
      <sheetName val="Tenant_Data29"/>
      <sheetName val="Lookup_Tables29"/>
      <sheetName val="Table_3_-_Valuation29"/>
      <sheetName val="Summary_129"/>
      <sheetName val="TREND_P+L28"/>
      <sheetName val="Recon__Matrix29"/>
      <sheetName val="Agency_Prod_Budg_Analysis27"/>
      <sheetName val="Leadway_jv19"/>
      <sheetName val="Princ_Arr19"/>
      <sheetName val="Int_Arr19"/>
      <sheetName val="NPV_calculator19"/>
      <sheetName val="Amortisation_Schedule_(State)19"/>
      <sheetName val="TREND_PAL19"/>
      <sheetName val="Profit_&amp;_Loss19"/>
      <sheetName val="Balance_Sheet19"/>
      <sheetName val="Static_Data19"/>
      <sheetName val="Preliminary_Tariff_Results19"/>
      <sheetName val="Scenario_Definitions19"/>
      <sheetName val="DETAILED_BALSHT_VOL_PROJ20"/>
      <sheetName val="AUD_REPORT_CON'T19"/>
      <sheetName val="BAL_SHEET19"/>
      <sheetName val="EXTENDED_TRIAL_BALANCE-F16"/>
      <sheetName val="GL_PnL12"/>
      <sheetName val="Fixed_Assets_Schedule12"/>
      <sheetName val="paye_3-112"/>
      <sheetName val="TD_BASE2"/>
      <sheetName val="BASE_NPL2"/>
      <sheetName val="RE_22"/>
      <sheetName val="Budget_-_Coy_Total_Product2"/>
      <sheetName val="Budget_Coy_Total_Volume2"/>
      <sheetName val="Names_All2"/>
      <sheetName val="Master_Payroll2"/>
      <sheetName val="Summary_Cash_Flow2"/>
      <sheetName val="Project_earnings_and_cashflow2"/>
      <sheetName val="SCH_A2"/>
      <sheetName val="SCH_Q2"/>
      <sheetName val="SCH_C_Charts2"/>
      <sheetName val="SCH_D2"/>
      <sheetName val="DealsList"/>
      <sheetName val="PAC"/>
      <sheetName val="200506"/>
      <sheetName val="GLOBAL OUTSTANDING T.BILLS "/>
      <sheetName val="CASH &amp; BANK"/>
      <sheetName val="NBC_Regrinding_Schedule15"/>
      <sheetName val="Regrinding_Workdays_Mapping15"/>
      <sheetName val="Sales,Prodn_&amp;_Stock15"/>
      <sheetName val="NBC_Regrind_consumption_&amp;_Sto15"/>
      <sheetName val="Note_4-1225"/>
      <sheetName val="Note_13_ppe25"/>
      <sheetName val="Cover_sheet12"/>
      <sheetName val="NBC_Regrinding_Schedule16"/>
      <sheetName val="Regrinding_Workdays_Mapping16"/>
      <sheetName val="Sales,Prodn_&amp;_Stock16"/>
      <sheetName val="NBC_Regrind_consumption_&amp;_Sto16"/>
      <sheetName val="Note_4-1226"/>
      <sheetName val="Note_13_ppe26"/>
      <sheetName val="Cover_sheet13"/>
      <sheetName val="Journal_entries_-_Group30"/>
      <sheetName val="Preliminary_Tariff_Results20"/>
      <sheetName val="Scenario_Definitions20"/>
      <sheetName val="Leadway_jv20"/>
      <sheetName val="Princ_Arr20"/>
      <sheetName val="Int_Arr20"/>
      <sheetName val="NPV_calculator20"/>
      <sheetName val="Static_Data20"/>
      <sheetName val="DETAILED_BALSHT_VOL_PROJ21"/>
      <sheetName val="EXTENDED_TRIAL_BALANCE-F17"/>
      <sheetName val="NBC_Regrinding_Schedule17"/>
      <sheetName val="Regrinding_Workdays_Mapping17"/>
      <sheetName val="Sales,Prodn_&amp;_Stock17"/>
      <sheetName val="NBC_Regrind_consumption_&amp;_Sto17"/>
      <sheetName val="Note_4-1227"/>
      <sheetName val="Note_13_ppe27"/>
      <sheetName val="Cover_sheet14"/>
      <sheetName val="Revenue, Direct Cost"/>
      <sheetName val="do_not_Delete"/>
      <sheetName val="TREND_P_L"/>
      <sheetName val="Journal_entries_-_Group32"/>
      <sheetName val="Preliminary_Tariff_Results22"/>
      <sheetName val="Scenario_Definitions22"/>
      <sheetName val="Leadway_jv22"/>
      <sheetName val="Princ_Arr22"/>
      <sheetName val="Int_Arr22"/>
      <sheetName val="NPV_calculator22"/>
      <sheetName val="Static_Data22"/>
      <sheetName val="DETAILED_BALSHT_VOL_PROJ23"/>
      <sheetName val="TREND_PAL20"/>
      <sheetName val="EXTENDED_TRIAL_BALANCE-F19"/>
      <sheetName val="NBC_Regrinding_Schedule19"/>
      <sheetName val="Regrinding_Workdays_Mapping19"/>
      <sheetName val="Sales,Prodn_&amp;_Stock19"/>
      <sheetName val="NBC_Regrind_consumption_&amp;_Sto19"/>
      <sheetName val="Note_4-1229"/>
      <sheetName val="Note_13_ppe29"/>
      <sheetName val="Cover_sheet16"/>
      <sheetName val="Journal_entries_-_Group31"/>
      <sheetName val="Preliminary_Tariff_Results21"/>
      <sheetName val="Scenario_Definitions21"/>
      <sheetName val="Leadway_jv21"/>
      <sheetName val="Princ_Arr21"/>
      <sheetName val="Int_Arr21"/>
      <sheetName val="NPV_calculator21"/>
      <sheetName val="Static_Data21"/>
      <sheetName val="DETAILED_BALSHT_VOL_PROJ22"/>
      <sheetName val="EXTENDED_TRIAL_BALANCE-F18"/>
      <sheetName val="NBC_Regrinding_Schedule18"/>
      <sheetName val="Regrinding_Workdays_Mapping18"/>
      <sheetName val="Sales,Prodn_&amp;_Stock18"/>
      <sheetName val="NBC_Regrind_consumption_&amp;_Sto18"/>
      <sheetName val="Note_4-1228"/>
      <sheetName val="Note_13_ppe28"/>
      <sheetName val="Cover_sheet15"/>
      <sheetName val="NBL-Main_1"/>
      <sheetName val="N-Client_Information"/>
      <sheetName val="1__Mem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077">
          <cell r="A1077" t="e">
            <v>#REF!</v>
          </cell>
          <cell r="B1077" t="e">
            <v>#REF!</v>
          </cell>
          <cell r="C1077" t="e">
            <v>#REF!</v>
          </cell>
          <cell r="D1077" t="e">
            <v>#REF!</v>
          </cell>
          <cell r="E1077" t="e">
            <v>#REF!</v>
          </cell>
          <cell r="F1077" t="e">
            <v>#REF!</v>
          </cell>
          <cell r="G1077" t="e">
            <v>#REF!</v>
          </cell>
          <cell r="H1077" t="e">
            <v>#REF!</v>
          </cell>
          <cell r="I1077" t="e">
            <v>#REF!</v>
          </cell>
          <cell r="J1077" t="e">
            <v>#REF!</v>
          </cell>
          <cell r="K1077" t="e">
            <v>#REF!</v>
          </cell>
          <cell r="L1077" t="e">
            <v>#REF!</v>
          </cell>
          <cell r="M1077" t="e">
            <v>#REF!</v>
          </cell>
          <cell r="N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</row>
        <row r="1078">
          <cell r="A1078" t="e">
            <v>#REF!</v>
          </cell>
          <cell r="B1078" t="e">
            <v>#REF!</v>
          </cell>
          <cell r="C1078" t="e">
            <v>#REF!</v>
          </cell>
          <cell r="D1078" t="e">
            <v>#REF!</v>
          </cell>
          <cell r="E1078" t="e">
            <v>#REF!</v>
          </cell>
          <cell r="F1078" t="e">
            <v>#REF!</v>
          </cell>
          <cell r="G1078" t="e">
            <v>#REF!</v>
          </cell>
          <cell r="H1078" t="e">
            <v>#REF!</v>
          </cell>
          <cell r="I1078" t="e">
            <v>#REF!</v>
          </cell>
          <cell r="J1078" t="e">
            <v>#REF!</v>
          </cell>
          <cell r="K1078" t="e">
            <v>#REF!</v>
          </cell>
          <cell r="L1078" t="e">
            <v>#REF!</v>
          </cell>
          <cell r="M1078" t="e">
            <v>#REF!</v>
          </cell>
          <cell r="N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</row>
        <row r="1079">
          <cell r="A1079" t="e">
            <v>#REF!</v>
          </cell>
          <cell r="B1079" t="e">
            <v>#REF!</v>
          </cell>
          <cell r="C1079" t="e">
            <v>#REF!</v>
          </cell>
          <cell r="D1079" t="e">
            <v>#REF!</v>
          </cell>
          <cell r="E1079" t="e">
            <v>#REF!</v>
          </cell>
          <cell r="F1079" t="e">
            <v>#REF!</v>
          </cell>
          <cell r="G1079" t="e">
            <v>#REF!</v>
          </cell>
          <cell r="H1079" t="e">
            <v>#REF!</v>
          </cell>
          <cell r="I1079" t="e">
            <v>#REF!</v>
          </cell>
          <cell r="J1079" t="e">
            <v>#REF!</v>
          </cell>
          <cell r="K1079" t="e">
            <v>#REF!</v>
          </cell>
          <cell r="L1079" t="e">
            <v>#REF!</v>
          </cell>
          <cell r="M1079" t="e">
            <v>#REF!</v>
          </cell>
          <cell r="N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</row>
        <row r="1080">
          <cell r="A1080" t="e">
            <v>#REF!</v>
          </cell>
          <cell r="B1080" t="e">
            <v>#REF!</v>
          </cell>
          <cell r="C1080" t="e">
            <v>#REF!</v>
          </cell>
          <cell r="D1080" t="e">
            <v>#REF!</v>
          </cell>
          <cell r="E1080" t="e">
            <v>#REF!</v>
          </cell>
          <cell r="F1080" t="e">
            <v>#REF!</v>
          </cell>
          <cell r="G1080" t="e">
            <v>#REF!</v>
          </cell>
          <cell r="H1080" t="e">
            <v>#REF!</v>
          </cell>
          <cell r="I1080" t="e">
            <v>#REF!</v>
          </cell>
          <cell r="J1080" t="e">
            <v>#REF!</v>
          </cell>
          <cell r="K1080" t="e">
            <v>#REF!</v>
          </cell>
          <cell r="L1080" t="e">
            <v>#REF!</v>
          </cell>
          <cell r="M1080" t="e">
            <v>#REF!</v>
          </cell>
          <cell r="N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</row>
        <row r="1081">
          <cell r="A1081" t="e">
            <v>#REF!</v>
          </cell>
          <cell r="B1081" t="e">
            <v>#REF!</v>
          </cell>
          <cell r="C1081" t="e">
            <v>#REF!</v>
          </cell>
          <cell r="D1081" t="e">
            <v>#REF!</v>
          </cell>
          <cell r="E1081" t="e">
            <v>#REF!</v>
          </cell>
          <cell r="F1081" t="e">
            <v>#REF!</v>
          </cell>
          <cell r="G1081" t="e">
            <v>#REF!</v>
          </cell>
          <cell r="H1081" t="e">
            <v>#REF!</v>
          </cell>
          <cell r="I1081" t="e">
            <v>#REF!</v>
          </cell>
          <cell r="J1081" t="e">
            <v>#REF!</v>
          </cell>
          <cell r="K1081" t="e">
            <v>#REF!</v>
          </cell>
          <cell r="L1081" t="e">
            <v>#REF!</v>
          </cell>
          <cell r="M1081" t="e">
            <v>#REF!</v>
          </cell>
          <cell r="N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</row>
        <row r="1082">
          <cell r="A1082" t="e">
            <v>#REF!</v>
          </cell>
          <cell r="B1082" t="e">
            <v>#REF!</v>
          </cell>
          <cell r="C1082" t="e">
            <v>#REF!</v>
          </cell>
          <cell r="D1082" t="e">
            <v>#REF!</v>
          </cell>
          <cell r="E1082" t="e">
            <v>#REF!</v>
          </cell>
          <cell r="F1082" t="e">
            <v>#REF!</v>
          </cell>
          <cell r="G1082" t="e">
            <v>#REF!</v>
          </cell>
          <cell r="H1082" t="e">
            <v>#REF!</v>
          </cell>
          <cell r="I1082" t="e">
            <v>#REF!</v>
          </cell>
          <cell r="J1082" t="e">
            <v>#REF!</v>
          </cell>
          <cell r="K1082" t="e">
            <v>#REF!</v>
          </cell>
          <cell r="L1082" t="e">
            <v>#REF!</v>
          </cell>
          <cell r="M1082" t="e">
            <v>#REF!</v>
          </cell>
          <cell r="N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</row>
        <row r="1083">
          <cell r="A1083" t="e">
            <v>#REF!</v>
          </cell>
          <cell r="B1083" t="e">
            <v>#REF!</v>
          </cell>
          <cell r="C1083" t="e">
            <v>#REF!</v>
          </cell>
          <cell r="D1083" t="e">
            <v>#REF!</v>
          </cell>
          <cell r="E1083" t="e">
            <v>#REF!</v>
          </cell>
          <cell r="F1083" t="e">
            <v>#REF!</v>
          </cell>
          <cell r="G1083" t="e">
            <v>#REF!</v>
          </cell>
          <cell r="H1083" t="e">
            <v>#REF!</v>
          </cell>
          <cell r="I1083" t="e">
            <v>#REF!</v>
          </cell>
          <cell r="J1083" t="e">
            <v>#REF!</v>
          </cell>
          <cell r="K1083" t="e">
            <v>#REF!</v>
          </cell>
          <cell r="L1083" t="e">
            <v>#REF!</v>
          </cell>
          <cell r="M1083" t="e">
            <v>#REF!</v>
          </cell>
          <cell r="N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</row>
        <row r="1084">
          <cell r="A1084" t="e">
            <v>#REF!</v>
          </cell>
          <cell r="B1084" t="e">
            <v>#REF!</v>
          </cell>
          <cell r="C1084" t="e">
            <v>#REF!</v>
          </cell>
          <cell r="D1084" t="e">
            <v>#REF!</v>
          </cell>
          <cell r="E1084" t="e">
            <v>#REF!</v>
          </cell>
          <cell r="F1084" t="e">
            <v>#REF!</v>
          </cell>
          <cell r="G1084" t="e">
            <v>#REF!</v>
          </cell>
          <cell r="H1084" t="e">
            <v>#REF!</v>
          </cell>
          <cell r="I1084" t="e">
            <v>#REF!</v>
          </cell>
          <cell r="J1084" t="e">
            <v>#REF!</v>
          </cell>
          <cell r="K1084" t="e">
            <v>#REF!</v>
          </cell>
          <cell r="L1084" t="e">
            <v>#REF!</v>
          </cell>
          <cell r="M1084" t="e">
            <v>#REF!</v>
          </cell>
          <cell r="N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</row>
        <row r="1085">
          <cell r="A1085" t="e">
            <v>#REF!</v>
          </cell>
          <cell r="B1085" t="e">
            <v>#REF!</v>
          </cell>
          <cell r="C1085" t="e">
            <v>#REF!</v>
          </cell>
          <cell r="D1085" t="e">
            <v>#REF!</v>
          </cell>
          <cell r="E1085" t="e">
            <v>#REF!</v>
          </cell>
          <cell r="F1085" t="e">
            <v>#REF!</v>
          </cell>
          <cell r="G1085" t="e">
            <v>#REF!</v>
          </cell>
          <cell r="H1085" t="e">
            <v>#REF!</v>
          </cell>
          <cell r="I1085" t="e">
            <v>#REF!</v>
          </cell>
          <cell r="J1085" t="e">
            <v>#REF!</v>
          </cell>
          <cell r="K1085" t="e">
            <v>#REF!</v>
          </cell>
          <cell r="L1085" t="e">
            <v>#REF!</v>
          </cell>
          <cell r="M1085" t="e">
            <v>#REF!</v>
          </cell>
          <cell r="N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</row>
        <row r="1086">
          <cell r="A1086" t="e">
            <v>#REF!</v>
          </cell>
          <cell r="B1086" t="e">
            <v>#REF!</v>
          </cell>
          <cell r="C1086" t="e">
            <v>#REF!</v>
          </cell>
          <cell r="D1086" t="e">
            <v>#REF!</v>
          </cell>
          <cell r="E1086" t="e">
            <v>#REF!</v>
          </cell>
          <cell r="F1086" t="e">
            <v>#REF!</v>
          </cell>
          <cell r="G1086" t="e">
            <v>#REF!</v>
          </cell>
          <cell r="H1086" t="e">
            <v>#REF!</v>
          </cell>
          <cell r="I1086" t="e">
            <v>#REF!</v>
          </cell>
          <cell r="J1086" t="e">
            <v>#REF!</v>
          </cell>
          <cell r="K1086" t="e">
            <v>#REF!</v>
          </cell>
          <cell r="L1086" t="e">
            <v>#REF!</v>
          </cell>
          <cell r="M1086" t="e">
            <v>#REF!</v>
          </cell>
          <cell r="N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</row>
        <row r="1087">
          <cell r="A1087" t="e">
            <v>#REF!</v>
          </cell>
          <cell r="B1087" t="e">
            <v>#REF!</v>
          </cell>
          <cell r="C1087" t="e">
            <v>#REF!</v>
          </cell>
          <cell r="D1087" t="e">
            <v>#REF!</v>
          </cell>
          <cell r="E1087" t="e">
            <v>#REF!</v>
          </cell>
          <cell r="F1087" t="e">
            <v>#REF!</v>
          </cell>
          <cell r="G1087" t="e">
            <v>#REF!</v>
          </cell>
          <cell r="H1087" t="e">
            <v>#REF!</v>
          </cell>
          <cell r="I1087" t="e">
            <v>#REF!</v>
          </cell>
          <cell r="J1087" t="e">
            <v>#REF!</v>
          </cell>
          <cell r="K1087" t="e">
            <v>#REF!</v>
          </cell>
          <cell r="L1087" t="e">
            <v>#REF!</v>
          </cell>
          <cell r="M1087" t="e">
            <v>#REF!</v>
          </cell>
          <cell r="N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</row>
        <row r="1088">
          <cell r="A1088" t="e">
            <v>#REF!</v>
          </cell>
          <cell r="B1088" t="e">
            <v>#REF!</v>
          </cell>
          <cell r="C1088" t="e">
            <v>#REF!</v>
          </cell>
          <cell r="D1088" t="e">
            <v>#REF!</v>
          </cell>
          <cell r="E1088" t="e">
            <v>#REF!</v>
          </cell>
          <cell r="F1088" t="e">
            <v>#REF!</v>
          </cell>
          <cell r="G1088" t="e">
            <v>#REF!</v>
          </cell>
          <cell r="H1088" t="e">
            <v>#REF!</v>
          </cell>
          <cell r="I1088" t="e">
            <v>#REF!</v>
          </cell>
          <cell r="J1088" t="e">
            <v>#REF!</v>
          </cell>
          <cell r="K1088" t="e">
            <v>#REF!</v>
          </cell>
          <cell r="L1088" t="e">
            <v>#REF!</v>
          </cell>
          <cell r="M1088" t="e">
            <v>#REF!</v>
          </cell>
          <cell r="N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</row>
        <row r="1089">
          <cell r="A1089" t="e">
            <v>#REF!</v>
          </cell>
          <cell r="B1089" t="e">
            <v>#REF!</v>
          </cell>
          <cell r="C1089" t="e">
            <v>#REF!</v>
          </cell>
          <cell r="D1089" t="e">
            <v>#REF!</v>
          </cell>
          <cell r="E1089" t="e">
            <v>#REF!</v>
          </cell>
          <cell r="F1089" t="e">
            <v>#REF!</v>
          </cell>
          <cell r="G1089" t="e">
            <v>#REF!</v>
          </cell>
          <cell r="H1089" t="e">
            <v>#REF!</v>
          </cell>
          <cell r="I1089" t="e">
            <v>#REF!</v>
          </cell>
          <cell r="J1089" t="e">
            <v>#REF!</v>
          </cell>
          <cell r="K1089" t="e">
            <v>#REF!</v>
          </cell>
          <cell r="L1089" t="e">
            <v>#REF!</v>
          </cell>
          <cell r="M1089" t="e">
            <v>#REF!</v>
          </cell>
          <cell r="N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</row>
        <row r="1090">
          <cell r="A1090" t="e">
            <v>#REF!</v>
          </cell>
          <cell r="B1090" t="e">
            <v>#REF!</v>
          </cell>
          <cell r="C1090" t="e">
            <v>#REF!</v>
          </cell>
          <cell r="D1090" t="e">
            <v>#REF!</v>
          </cell>
          <cell r="E1090" t="e">
            <v>#REF!</v>
          </cell>
          <cell r="F1090" t="e">
            <v>#REF!</v>
          </cell>
          <cell r="G1090" t="e">
            <v>#REF!</v>
          </cell>
          <cell r="H1090" t="e">
            <v>#REF!</v>
          </cell>
          <cell r="I1090" t="e">
            <v>#REF!</v>
          </cell>
          <cell r="J1090" t="e">
            <v>#REF!</v>
          </cell>
          <cell r="K1090" t="e">
            <v>#REF!</v>
          </cell>
          <cell r="L1090" t="e">
            <v>#REF!</v>
          </cell>
          <cell r="M1090" t="e">
            <v>#REF!</v>
          </cell>
          <cell r="N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</row>
        <row r="1091">
          <cell r="A1091" t="e">
            <v>#REF!</v>
          </cell>
          <cell r="B1091" t="e">
            <v>#REF!</v>
          </cell>
          <cell r="C1091" t="e">
            <v>#REF!</v>
          </cell>
          <cell r="D1091" t="e">
            <v>#REF!</v>
          </cell>
          <cell r="E1091" t="e">
            <v>#REF!</v>
          </cell>
          <cell r="F1091" t="e">
            <v>#REF!</v>
          </cell>
          <cell r="G1091" t="e">
            <v>#REF!</v>
          </cell>
          <cell r="H1091" t="e">
            <v>#REF!</v>
          </cell>
          <cell r="I1091" t="e">
            <v>#REF!</v>
          </cell>
          <cell r="J1091" t="e">
            <v>#REF!</v>
          </cell>
          <cell r="K1091" t="e">
            <v>#REF!</v>
          </cell>
          <cell r="L1091" t="e">
            <v>#REF!</v>
          </cell>
          <cell r="M1091" t="e">
            <v>#REF!</v>
          </cell>
          <cell r="N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</row>
        <row r="1092">
          <cell r="A1092" t="e">
            <v>#REF!</v>
          </cell>
          <cell r="B1092" t="e">
            <v>#REF!</v>
          </cell>
          <cell r="C1092" t="e">
            <v>#REF!</v>
          </cell>
          <cell r="D1092" t="e">
            <v>#REF!</v>
          </cell>
          <cell r="E1092" t="e">
            <v>#REF!</v>
          </cell>
          <cell r="F1092" t="e">
            <v>#REF!</v>
          </cell>
          <cell r="G1092" t="e">
            <v>#REF!</v>
          </cell>
          <cell r="H1092" t="e">
            <v>#REF!</v>
          </cell>
          <cell r="I1092" t="e">
            <v>#REF!</v>
          </cell>
          <cell r="J1092" t="e">
            <v>#REF!</v>
          </cell>
          <cell r="K1092" t="e">
            <v>#REF!</v>
          </cell>
          <cell r="L1092" t="e">
            <v>#REF!</v>
          </cell>
          <cell r="M1092" t="e">
            <v>#REF!</v>
          </cell>
          <cell r="N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</row>
        <row r="1093">
          <cell r="A1093" t="e">
            <v>#REF!</v>
          </cell>
          <cell r="B1093" t="e">
            <v>#REF!</v>
          </cell>
          <cell r="C1093" t="e">
            <v>#REF!</v>
          </cell>
          <cell r="D1093" t="e">
            <v>#REF!</v>
          </cell>
          <cell r="E1093" t="e">
            <v>#REF!</v>
          </cell>
          <cell r="F1093" t="e">
            <v>#REF!</v>
          </cell>
          <cell r="G1093" t="e">
            <v>#REF!</v>
          </cell>
          <cell r="H1093" t="e">
            <v>#REF!</v>
          </cell>
          <cell r="I1093" t="e">
            <v>#REF!</v>
          </cell>
          <cell r="J1093" t="e">
            <v>#REF!</v>
          </cell>
          <cell r="K1093" t="e">
            <v>#REF!</v>
          </cell>
          <cell r="L1093" t="e">
            <v>#REF!</v>
          </cell>
          <cell r="M1093" t="e">
            <v>#REF!</v>
          </cell>
          <cell r="N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</row>
        <row r="1094">
          <cell r="A1094" t="e">
            <v>#REF!</v>
          </cell>
          <cell r="B1094" t="e">
            <v>#REF!</v>
          </cell>
          <cell r="C1094" t="e">
            <v>#REF!</v>
          </cell>
          <cell r="D1094" t="e">
            <v>#REF!</v>
          </cell>
          <cell r="E1094" t="e">
            <v>#REF!</v>
          </cell>
          <cell r="F1094" t="e">
            <v>#REF!</v>
          </cell>
          <cell r="G1094" t="e">
            <v>#REF!</v>
          </cell>
          <cell r="H1094" t="e">
            <v>#REF!</v>
          </cell>
          <cell r="I1094" t="e">
            <v>#REF!</v>
          </cell>
          <cell r="J1094" t="e">
            <v>#REF!</v>
          </cell>
          <cell r="K1094" t="e">
            <v>#REF!</v>
          </cell>
          <cell r="L1094" t="e">
            <v>#REF!</v>
          </cell>
          <cell r="M1094" t="e">
            <v>#REF!</v>
          </cell>
          <cell r="N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</row>
        <row r="1095">
          <cell r="A1095" t="e">
            <v>#REF!</v>
          </cell>
          <cell r="B1095" t="e">
            <v>#REF!</v>
          </cell>
          <cell r="C1095" t="e">
            <v>#REF!</v>
          </cell>
          <cell r="D1095" t="e">
            <v>#REF!</v>
          </cell>
          <cell r="E1095" t="e">
            <v>#REF!</v>
          </cell>
          <cell r="F1095" t="e">
            <v>#REF!</v>
          </cell>
          <cell r="G1095" t="e">
            <v>#REF!</v>
          </cell>
          <cell r="H1095" t="e">
            <v>#REF!</v>
          </cell>
          <cell r="I1095" t="e">
            <v>#REF!</v>
          </cell>
          <cell r="J1095" t="e">
            <v>#REF!</v>
          </cell>
          <cell r="K1095" t="e">
            <v>#REF!</v>
          </cell>
          <cell r="L1095" t="e">
            <v>#REF!</v>
          </cell>
          <cell r="M1095" t="e">
            <v>#REF!</v>
          </cell>
          <cell r="N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</row>
        <row r="1096">
          <cell r="A1096" t="e">
            <v>#REF!</v>
          </cell>
          <cell r="B1096" t="e">
            <v>#REF!</v>
          </cell>
          <cell r="C1096" t="e">
            <v>#REF!</v>
          </cell>
          <cell r="D1096" t="e">
            <v>#REF!</v>
          </cell>
          <cell r="E1096" t="e">
            <v>#REF!</v>
          </cell>
          <cell r="F1096" t="e">
            <v>#REF!</v>
          </cell>
          <cell r="G1096" t="e">
            <v>#REF!</v>
          </cell>
          <cell r="H1096" t="e">
            <v>#REF!</v>
          </cell>
          <cell r="I1096" t="e">
            <v>#REF!</v>
          </cell>
          <cell r="J1096" t="e">
            <v>#REF!</v>
          </cell>
          <cell r="K1096" t="e">
            <v>#REF!</v>
          </cell>
          <cell r="L1096" t="e">
            <v>#REF!</v>
          </cell>
          <cell r="M1096" t="e">
            <v>#REF!</v>
          </cell>
          <cell r="N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</row>
        <row r="1097">
          <cell r="A1097" t="e">
            <v>#REF!</v>
          </cell>
          <cell r="B1097" t="e">
            <v>#REF!</v>
          </cell>
          <cell r="C1097" t="e">
            <v>#REF!</v>
          </cell>
          <cell r="D1097" t="e">
            <v>#REF!</v>
          </cell>
          <cell r="E1097" t="e">
            <v>#REF!</v>
          </cell>
          <cell r="F1097" t="e">
            <v>#REF!</v>
          </cell>
          <cell r="G1097" t="e">
            <v>#REF!</v>
          </cell>
          <cell r="H1097" t="e">
            <v>#REF!</v>
          </cell>
          <cell r="I1097" t="e">
            <v>#REF!</v>
          </cell>
          <cell r="J1097" t="e">
            <v>#REF!</v>
          </cell>
          <cell r="K1097" t="e">
            <v>#REF!</v>
          </cell>
          <cell r="L1097" t="e">
            <v>#REF!</v>
          </cell>
          <cell r="M1097" t="e">
            <v>#REF!</v>
          </cell>
          <cell r="N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</row>
        <row r="1098">
          <cell r="A1098" t="e">
            <v>#REF!</v>
          </cell>
          <cell r="B1098" t="e">
            <v>#REF!</v>
          </cell>
          <cell r="C1098" t="e">
            <v>#REF!</v>
          </cell>
          <cell r="D1098" t="e">
            <v>#REF!</v>
          </cell>
          <cell r="E1098" t="e">
            <v>#REF!</v>
          </cell>
          <cell r="F1098" t="e">
            <v>#REF!</v>
          </cell>
          <cell r="G1098" t="e">
            <v>#REF!</v>
          </cell>
          <cell r="H1098" t="e">
            <v>#REF!</v>
          </cell>
          <cell r="I1098" t="e">
            <v>#REF!</v>
          </cell>
          <cell r="J1098" t="e">
            <v>#REF!</v>
          </cell>
          <cell r="K1098" t="e">
            <v>#REF!</v>
          </cell>
          <cell r="L1098" t="e">
            <v>#REF!</v>
          </cell>
          <cell r="M1098" t="e">
            <v>#REF!</v>
          </cell>
          <cell r="N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</row>
        <row r="1099">
          <cell r="A1099" t="e">
            <v>#REF!</v>
          </cell>
          <cell r="B1099" t="e">
            <v>#REF!</v>
          </cell>
          <cell r="C1099" t="e">
            <v>#REF!</v>
          </cell>
          <cell r="D1099" t="e">
            <v>#REF!</v>
          </cell>
          <cell r="E1099" t="e">
            <v>#REF!</v>
          </cell>
          <cell r="F1099" t="e">
            <v>#REF!</v>
          </cell>
          <cell r="G1099" t="e">
            <v>#REF!</v>
          </cell>
          <cell r="H1099" t="e">
            <v>#REF!</v>
          </cell>
          <cell r="I1099" t="e">
            <v>#REF!</v>
          </cell>
          <cell r="J1099" t="e">
            <v>#REF!</v>
          </cell>
          <cell r="K1099" t="e">
            <v>#REF!</v>
          </cell>
          <cell r="L1099" t="e">
            <v>#REF!</v>
          </cell>
          <cell r="M1099" t="e">
            <v>#REF!</v>
          </cell>
          <cell r="N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</row>
        <row r="1100">
          <cell r="A1100" t="e">
            <v>#REF!</v>
          </cell>
          <cell r="B1100" t="e">
            <v>#REF!</v>
          </cell>
          <cell r="C1100" t="e">
            <v>#REF!</v>
          </cell>
          <cell r="D1100" t="e">
            <v>#REF!</v>
          </cell>
          <cell r="E1100" t="e">
            <v>#REF!</v>
          </cell>
          <cell r="F1100" t="e">
            <v>#REF!</v>
          </cell>
          <cell r="G1100" t="e">
            <v>#REF!</v>
          </cell>
          <cell r="H1100" t="e">
            <v>#REF!</v>
          </cell>
          <cell r="I1100" t="e">
            <v>#REF!</v>
          </cell>
          <cell r="J1100" t="e">
            <v>#REF!</v>
          </cell>
          <cell r="K1100" t="e">
            <v>#REF!</v>
          </cell>
          <cell r="L1100" t="e">
            <v>#REF!</v>
          </cell>
          <cell r="M1100" t="e">
            <v>#REF!</v>
          </cell>
          <cell r="N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</row>
        <row r="1101">
          <cell r="A1101" t="e">
            <v>#REF!</v>
          </cell>
          <cell r="B1101" t="e">
            <v>#REF!</v>
          </cell>
          <cell r="C1101" t="e">
            <v>#REF!</v>
          </cell>
          <cell r="D1101" t="e">
            <v>#REF!</v>
          </cell>
          <cell r="E1101" t="e">
            <v>#REF!</v>
          </cell>
          <cell r="F1101" t="e">
            <v>#REF!</v>
          </cell>
          <cell r="G1101" t="e">
            <v>#REF!</v>
          </cell>
          <cell r="H1101" t="e">
            <v>#REF!</v>
          </cell>
          <cell r="I1101" t="e">
            <v>#REF!</v>
          </cell>
          <cell r="J1101" t="e">
            <v>#REF!</v>
          </cell>
          <cell r="K1101" t="e">
            <v>#REF!</v>
          </cell>
          <cell r="L1101" t="e">
            <v>#REF!</v>
          </cell>
          <cell r="M1101" t="e">
            <v>#REF!</v>
          </cell>
          <cell r="N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</row>
        <row r="1102">
          <cell r="A1102" t="e">
            <v>#REF!</v>
          </cell>
          <cell r="B1102" t="e">
            <v>#REF!</v>
          </cell>
          <cell r="C1102" t="e">
            <v>#REF!</v>
          </cell>
          <cell r="D1102" t="e">
            <v>#REF!</v>
          </cell>
          <cell r="E1102" t="e">
            <v>#REF!</v>
          </cell>
          <cell r="F1102" t="e">
            <v>#REF!</v>
          </cell>
          <cell r="G1102" t="e">
            <v>#REF!</v>
          </cell>
          <cell r="H1102" t="e">
            <v>#REF!</v>
          </cell>
          <cell r="I1102" t="e">
            <v>#REF!</v>
          </cell>
          <cell r="J1102" t="e">
            <v>#REF!</v>
          </cell>
          <cell r="K1102" t="e">
            <v>#REF!</v>
          </cell>
          <cell r="L1102" t="e">
            <v>#REF!</v>
          </cell>
          <cell r="M1102" t="e">
            <v>#REF!</v>
          </cell>
          <cell r="N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</row>
        <row r="1103">
          <cell r="A1103" t="e">
            <v>#REF!</v>
          </cell>
          <cell r="B1103" t="e">
            <v>#REF!</v>
          </cell>
          <cell r="C1103" t="e">
            <v>#REF!</v>
          </cell>
          <cell r="D1103" t="e">
            <v>#REF!</v>
          </cell>
          <cell r="E1103" t="e">
            <v>#REF!</v>
          </cell>
          <cell r="F1103" t="e">
            <v>#REF!</v>
          </cell>
          <cell r="G1103" t="e">
            <v>#REF!</v>
          </cell>
          <cell r="H1103" t="e">
            <v>#REF!</v>
          </cell>
          <cell r="I1103" t="e">
            <v>#REF!</v>
          </cell>
          <cell r="J1103" t="e">
            <v>#REF!</v>
          </cell>
          <cell r="K1103" t="e">
            <v>#REF!</v>
          </cell>
          <cell r="L1103" t="e">
            <v>#REF!</v>
          </cell>
          <cell r="M1103" t="e">
            <v>#REF!</v>
          </cell>
          <cell r="N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</row>
        <row r="1104">
          <cell r="A1104" t="e">
            <v>#REF!</v>
          </cell>
          <cell r="B1104" t="e">
            <v>#REF!</v>
          </cell>
          <cell r="C1104" t="e">
            <v>#REF!</v>
          </cell>
          <cell r="D1104" t="e">
            <v>#REF!</v>
          </cell>
          <cell r="E1104" t="e">
            <v>#REF!</v>
          </cell>
          <cell r="F1104" t="e">
            <v>#REF!</v>
          </cell>
          <cell r="G1104" t="e">
            <v>#REF!</v>
          </cell>
          <cell r="H1104" t="e">
            <v>#REF!</v>
          </cell>
          <cell r="I1104" t="e">
            <v>#REF!</v>
          </cell>
          <cell r="J1104" t="e">
            <v>#REF!</v>
          </cell>
          <cell r="K1104" t="e">
            <v>#REF!</v>
          </cell>
          <cell r="L1104" t="e">
            <v>#REF!</v>
          </cell>
          <cell r="M1104" t="e">
            <v>#REF!</v>
          </cell>
          <cell r="N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</row>
        <row r="1105">
          <cell r="A1105" t="e">
            <v>#REF!</v>
          </cell>
          <cell r="B1105" t="e">
            <v>#REF!</v>
          </cell>
          <cell r="C1105" t="e">
            <v>#REF!</v>
          </cell>
          <cell r="D1105" t="e">
            <v>#REF!</v>
          </cell>
          <cell r="E1105" t="e">
            <v>#REF!</v>
          </cell>
          <cell r="F1105" t="e">
            <v>#REF!</v>
          </cell>
          <cell r="G1105" t="e">
            <v>#REF!</v>
          </cell>
          <cell r="H1105" t="e">
            <v>#REF!</v>
          </cell>
          <cell r="I1105" t="e">
            <v>#REF!</v>
          </cell>
          <cell r="J1105" t="e">
            <v>#REF!</v>
          </cell>
          <cell r="K1105" t="e">
            <v>#REF!</v>
          </cell>
          <cell r="L1105" t="e">
            <v>#REF!</v>
          </cell>
          <cell r="M1105" t="e">
            <v>#REF!</v>
          </cell>
          <cell r="N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</row>
        <row r="1106">
          <cell r="A1106" t="e">
            <v>#REF!</v>
          </cell>
          <cell r="B1106" t="e">
            <v>#REF!</v>
          </cell>
          <cell r="C1106" t="e">
            <v>#REF!</v>
          </cell>
          <cell r="D1106" t="e">
            <v>#REF!</v>
          </cell>
          <cell r="E1106" t="e">
            <v>#REF!</v>
          </cell>
          <cell r="F1106" t="e">
            <v>#REF!</v>
          </cell>
          <cell r="G1106" t="e">
            <v>#REF!</v>
          </cell>
          <cell r="H1106" t="e">
            <v>#REF!</v>
          </cell>
          <cell r="I1106" t="e">
            <v>#REF!</v>
          </cell>
          <cell r="J1106" t="e">
            <v>#REF!</v>
          </cell>
          <cell r="K1106" t="e">
            <v>#REF!</v>
          </cell>
          <cell r="L1106" t="e">
            <v>#REF!</v>
          </cell>
          <cell r="M1106" t="e">
            <v>#REF!</v>
          </cell>
          <cell r="N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</row>
        <row r="1107">
          <cell r="A1107" t="e">
            <v>#REF!</v>
          </cell>
          <cell r="B1107" t="e">
            <v>#REF!</v>
          </cell>
          <cell r="C1107" t="e">
            <v>#REF!</v>
          </cell>
          <cell r="D1107" t="e">
            <v>#REF!</v>
          </cell>
          <cell r="E1107" t="e">
            <v>#REF!</v>
          </cell>
          <cell r="F1107" t="e">
            <v>#REF!</v>
          </cell>
          <cell r="G1107" t="e">
            <v>#REF!</v>
          </cell>
          <cell r="H1107" t="e">
            <v>#REF!</v>
          </cell>
          <cell r="I1107" t="e">
            <v>#REF!</v>
          </cell>
          <cell r="J1107" t="e">
            <v>#REF!</v>
          </cell>
          <cell r="K1107" t="e">
            <v>#REF!</v>
          </cell>
          <cell r="L1107" t="e">
            <v>#REF!</v>
          </cell>
          <cell r="M1107" t="e">
            <v>#REF!</v>
          </cell>
          <cell r="N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</row>
        <row r="1108">
          <cell r="A1108" t="e">
            <v>#REF!</v>
          </cell>
          <cell r="B1108" t="e">
            <v>#REF!</v>
          </cell>
          <cell r="C1108" t="e">
            <v>#REF!</v>
          </cell>
          <cell r="D1108" t="e">
            <v>#REF!</v>
          </cell>
          <cell r="E1108" t="e">
            <v>#REF!</v>
          </cell>
          <cell r="F1108" t="e">
            <v>#REF!</v>
          </cell>
          <cell r="G1108" t="e">
            <v>#REF!</v>
          </cell>
          <cell r="H1108" t="e">
            <v>#REF!</v>
          </cell>
          <cell r="I1108" t="e">
            <v>#REF!</v>
          </cell>
          <cell r="J1108" t="e">
            <v>#REF!</v>
          </cell>
          <cell r="K1108" t="e">
            <v>#REF!</v>
          </cell>
          <cell r="L1108" t="e">
            <v>#REF!</v>
          </cell>
          <cell r="M1108" t="e">
            <v>#REF!</v>
          </cell>
          <cell r="N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</row>
        <row r="1109">
          <cell r="A1109" t="e">
            <v>#REF!</v>
          </cell>
          <cell r="B1109" t="e">
            <v>#REF!</v>
          </cell>
          <cell r="C1109" t="e">
            <v>#REF!</v>
          </cell>
          <cell r="D1109" t="e">
            <v>#REF!</v>
          </cell>
          <cell r="E1109" t="e">
            <v>#REF!</v>
          </cell>
          <cell r="F1109" t="e">
            <v>#REF!</v>
          </cell>
          <cell r="G1109" t="e">
            <v>#REF!</v>
          </cell>
          <cell r="H1109" t="e">
            <v>#REF!</v>
          </cell>
          <cell r="I1109" t="e">
            <v>#REF!</v>
          </cell>
          <cell r="J1109" t="e">
            <v>#REF!</v>
          </cell>
          <cell r="K1109" t="e">
            <v>#REF!</v>
          </cell>
          <cell r="L1109" t="e">
            <v>#REF!</v>
          </cell>
          <cell r="M1109" t="e">
            <v>#REF!</v>
          </cell>
          <cell r="N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</row>
        <row r="1110">
          <cell r="A1110" t="e">
            <v>#REF!</v>
          </cell>
          <cell r="B1110" t="e">
            <v>#REF!</v>
          </cell>
          <cell r="C1110" t="e">
            <v>#REF!</v>
          </cell>
          <cell r="D1110" t="e">
            <v>#REF!</v>
          </cell>
          <cell r="E1110" t="e">
            <v>#REF!</v>
          </cell>
          <cell r="F1110" t="e">
            <v>#REF!</v>
          </cell>
          <cell r="G1110" t="e">
            <v>#REF!</v>
          </cell>
          <cell r="H1110" t="e">
            <v>#REF!</v>
          </cell>
          <cell r="I1110" t="e">
            <v>#REF!</v>
          </cell>
          <cell r="J1110" t="e">
            <v>#REF!</v>
          </cell>
          <cell r="K1110" t="e">
            <v>#REF!</v>
          </cell>
          <cell r="L1110" t="e">
            <v>#REF!</v>
          </cell>
          <cell r="M1110" t="e">
            <v>#REF!</v>
          </cell>
          <cell r="N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</row>
        <row r="1111">
          <cell r="A1111" t="e">
            <v>#REF!</v>
          </cell>
          <cell r="B1111" t="e">
            <v>#REF!</v>
          </cell>
          <cell r="C1111" t="e">
            <v>#REF!</v>
          </cell>
          <cell r="D1111" t="e">
            <v>#REF!</v>
          </cell>
          <cell r="E1111" t="e">
            <v>#REF!</v>
          </cell>
          <cell r="F1111" t="e">
            <v>#REF!</v>
          </cell>
          <cell r="G1111" t="e">
            <v>#REF!</v>
          </cell>
          <cell r="H1111" t="e">
            <v>#REF!</v>
          </cell>
          <cell r="I1111" t="e">
            <v>#REF!</v>
          </cell>
          <cell r="J1111" t="e">
            <v>#REF!</v>
          </cell>
          <cell r="K1111" t="e">
            <v>#REF!</v>
          </cell>
          <cell r="L1111" t="e">
            <v>#REF!</v>
          </cell>
          <cell r="M1111" t="e">
            <v>#REF!</v>
          </cell>
          <cell r="N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</row>
        <row r="1112">
          <cell r="A1112" t="e">
            <v>#REF!</v>
          </cell>
          <cell r="B1112" t="e">
            <v>#REF!</v>
          </cell>
          <cell r="C1112" t="e">
            <v>#REF!</v>
          </cell>
          <cell r="D1112" t="e">
            <v>#REF!</v>
          </cell>
          <cell r="E1112" t="e">
            <v>#REF!</v>
          </cell>
          <cell r="F1112" t="e">
            <v>#REF!</v>
          </cell>
          <cell r="G1112" t="e">
            <v>#REF!</v>
          </cell>
          <cell r="H1112" t="e">
            <v>#REF!</v>
          </cell>
          <cell r="I1112" t="e">
            <v>#REF!</v>
          </cell>
          <cell r="J1112" t="e">
            <v>#REF!</v>
          </cell>
          <cell r="K1112" t="e">
            <v>#REF!</v>
          </cell>
          <cell r="L1112" t="e">
            <v>#REF!</v>
          </cell>
          <cell r="M1112" t="e">
            <v>#REF!</v>
          </cell>
          <cell r="N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</row>
        <row r="1113">
          <cell r="A1113" t="e">
            <v>#REF!</v>
          </cell>
          <cell r="B1113" t="e">
            <v>#REF!</v>
          </cell>
          <cell r="C1113" t="e">
            <v>#REF!</v>
          </cell>
          <cell r="D1113" t="e">
            <v>#REF!</v>
          </cell>
          <cell r="E1113" t="e">
            <v>#REF!</v>
          </cell>
          <cell r="F1113" t="e">
            <v>#REF!</v>
          </cell>
          <cell r="G1113" t="e">
            <v>#REF!</v>
          </cell>
          <cell r="H1113" t="e">
            <v>#REF!</v>
          </cell>
          <cell r="I1113" t="e">
            <v>#REF!</v>
          </cell>
          <cell r="J1113" t="e">
            <v>#REF!</v>
          </cell>
          <cell r="K1113" t="e">
            <v>#REF!</v>
          </cell>
          <cell r="L1113" t="e">
            <v>#REF!</v>
          </cell>
          <cell r="M1113" t="e">
            <v>#REF!</v>
          </cell>
          <cell r="N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</row>
        <row r="1114">
          <cell r="A1114" t="e">
            <v>#REF!</v>
          </cell>
          <cell r="B1114" t="e">
            <v>#REF!</v>
          </cell>
          <cell r="C1114" t="e">
            <v>#REF!</v>
          </cell>
          <cell r="D1114" t="e">
            <v>#REF!</v>
          </cell>
          <cell r="E1114" t="e">
            <v>#REF!</v>
          </cell>
          <cell r="F1114" t="e">
            <v>#REF!</v>
          </cell>
          <cell r="G1114" t="e">
            <v>#REF!</v>
          </cell>
          <cell r="H1114" t="e">
            <v>#REF!</v>
          </cell>
          <cell r="I1114" t="e">
            <v>#REF!</v>
          </cell>
          <cell r="J1114" t="e">
            <v>#REF!</v>
          </cell>
          <cell r="K1114" t="e">
            <v>#REF!</v>
          </cell>
          <cell r="L1114" t="e">
            <v>#REF!</v>
          </cell>
          <cell r="M1114" t="e">
            <v>#REF!</v>
          </cell>
          <cell r="N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</row>
        <row r="1115">
          <cell r="A1115" t="e">
            <v>#REF!</v>
          </cell>
          <cell r="B1115" t="e">
            <v>#REF!</v>
          </cell>
          <cell r="C1115" t="e">
            <v>#REF!</v>
          </cell>
          <cell r="D1115" t="e">
            <v>#REF!</v>
          </cell>
          <cell r="E1115" t="e">
            <v>#REF!</v>
          </cell>
          <cell r="F1115" t="e">
            <v>#REF!</v>
          </cell>
          <cell r="G1115" t="e">
            <v>#REF!</v>
          </cell>
          <cell r="H1115" t="e">
            <v>#REF!</v>
          </cell>
          <cell r="I1115" t="e">
            <v>#REF!</v>
          </cell>
          <cell r="J1115" t="e">
            <v>#REF!</v>
          </cell>
          <cell r="K1115" t="e">
            <v>#REF!</v>
          </cell>
          <cell r="L1115" t="e">
            <v>#REF!</v>
          </cell>
          <cell r="M1115" t="e">
            <v>#REF!</v>
          </cell>
          <cell r="N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</row>
        <row r="1116">
          <cell r="A1116" t="e">
            <v>#REF!</v>
          </cell>
          <cell r="B1116" t="e">
            <v>#REF!</v>
          </cell>
          <cell r="C1116" t="e">
            <v>#REF!</v>
          </cell>
          <cell r="D1116" t="e">
            <v>#REF!</v>
          </cell>
          <cell r="E1116" t="e">
            <v>#REF!</v>
          </cell>
          <cell r="F1116" t="e">
            <v>#REF!</v>
          </cell>
          <cell r="G1116" t="e">
            <v>#REF!</v>
          </cell>
          <cell r="H1116" t="e">
            <v>#REF!</v>
          </cell>
          <cell r="I1116" t="e">
            <v>#REF!</v>
          </cell>
          <cell r="J1116" t="e">
            <v>#REF!</v>
          </cell>
          <cell r="K1116" t="e">
            <v>#REF!</v>
          </cell>
          <cell r="L1116" t="e">
            <v>#REF!</v>
          </cell>
          <cell r="M1116" t="e">
            <v>#REF!</v>
          </cell>
          <cell r="N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</row>
        <row r="1117">
          <cell r="A1117" t="e">
            <v>#REF!</v>
          </cell>
          <cell r="B1117" t="e">
            <v>#REF!</v>
          </cell>
          <cell r="C1117" t="e">
            <v>#REF!</v>
          </cell>
          <cell r="D1117" t="e">
            <v>#REF!</v>
          </cell>
          <cell r="E1117" t="e">
            <v>#REF!</v>
          </cell>
          <cell r="F1117" t="e">
            <v>#REF!</v>
          </cell>
          <cell r="G1117" t="e">
            <v>#REF!</v>
          </cell>
          <cell r="H1117" t="e">
            <v>#REF!</v>
          </cell>
          <cell r="I1117" t="e">
            <v>#REF!</v>
          </cell>
          <cell r="J1117" t="e">
            <v>#REF!</v>
          </cell>
          <cell r="K1117" t="e">
            <v>#REF!</v>
          </cell>
          <cell r="L1117" t="e">
            <v>#REF!</v>
          </cell>
          <cell r="M1117" t="e">
            <v>#REF!</v>
          </cell>
          <cell r="N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</row>
        <row r="1118">
          <cell r="A1118" t="e">
            <v>#REF!</v>
          </cell>
          <cell r="B1118" t="e">
            <v>#REF!</v>
          </cell>
          <cell r="C1118" t="e">
            <v>#REF!</v>
          </cell>
          <cell r="D1118" t="e">
            <v>#REF!</v>
          </cell>
          <cell r="E1118" t="e">
            <v>#REF!</v>
          </cell>
          <cell r="F1118" t="e">
            <v>#REF!</v>
          </cell>
          <cell r="G1118" t="e">
            <v>#REF!</v>
          </cell>
          <cell r="H1118" t="e">
            <v>#REF!</v>
          </cell>
          <cell r="I1118" t="e">
            <v>#REF!</v>
          </cell>
          <cell r="J1118" t="e">
            <v>#REF!</v>
          </cell>
          <cell r="K1118" t="e">
            <v>#REF!</v>
          </cell>
          <cell r="L1118" t="e">
            <v>#REF!</v>
          </cell>
          <cell r="M1118" t="e">
            <v>#REF!</v>
          </cell>
          <cell r="N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</row>
        <row r="1119">
          <cell r="A1119" t="e">
            <v>#REF!</v>
          </cell>
          <cell r="B1119" t="e">
            <v>#REF!</v>
          </cell>
          <cell r="C1119" t="e">
            <v>#REF!</v>
          </cell>
          <cell r="D1119" t="e">
            <v>#REF!</v>
          </cell>
          <cell r="E1119" t="e">
            <v>#REF!</v>
          </cell>
          <cell r="F1119" t="e">
            <v>#REF!</v>
          </cell>
          <cell r="G1119" t="e">
            <v>#REF!</v>
          </cell>
          <cell r="H1119" t="e">
            <v>#REF!</v>
          </cell>
          <cell r="I1119" t="e">
            <v>#REF!</v>
          </cell>
          <cell r="J1119" t="e">
            <v>#REF!</v>
          </cell>
          <cell r="K1119" t="e">
            <v>#REF!</v>
          </cell>
          <cell r="L1119" t="e">
            <v>#REF!</v>
          </cell>
          <cell r="M1119" t="e">
            <v>#REF!</v>
          </cell>
          <cell r="N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</row>
        <row r="1120">
          <cell r="A1120" t="e">
            <v>#REF!</v>
          </cell>
          <cell r="B1120" t="e">
            <v>#REF!</v>
          </cell>
          <cell r="C1120" t="e">
            <v>#REF!</v>
          </cell>
          <cell r="D1120" t="e">
            <v>#REF!</v>
          </cell>
          <cell r="E1120" t="e">
            <v>#REF!</v>
          </cell>
          <cell r="F1120" t="e">
            <v>#REF!</v>
          </cell>
          <cell r="G1120" t="e">
            <v>#REF!</v>
          </cell>
          <cell r="H1120" t="e">
            <v>#REF!</v>
          </cell>
          <cell r="I1120" t="e">
            <v>#REF!</v>
          </cell>
          <cell r="J1120" t="e">
            <v>#REF!</v>
          </cell>
          <cell r="K1120" t="e">
            <v>#REF!</v>
          </cell>
          <cell r="L1120" t="e">
            <v>#REF!</v>
          </cell>
          <cell r="M1120" t="e">
            <v>#REF!</v>
          </cell>
          <cell r="N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</row>
        <row r="1121">
          <cell r="A1121" t="e">
            <v>#REF!</v>
          </cell>
          <cell r="B1121" t="e">
            <v>#REF!</v>
          </cell>
          <cell r="C1121" t="e">
            <v>#REF!</v>
          </cell>
          <cell r="D1121" t="e">
            <v>#REF!</v>
          </cell>
          <cell r="E1121" t="e">
            <v>#REF!</v>
          </cell>
          <cell r="F1121" t="e">
            <v>#REF!</v>
          </cell>
          <cell r="G1121" t="e">
            <v>#REF!</v>
          </cell>
          <cell r="H1121" t="e">
            <v>#REF!</v>
          </cell>
          <cell r="I1121" t="e">
            <v>#REF!</v>
          </cell>
          <cell r="J1121" t="e">
            <v>#REF!</v>
          </cell>
          <cell r="K1121" t="e">
            <v>#REF!</v>
          </cell>
          <cell r="L1121" t="e">
            <v>#REF!</v>
          </cell>
          <cell r="M1121" t="e">
            <v>#REF!</v>
          </cell>
          <cell r="N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</row>
        <row r="1122">
          <cell r="A1122" t="e">
            <v>#REF!</v>
          </cell>
          <cell r="B1122" t="e">
            <v>#REF!</v>
          </cell>
          <cell r="C1122" t="e">
            <v>#REF!</v>
          </cell>
          <cell r="D1122" t="e">
            <v>#REF!</v>
          </cell>
          <cell r="E1122" t="e">
            <v>#REF!</v>
          </cell>
          <cell r="F1122" t="e">
            <v>#REF!</v>
          </cell>
          <cell r="G1122" t="e">
            <v>#REF!</v>
          </cell>
          <cell r="H1122" t="e">
            <v>#REF!</v>
          </cell>
          <cell r="I1122" t="e">
            <v>#REF!</v>
          </cell>
          <cell r="J1122" t="e">
            <v>#REF!</v>
          </cell>
          <cell r="K1122" t="e">
            <v>#REF!</v>
          </cell>
          <cell r="L1122" t="e">
            <v>#REF!</v>
          </cell>
          <cell r="M1122" t="e">
            <v>#REF!</v>
          </cell>
          <cell r="N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</row>
        <row r="1123">
          <cell r="A1123" t="e">
            <v>#REF!</v>
          </cell>
          <cell r="B1123" t="e">
            <v>#REF!</v>
          </cell>
          <cell r="C1123" t="e">
            <v>#REF!</v>
          </cell>
          <cell r="D1123" t="e">
            <v>#REF!</v>
          </cell>
          <cell r="E1123" t="e">
            <v>#REF!</v>
          </cell>
          <cell r="F1123" t="e">
            <v>#REF!</v>
          </cell>
          <cell r="G1123" t="e">
            <v>#REF!</v>
          </cell>
          <cell r="H1123" t="e">
            <v>#REF!</v>
          </cell>
          <cell r="I1123" t="e">
            <v>#REF!</v>
          </cell>
          <cell r="J1123" t="e">
            <v>#REF!</v>
          </cell>
          <cell r="K1123" t="e">
            <v>#REF!</v>
          </cell>
          <cell r="L1123" t="e">
            <v>#REF!</v>
          </cell>
          <cell r="M1123" t="e">
            <v>#REF!</v>
          </cell>
          <cell r="N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</row>
        <row r="1124">
          <cell r="A1124" t="e">
            <v>#REF!</v>
          </cell>
          <cell r="B1124" t="e">
            <v>#REF!</v>
          </cell>
          <cell r="C1124" t="e">
            <v>#REF!</v>
          </cell>
          <cell r="D1124" t="e">
            <v>#REF!</v>
          </cell>
          <cell r="E1124" t="e">
            <v>#REF!</v>
          </cell>
          <cell r="F1124" t="e">
            <v>#REF!</v>
          </cell>
          <cell r="G1124" t="e">
            <v>#REF!</v>
          </cell>
          <cell r="H1124" t="e">
            <v>#REF!</v>
          </cell>
          <cell r="I1124" t="e">
            <v>#REF!</v>
          </cell>
          <cell r="J1124" t="e">
            <v>#REF!</v>
          </cell>
          <cell r="K1124" t="e">
            <v>#REF!</v>
          </cell>
          <cell r="L1124" t="e">
            <v>#REF!</v>
          </cell>
          <cell r="M1124" t="e">
            <v>#REF!</v>
          </cell>
          <cell r="N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</row>
        <row r="1125">
          <cell r="A1125" t="e">
            <v>#REF!</v>
          </cell>
          <cell r="B1125" t="e">
            <v>#REF!</v>
          </cell>
          <cell r="C1125" t="e">
            <v>#REF!</v>
          </cell>
          <cell r="D1125" t="e">
            <v>#REF!</v>
          </cell>
          <cell r="E1125" t="e">
            <v>#REF!</v>
          </cell>
          <cell r="F1125" t="e">
            <v>#REF!</v>
          </cell>
          <cell r="G1125" t="e">
            <v>#REF!</v>
          </cell>
          <cell r="H1125" t="e">
            <v>#REF!</v>
          </cell>
          <cell r="I1125" t="e">
            <v>#REF!</v>
          </cell>
          <cell r="J1125" t="e">
            <v>#REF!</v>
          </cell>
          <cell r="K1125" t="e">
            <v>#REF!</v>
          </cell>
          <cell r="L1125" t="e">
            <v>#REF!</v>
          </cell>
          <cell r="M1125" t="e">
            <v>#REF!</v>
          </cell>
          <cell r="N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</row>
        <row r="1126">
          <cell r="A1126" t="e">
            <v>#REF!</v>
          </cell>
          <cell r="B1126" t="e">
            <v>#REF!</v>
          </cell>
          <cell r="C1126" t="e">
            <v>#REF!</v>
          </cell>
          <cell r="D1126" t="e">
            <v>#REF!</v>
          </cell>
          <cell r="E1126" t="e">
            <v>#REF!</v>
          </cell>
          <cell r="F1126" t="e">
            <v>#REF!</v>
          </cell>
          <cell r="G1126" t="e">
            <v>#REF!</v>
          </cell>
          <cell r="H1126" t="e">
            <v>#REF!</v>
          </cell>
          <cell r="I1126" t="e">
            <v>#REF!</v>
          </cell>
          <cell r="J1126" t="e">
            <v>#REF!</v>
          </cell>
          <cell r="K1126" t="e">
            <v>#REF!</v>
          </cell>
          <cell r="L1126" t="e">
            <v>#REF!</v>
          </cell>
          <cell r="M1126" t="e">
            <v>#REF!</v>
          </cell>
          <cell r="N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</row>
        <row r="1127">
          <cell r="A1127" t="e">
            <v>#REF!</v>
          </cell>
          <cell r="B1127" t="e">
            <v>#REF!</v>
          </cell>
          <cell r="C1127" t="e">
            <v>#REF!</v>
          </cell>
          <cell r="D1127" t="e">
            <v>#REF!</v>
          </cell>
          <cell r="E1127" t="e">
            <v>#REF!</v>
          </cell>
          <cell r="F1127" t="e">
            <v>#REF!</v>
          </cell>
          <cell r="G1127" t="e">
            <v>#REF!</v>
          </cell>
          <cell r="H1127" t="e">
            <v>#REF!</v>
          </cell>
          <cell r="I1127" t="e">
            <v>#REF!</v>
          </cell>
          <cell r="J1127" t="e">
            <v>#REF!</v>
          </cell>
          <cell r="K1127" t="e">
            <v>#REF!</v>
          </cell>
          <cell r="L1127" t="e">
            <v>#REF!</v>
          </cell>
          <cell r="M1127" t="e">
            <v>#REF!</v>
          </cell>
          <cell r="N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</row>
        <row r="1128">
          <cell r="A1128" t="e">
            <v>#REF!</v>
          </cell>
          <cell r="B1128" t="e">
            <v>#REF!</v>
          </cell>
          <cell r="C1128" t="e">
            <v>#REF!</v>
          </cell>
          <cell r="D1128" t="e">
            <v>#REF!</v>
          </cell>
          <cell r="E1128" t="e">
            <v>#REF!</v>
          </cell>
          <cell r="F1128" t="e">
            <v>#REF!</v>
          </cell>
          <cell r="G1128" t="e">
            <v>#REF!</v>
          </cell>
          <cell r="H1128" t="e">
            <v>#REF!</v>
          </cell>
          <cell r="I1128" t="e">
            <v>#REF!</v>
          </cell>
          <cell r="J1128" t="e">
            <v>#REF!</v>
          </cell>
          <cell r="K1128" t="e">
            <v>#REF!</v>
          </cell>
          <cell r="L1128" t="e">
            <v>#REF!</v>
          </cell>
          <cell r="M1128" t="e">
            <v>#REF!</v>
          </cell>
          <cell r="N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</row>
        <row r="1129">
          <cell r="A1129" t="e">
            <v>#REF!</v>
          </cell>
          <cell r="B1129" t="e">
            <v>#REF!</v>
          </cell>
          <cell r="C1129" t="e">
            <v>#REF!</v>
          </cell>
          <cell r="D1129" t="e">
            <v>#REF!</v>
          </cell>
          <cell r="E1129" t="e">
            <v>#REF!</v>
          </cell>
          <cell r="F1129" t="e">
            <v>#REF!</v>
          </cell>
          <cell r="G1129" t="e">
            <v>#REF!</v>
          </cell>
          <cell r="H1129" t="e">
            <v>#REF!</v>
          </cell>
          <cell r="I1129" t="e">
            <v>#REF!</v>
          </cell>
          <cell r="J1129" t="e">
            <v>#REF!</v>
          </cell>
          <cell r="K1129" t="e">
            <v>#REF!</v>
          </cell>
          <cell r="L1129" t="e">
            <v>#REF!</v>
          </cell>
          <cell r="M1129" t="e">
            <v>#REF!</v>
          </cell>
          <cell r="N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</row>
        <row r="1130">
          <cell r="A1130" t="e">
            <v>#REF!</v>
          </cell>
          <cell r="B1130" t="e">
            <v>#REF!</v>
          </cell>
          <cell r="C1130" t="e">
            <v>#REF!</v>
          </cell>
          <cell r="D1130" t="e">
            <v>#REF!</v>
          </cell>
          <cell r="E1130" t="e">
            <v>#REF!</v>
          </cell>
          <cell r="F1130" t="e">
            <v>#REF!</v>
          </cell>
          <cell r="G1130" t="e">
            <v>#REF!</v>
          </cell>
          <cell r="H1130" t="e">
            <v>#REF!</v>
          </cell>
          <cell r="I1130" t="e">
            <v>#REF!</v>
          </cell>
          <cell r="J1130" t="e">
            <v>#REF!</v>
          </cell>
          <cell r="K1130" t="e">
            <v>#REF!</v>
          </cell>
          <cell r="L1130" t="e">
            <v>#REF!</v>
          </cell>
          <cell r="M1130" t="e">
            <v>#REF!</v>
          </cell>
          <cell r="N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</row>
        <row r="1131">
          <cell r="A1131" t="e">
            <v>#REF!</v>
          </cell>
          <cell r="B1131" t="e">
            <v>#REF!</v>
          </cell>
          <cell r="C1131" t="e">
            <v>#REF!</v>
          </cell>
          <cell r="D1131" t="e">
            <v>#REF!</v>
          </cell>
          <cell r="E1131" t="e">
            <v>#REF!</v>
          </cell>
          <cell r="F1131" t="e">
            <v>#REF!</v>
          </cell>
          <cell r="G1131" t="e">
            <v>#REF!</v>
          </cell>
          <cell r="H1131" t="e">
            <v>#REF!</v>
          </cell>
          <cell r="I1131" t="e">
            <v>#REF!</v>
          </cell>
          <cell r="J1131" t="e">
            <v>#REF!</v>
          </cell>
          <cell r="K1131" t="e">
            <v>#REF!</v>
          </cell>
          <cell r="L1131" t="e">
            <v>#REF!</v>
          </cell>
          <cell r="M1131" t="e">
            <v>#REF!</v>
          </cell>
          <cell r="N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</row>
        <row r="1132">
          <cell r="A1132" t="e">
            <v>#REF!</v>
          </cell>
          <cell r="B1132" t="e">
            <v>#REF!</v>
          </cell>
          <cell r="C1132" t="e">
            <v>#REF!</v>
          </cell>
          <cell r="D1132" t="e">
            <v>#REF!</v>
          </cell>
          <cell r="E1132" t="e">
            <v>#REF!</v>
          </cell>
          <cell r="F1132" t="e">
            <v>#REF!</v>
          </cell>
          <cell r="G1132" t="e">
            <v>#REF!</v>
          </cell>
          <cell r="H1132" t="e">
            <v>#REF!</v>
          </cell>
          <cell r="I1132" t="e">
            <v>#REF!</v>
          </cell>
          <cell r="J1132" t="e">
            <v>#REF!</v>
          </cell>
          <cell r="K1132" t="e">
            <v>#REF!</v>
          </cell>
          <cell r="L1132" t="e">
            <v>#REF!</v>
          </cell>
          <cell r="M1132" t="e">
            <v>#REF!</v>
          </cell>
          <cell r="N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</row>
        <row r="1133">
          <cell r="A1133" t="e">
            <v>#REF!</v>
          </cell>
          <cell r="B1133" t="e">
            <v>#REF!</v>
          </cell>
          <cell r="C1133" t="e">
            <v>#REF!</v>
          </cell>
          <cell r="D1133" t="e">
            <v>#REF!</v>
          </cell>
          <cell r="E1133" t="e">
            <v>#REF!</v>
          </cell>
          <cell r="F1133" t="e">
            <v>#REF!</v>
          </cell>
          <cell r="G1133" t="e">
            <v>#REF!</v>
          </cell>
          <cell r="H1133" t="e">
            <v>#REF!</v>
          </cell>
          <cell r="I1133" t="e">
            <v>#REF!</v>
          </cell>
          <cell r="J1133" t="e">
            <v>#REF!</v>
          </cell>
          <cell r="K1133" t="e">
            <v>#REF!</v>
          </cell>
          <cell r="L1133" t="e">
            <v>#REF!</v>
          </cell>
          <cell r="M1133" t="e">
            <v>#REF!</v>
          </cell>
          <cell r="N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</row>
        <row r="1134">
          <cell r="A1134" t="e">
            <v>#REF!</v>
          </cell>
          <cell r="B1134" t="e">
            <v>#REF!</v>
          </cell>
          <cell r="C1134" t="e">
            <v>#REF!</v>
          </cell>
          <cell r="D1134" t="e">
            <v>#REF!</v>
          </cell>
          <cell r="E1134" t="e">
            <v>#REF!</v>
          </cell>
          <cell r="F1134" t="e">
            <v>#REF!</v>
          </cell>
          <cell r="G1134" t="e">
            <v>#REF!</v>
          </cell>
          <cell r="H1134" t="e">
            <v>#REF!</v>
          </cell>
          <cell r="I1134" t="e">
            <v>#REF!</v>
          </cell>
          <cell r="J1134" t="e">
            <v>#REF!</v>
          </cell>
          <cell r="K1134" t="e">
            <v>#REF!</v>
          </cell>
          <cell r="L1134" t="e">
            <v>#REF!</v>
          </cell>
          <cell r="M1134" t="e">
            <v>#REF!</v>
          </cell>
          <cell r="N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</row>
        <row r="1135">
          <cell r="A1135" t="e">
            <v>#REF!</v>
          </cell>
          <cell r="B1135" t="e">
            <v>#REF!</v>
          </cell>
          <cell r="C1135" t="e">
            <v>#REF!</v>
          </cell>
          <cell r="D1135" t="e">
            <v>#REF!</v>
          </cell>
          <cell r="E1135" t="e">
            <v>#REF!</v>
          </cell>
          <cell r="F1135" t="e">
            <v>#REF!</v>
          </cell>
          <cell r="G1135" t="e">
            <v>#REF!</v>
          </cell>
          <cell r="H1135" t="e">
            <v>#REF!</v>
          </cell>
          <cell r="I1135" t="e">
            <v>#REF!</v>
          </cell>
          <cell r="J1135" t="e">
            <v>#REF!</v>
          </cell>
          <cell r="K1135" t="e">
            <v>#REF!</v>
          </cell>
          <cell r="L1135" t="e">
            <v>#REF!</v>
          </cell>
          <cell r="M1135" t="e">
            <v>#REF!</v>
          </cell>
          <cell r="N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</row>
        <row r="1136">
          <cell r="A1136" t="e">
            <v>#REF!</v>
          </cell>
          <cell r="B1136" t="e">
            <v>#REF!</v>
          </cell>
          <cell r="C1136" t="e">
            <v>#REF!</v>
          </cell>
          <cell r="D1136" t="e">
            <v>#REF!</v>
          </cell>
          <cell r="E1136" t="e">
            <v>#REF!</v>
          </cell>
          <cell r="F1136" t="e">
            <v>#REF!</v>
          </cell>
          <cell r="G1136" t="e">
            <v>#REF!</v>
          </cell>
          <cell r="H1136" t="e">
            <v>#REF!</v>
          </cell>
          <cell r="I1136" t="e">
            <v>#REF!</v>
          </cell>
          <cell r="J1136" t="e">
            <v>#REF!</v>
          </cell>
          <cell r="K1136" t="e">
            <v>#REF!</v>
          </cell>
          <cell r="L1136" t="e">
            <v>#REF!</v>
          </cell>
          <cell r="M1136" t="e">
            <v>#REF!</v>
          </cell>
          <cell r="N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</row>
        <row r="1137">
          <cell r="A1137" t="e">
            <v>#REF!</v>
          </cell>
          <cell r="B1137" t="e">
            <v>#REF!</v>
          </cell>
          <cell r="C1137" t="e">
            <v>#REF!</v>
          </cell>
          <cell r="D1137" t="e">
            <v>#REF!</v>
          </cell>
          <cell r="E1137" t="e">
            <v>#REF!</v>
          </cell>
          <cell r="F1137" t="e">
            <v>#REF!</v>
          </cell>
          <cell r="G1137" t="e">
            <v>#REF!</v>
          </cell>
          <cell r="H1137" t="e">
            <v>#REF!</v>
          </cell>
          <cell r="I1137" t="e">
            <v>#REF!</v>
          </cell>
          <cell r="J1137" t="e">
            <v>#REF!</v>
          </cell>
          <cell r="K1137" t="e">
            <v>#REF!</v>
          </cell>
          <cell r="L1137" t="e">
            <v>#REF!</v>
          </cell>
          <cell r="M1137" t="e">
            <v>#REF!</v>
          </cell>
          <cell r="N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</row>
        <row r="1138">
          <cell r="A1138" t="e">
            <v>#REF!</v>
          </cell>
          <cell r="B1138" t="e">
            <v>#REF!</v>
          </cell>
          <cell r="C1138" t="e">
            <v>#REF!</v>
          </cell>
          <cell r="D1138" t="e">
            <v>#REF!</v>
          </cell>
          <cell r="E1138" t="e">
            <v>#REF!</v>
          </cell>
          <cell r="F1138" t="e">
            <v>#REF!</v>
          </cell>
          <cell r="G1138" t="e">
            <v>#REF!</v>
          </cell>
          <cell r="H1138" t="e">
            <v>#REF!</v>
          </cell>
          <cell r="I1138" t="e">
            <v>#REF!</v>
          </cell>
          <cell r="J1138" t="e">
            <v>#REF!</v>
          </cell>
          <cell r="K1138" t="e">
            <v>#REF!</v>
          </cell>
          <cell r="L1138" t="e">
            <v>#REF!</v>
          </cell>
          <cell r="M1138" t="e">
            <v>#REF!</v>
          </cell>
          <cell r="N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</row>
        <row r="1139">
          <cell r="A1139" t="e">
            <v>#REF!</v>
          </cell>
          <cell r="B1139" t="e">
            <v>#REF!</v>
          </cell>
          <cell r="C1139" t="e">
            <v>#REF!</v>
          </cell>
          <cell r="D1139" t="e">
            <v>#REF!</v>
          </cell>
          <cell r="E1139" t="e">
            <v>#REF!</v>
          </cell>
          <cell r="F1139" t="e">
            <v>#REF!</v>
          </cell>
          <cell r="G1139" t="e">
            <v>#REF!</v>
          </cell>
          <cell r="H1139" t="e">
            <v>#REF!</v>
          </cell>
          <cell r="I1139" t="e">
            <v>#REF!</v>
          </cell>
          <cell r="J1139" t="e">
            <v>#REF!</v>
          </cell>
          <cell r="K1139" t="e">
            <v>#REF!</v>
          </cell>
          <cell r="L1139" t="e">
            <v>#REF!</v>
          </cell>
          <cell r="M1139" t="e">
            <v>#REF!</v>
          </cell>
          <cell r="N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</row>
        <row r="1140">
          <cell r="A1140" t="e">
            <v>#REF!</v>
          </cell>
          <cell r="B1140" t="e">
            <v>#REF!</v>
          </cell>
          <cell r="C1140" t="e">
            <v>#REF!</v>
          </cell>
          <cell r="D1140" t="e">
            <v>#REF!</v>
          </cell>
          <cell r="E1140" t="e">
            <v>#REF!</v>
          </cell>
          <cell r="F1140" t="e">
            <v>#REF!</v>
          </cell>
          <cell r="G1140" t="e">
            <v>#REF!</v>
          </cell>
          <cell r="H1140" t="e">
            <v>#REF!</v>
          </cell>
          <cell r="I1140" t="e">
            <v>#REF!</v>
          </cell>
          <cell r="J1140" t="e">
            <v>#REF!</v>
          </cell>
          <cell r="K1140" t="e">
            <v>#REF!</v>
          </cell>
          <cell r="L1140" t="e">
            <v>#REF!</v>
          </cell>
          <cell r="M1140" t="e">
            <v>#REF!</v>
          </cell>
          <cell r="N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</row>
        <row r="1141">
          <cell r="A1141" t="e">
            <v>#REF!</v>
          </cell>
          <cell r="B1141" t="e">
            <v>#REF!</v>
          </cell>
          <cell r="C1141" t="e">
            <v>#REF!</v>
          </cell>
          <cell r="D1141" t="e">
            <v>#REF!</v>
          </cell>
          <cell r="E1141" t="e">
            <v>#REF!</v>
          </cell>
          <cell r="F1141" t="e">
            <v>#REF!</v>
          </cell>
          <cell r="G1141" t="e">
            <v>#REF!</v>
          </cell>
          <cell r="H1141" t="e">
            <v>#REF!</v>
          </cell>
          <cell r="I1141" t="e">
            <v>#REF!</v>
          </cell>
          <cell r="J1141" t="e">
            <v>#REF!</v>
          </cell>
          <cell r="K1141" t="e">
            <v>#REF!</v>
          </cell>
          <cell r="L1141" t="e">
            <v>#REF!</v>
          </cell>
          <cell r="M1141" t="e">
            <v>#REF!</v>
          </cell>
          <cell r="N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</row>
        <row r="1142">
          <cell r="A1142" t="e">
            <v>#REF!</v>
          </cell>
          <cell r="B1142" t="e">
            <v>#REF!</v>
          </cell>
          <cell r="C1142" t="e">
            <v>#REF!</v>
          </cell>
          <cell r="D1142" t="e">
            <v>#REF!</v>
          </cell>
          <cell r="E1142" t="e">
            <v>#REF!</v>
          </cell>
          <cell r="F1142" t="e">
            <v>#REF!</v>
          </cell>
          <cell r="G1142" t="e">
            <v>#REF!</v>
          </cell>
          <cell r="H1142" t="e">
            <v>#REF!</v>
          </cell>
          <cell r="I1142" t="e">
            <v>#REF!</v>
          </cell>
          <cell r="J1142" t="e">
            <v>#REF!</v>
          </cell>
          <cell r="K1142" t="e">
            <v>#REF!</v>
          </cell>
          <cell r="L1142" t="e">
            <v>#REF!</v>
          </cell>
          <cell r="M1142" t="e">
            <v>#REF!</v>
          </cell>
          <cell r="N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</row>
        <row r="1143">
          <cell r="A1143" t="e">
            <v>#REF!</v>
          </cell>
          <cell r="B1143" t="e">
            <v>#REF!</v>
          </cell>
          <cell r="C1143" t="e">
            <v>#REF!</v>
          </cell>
          <cell r="D1143" t="e">
            <v>#REF!</v>
          </cell>
          <cell r="E1143" t="e">
            <v>#REF!</v>
          </cell>
          <cell r="F1143" t="e">
            <v>#REF!</v>
          </cell>
          <cell r="G1143" t="e">
            <v>#REF!</v>
          </cell>
          <cell r="H1143" t="e">
            <v>#REF!</v>
          </cell>
          <cell r="I1143" t="e">
            <v>#REF!</v>
          </cell>
          <cell r="J1143" t="e">
            <v>#REF!</v>
          </cell>
          <cell r="K1143" t="e">
            <v>#REF!</v>
          </cell>
          <cell r="L1143" t="e">
            <v>#REF!</v>
          </cell>
          <cell r="M1143" t="e">
            <v>#REF!</v>
          </cell>
          <cell r="N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</row>
        <row r="1144">
          <cell r="A1144" t="e">
            <v>#REF!</v>
          </cell>
          <cell r="B1144" t="e">
            <v>#REF!</v>
          </cell>
          <cell r="C1144" t="e">
            <v>#REF!</v>
          </cell>
          <cell r="D1144" t="e">
            <v>#REF!</v>
          </cell>
          <cell r="E1144" t="e">
            <v>#REF!</v>
          </cell>
          <cell r="F1144" t="e">
            <v>#REF!</v>
          </cell>
          <cell r="G1144" t="e">
            <v>#REF!</v>
          </cell>
          <cell r="H1144" t="e">
            <v>#REF!</v>
          </cell>
          <cell r="I1144" t="e">
            <v>#REF!</v>
          </cell>
          <cell r="J1144" t="e">
            <v>#REF!</v>
          </cell>
          <cell r="K1144" t="e">
            <v>#REF!</v>
          </cell>
          <cell r="L1144" t="e">
            <v>#REF!</v>
          </cell>
          <cell r="M1144" t="e">
            <v>#REF!</v>
          </cell>
          <cell r="N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</row>
        <row r="1145">
          <cell r="A1145" t="e">
            <v>#REF!</v>
          </cell>
          <cell r="B1145" t="e">
            <v>#REF!</v>
          </cell>
          <cell r="C1145" t="e">
            <v>#REF!</v>
          </cell>
          <cell r="D1145" t="e">
            <v>#REF!</v>
          </cell>
          <cell r="E1145" t="e">
            <v>#REF!</v>
          </cell>
          <cell r="F1145" t="e">
            <v>#REF!</v>
          </cell>
          <cell r="G1145" t="e">
            <v>#REF!</v>
          </cell>
          <cell r="H1145" t="e">
            <v>#REF!</v>
          </cell>
          <cell r="I1145" t="e">
            <v>#REF!</v>
          </cell>
          <cell r="J1145" t="e">
            <v>#REF!</v>
          </cell>
          <cell r="K1145" t="e">
            <v>#REF!</v>
          </cell>
          <cell r="L1145" t="e">
            <v>#REF!</v>
          </cell>
          <cell r="M1145" t="e">
            <v>#REF!</v>
          </cell>
          <cell r="N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</row>
        <row r="1146">
          <cell r="A1146" t="e">
            <v>#REF!</v>
          </cell>
          <cell r="B1146" t="e">
            <v>#REF!</v>
          </cell>
          <cell r="C1146" t="e">
            <v>#REF!</v>
          </cell>
          <cell r="D1146" t="e">
            <v>#REF!</v>
          </cell>
          <cell r="E1146" t="e">
            <v>#REF!</v>
          </cell>
          <cell r="F1146" t="e">
            <v>#REF!</v>
          </cell>
          <cell r="G1146" t="e">
            <v>#REF!</v>
          </cell>
          <cell r="H1146" t="e">
            <v>#REF!</v>
          </cell>
          <cell r="I1146" t="e">
            <v>#REF!</v>
          </cell>
          <cell r="J1146" t="e">
            <v>#REF!</v>
          </cell>
          <cell r="K1146" t="e">
            <v>#REF!</v>
          </cell>
          <cell r="L1146" t="e">
            <v>#REF!</v>
          </cell>
          <cell r="M1146" t="e">
            <v>#REF!</v>
          </cell>
          <cell r="N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</row>
        <row r="1147">
          <cell r="A1147" t="e">
            <v>#REF!</v>
          </cell>
          <cell r="B1147" t="e">
            <v>#REF!</v>
          </cell>
          <cell r="C1147" t="e">
            <v>#REF!</v>
          </cell>
          <cell r="D1147" t="e">
            <v>#REF!</v>
          </cell>
          <cell r="E1147" t="e">
            <v>#REF!</v>
          </cell>
          <cell r="F1147" t="e">
            <v>#REF!</v>
          </cell>
          <cell r="G1147" t="e">
            <v>#REF!</v>
          </cell>
          <cell r="H1147" t="e">
            <v>#REF!</v>
          </cell>
          <cell r="I1147" t="e">
            <v>#REF!</v>
          </cell>
          <cell r="J1147" t="e">
            <v>#REF!</v>
          </cell>
          <cell r="K1147" t="e">
            <v>#REF!</v>
          </cell>
          <cell r="L1147" t="e">
            <v>#REF!</v>
          </cell>
          <cell r="M1147" t="e">
            <v>#REF!</v>
          </cell>
          <cell r="N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</row>
        <row r="1148">
          <cell r="A1148" t="e">
            <v>#REF!</v>
          </cell>
          <cell r="B1148" t="e">
            <v>#REF!</v>
          </cell>
          <cell r="C1148" t="e">
            <v>#REF!</v>
          </cell>
          <cell r="D1148" t="e">
            <v>#REF!</v>
          </cell>
          <cell r="E1148" t="e">
            <v>#REF!</v>
          </cell>
          <cell r="F1148" t="e">
            <v>#REF!</v>
          </cell>
          <cell r="G1148" t="e">
            <v>#REF!</v>
          </cell>
          <cell r="H1148" t="e">
            <v>#REF!</v>
          </cell>
          <cell r="I1148" t="e">
            <v>#REF!</v>
          </cell>
          <cell r="J1148" t="e">
            <v>#REF!</v>
          </cell>
          <cell r="K1148" t="e">
            <v>#REF!</v>
          </cell>
          <cell r="L1148" t="e">
            <v>#REF!</v>
          </cell>
          <cell r="M1148" t="e">
            <v>#REF!</v>
          </cell>
          <cell r="N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</row>
        <row r="1149">
          <cell r="A1149" t="e">
            <v>#REF!</v>
          </cell>
          <cell r="B1149" t="e">
            <v>#REF!</v>
          </cell>
          <cell r="C1149" t="e">
            <v>#REF!</v>
          </cell>
          <cell r="D1149" t="e">
            <v>#REF!</v>
          </cell>
          <cell r="E1149" t="e">
            <v>#REF!</v>
          </cell>
          <cell r="F1149" t="e">
            <v>#REF!</v>
          </cell>
          <cell r="G1149" t="e">
            <v>#REF!</v>
          </cell>
          <cell r="H1149" t="e">
            <v>#REF!</v>
          </cell>
          <cell r="I1149" t="e">
            <v>#REF!</v>
          </cell>
          <cell r="J1149" t="e">
            <v>#REF!</v>
          </cell>
          <cell r="K1149" t="e">
            <v>#REF!</v>
          </cell>
          <cell r="L1149" t="e">
            <v>#REF!</v>
          </cell>
          <cell r="M1149" t="e">
            <v>#REF!</v>
          </cell>
          <cell r="N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</row>
        <row r="1150">
          <cell r="A1150" t="e">
            <v>#REF!</v>
          </cell>
          <cell r="B1150" t="e">
            <v>#REF!</v>
          </cell>
          <cell r="C1150" t="e">
            <v>#REF!</v>
          </cell>
          <cell r="D1150" t="e">
            <v>#REF!</v>
          </cell>
          <cell r="E1150" t="e">
            <v>#REF!</v>
          </cell>
          <cell r="F1150" t="e">
            <v>#REF!</v>
          </cell>
          <cell r="G1150" t="e">
            <v>#REF!</v>
          </cell>
          <cell r="H1150" t="e">
            <v>#REF!</v>
          </cell>
          <cell r="I1150" t="e">
            <v>#REF!</v>
          </cell>
          <cell r="J1150" t="e">
            <v>#REF!</v>
          </cell>
          <cell r="K1150" t="e">
            <v>#REF!</v>
          </cell>
          <cell r="L1150" t="e">
            <v>#REF!</v>
          </cell>
          <cell r="M1150" t="e">
            <v>#REF!</v>
          </cell>
          <cell r="N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</row>
        <row r="1151">
          <cell r="A1151" t="e">
            <v>#REF!</v>
          </cell>
          <cell r="B1151" t="e">
            <v>#REF!</v>
          </cell>
          <cell r="C1151" t="e">
            <v>#REF!</v>
          </cell>
          <cell r="D1151" t="e">
            <v>#REF!</v>
          </cell>
          <cell r="E1151" t="e">
            <v>#REF!</v>
          </cell>
          <cell r="F1151" t="e">
            <v>#REF!</v>
          </cell>
          <cell r="G1151" t="e">
            <v>#REF!</v>
          </cell>
          <cell r="H1151" t="e">
            <v>#REF!</v>
          </cell>
          <cell r="I1151" t="e">
            <v>#REF!</v>
          </cell>
          <cell r="J1151" t="e">
            <v>#REF!</v>
          </cell>
          <cell r="K1151" t="e">
            <v>#REF!</v>
          </cell>
          <cell r="L1151" t="e">
            <v>#REF!</v>
          </cell>
          <cell r="M1151" t="e">
            <v>#REF!</v>
          </cell>
          <cell r="N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</row>
        <row r="1152">
          <cell r="A1152" t="e">
            <v>#REF!</v>
          </cell>
          <cell r="B1152" t="e">
            <v>#REF!</v>
          </cell>
          <cell r="C1152" t="e">
            <v>#REF!</v>
          </cell>
          <cell r="D1152" t="e">
            <v>#REF!</v>
          </cell>
          <cell r="E1152" t="e">
            <v>#REF!</v>
          </cell>
          <cell r="F1152" t="e">
            <v>#REF!</v>
          </cell>
          <cell r="G1152" t="e">
            <v>#REF!</v>
          </cell>
          <cell r="H1152" t="e">
            <v>#REF!</v>
          </cell>
          <cell r="I1152" t="e">
            <v>#REF!</v>
          </cell>
          <cell r="J1152" t="e">
            <v>#REF!</v>
          </cell>
          <cell r="K1152" t="e">
            <v>#REF!</v>
          </cell>
          <cell r="L1152" t="e">
            <v>#REF!</v>
          </cell>
          <cell r="M1152" t="e">
            <v>#REF!</v>
          </cell>
          <cell r="N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</row>
        <row r="1153">
          <cell r="A1153" t="e">
            <v>#REF!</v>
          </cell>
          <cell r="B1153" t="e">
            <v>#REF!</v>
          </cell>
          <cell r="C1153" t="e">
            <v>#REF!</v>
          </cell>
          <cell r="D1153" t="e">
            <v>#REF!</v>
          </cell>
          <cell r="E1153" t="e">
            <v>#REF!</v>
          </cell>
          <cell r="F1153" t="e">
            <v>#REF!</v>
          </cell>
          <cell r="G1153" t="e">
            <v>#REF!</v>
          </cell>
          <cell r="H1153" t="e">
            <v>#REF!</v>
          </cell>
          <cell r="I1153" t="e">
            <v>#REF!</v>
          </cell>
          <cell r="J1153" t="e">
            <v>#REF!</v>
          </cell>
          <cell r="K1153" t="e">
            <v>#REF!</v>
          </cell>
          <cell r="L1153" t="e">
            <v>#REF!</v>
          </cell>
          <cell r="M1153" t="e">
            <v>#REF!</v>
          </cell>
          <cell r="N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</row>
        <row r="1154">
          <cell r="A1154" t="e">
            <v>#REF!</v>
          </cell>
          <cell r="B1154" t="e">
            <v>#REF!</v>
          </cell>
          <cell r="C1154" t="e">
            <v>#REF!</v>
          </cell>
          <cell r="D1154" t="e">
            <v>#REF!</v>
          </cell>
          <cell r="E1154" t="e">
            <v>#REF!</v>
          </cell>
          <cell r="F1154" t="e">
            <v>#REF!</v>
          </cell>
          <cell r="G1154" t="e">
            <v>#REF!</v>
          </cell>
          <cell r="H1154" t="e">
            <v>#REF!</v>
          </cell>
          <cell r="I1154" t="e">
            <v>#REF!</v>
          </cell>
          <cell r="J1154" t="e">
            <v>#REF!</v>
          </cell>
          <cell r="K1154" t="e">
            <v>#REF!</v>
          </cell>
          <cell r="L1154" t="e">
            <v>#REF!</v>
          </cell>
          <cell r="M1154" t="e">
            <v>#REF!</v>
          </cell>
          <cell r="N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</row>
        <row r="1155">
          <cell r="A1155" t="e">
            <v>#REF!</v>
          </cell>
          <cell r="B1155" t="e">
            <v>#REF!</v>
          </cell>
          <cell r="C1155" t="e">
            <v>#REF!</v>
          </cell>
          <cell r="D1155" t="e">
            <v>#REF!</v>
          </cell>
          <cell r="E1155" t="e">
            <v>#REF!</v>
          </cell>
          <cell r="F1155" t="e">
            <v>#REF!</v>
          </cell>
          <cell r="G1155" t="e">
            <v>#REF!</v>
          </cell>
          <cell r="H1155" t="e">
            <v>#REF!</v>
          </cell>
          <cell r="I1155" t="e">
            <v>#REF!</v>
          </cell>
          <cell r="J1155" t="e">
            <v>#REF!</v>
          </cell>
          <cell r="K1155" t="e">
            <v>#REF!</v>
          </cell>
          <cell r="L1155" t="e">
            <v>#REF!</v>
          </cell>
          <cell r="M1155" t="e">
            <v>#REF!</v>
          </cell>
          <cell r="N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</row>
        <row r="1156">
          <cell r="A1156" t="e">
            <v>#REF!</v>
          </cell>
          <cell r="B1156" t="e">
            <v>#REF!</v>
          </cell>
          <cell r="C1156" t="e">
            <v>#REF!</v>
          </cell>
          <cell r="D1156" t="e">
            <v>#REF!</v>
          </cell>
          <cell r="E1156" t="e">
            <v>#REF!</v>
          </cell>
          <cell r="F1156" t="e">
            <v>#REF!</v>
          </cell>
          <cell r="G1156" t="e">
            <v>#REF!</v>
          </cell>
          <cell r="H1156" t="e">
            <v>#REF!</v>
          </cell>
          <cell r="I1156" t="e">
            <v>#REF!</v>
          </cell>
          <cell r="J1156" t="e">
            <v>#REF!</v>
          </cell>
          <cell r="K1156" t="e">
            <v>#REF!</v>
          </cell>
          <cell r="L1156" t="e">
            <v>#REF!</v>
          </cell>
          <cell r="M1156" t="e">
            <v>#REF!</v>
          </cell>
          <cell r="N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</row>
        <row r="1157">
          <cell r="A1157" t="e">
            <v>#REF!</v>
          </cell>
          <cell r="B1157" t="e">
            <v>#REF!</v>
          </cell>
          <cell r="C1157" t="e">
            <v>#REF!</v>
          </cell>
          <cell r="D1157" t="e">
            <v>#REF!</v>
          </cell>
          <cell r="E1157" t="e">
            <v>#REF!</v>
          </cell>
          <cell r="F1157" t="e">
            <v>#REF!</v>
          </cell>
          <cell r="G1157" t="e">
            <v>#REF!</v>
          </cell>
          <cell r="H1157" t="e">
            <v>#REF!</v>
          </cell>
          <cell r="I1157" t="e">
            <v>#REF!</v>
          </cell>
          <cell r="J1157" t="e">
            <v>#REF!</v>
          </cell>
          <cell r="K1157" t="e">
            <v>#REF!</v>
          </cell>
          <cell r="L1157" t="e">
            <v>#REF!</v>
          </cell>
          <cell r="M1157" t="e">
            <v>#REF!</v>
          </cell>
          <cell r="N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</row>
        <row r="1158">
          <cell r="A1158" t="e">
            <v>#REF!</v>
          </cell>
          <cell r="B1158" t="e">
            <v>#REF!</v>
          </cell>
          <cell r="C1158" t="e">
            <v>#REF!</v>
          </cell>
          <cell r="D1158" t="e">
            <v>#REF!</v>
          </cell>
          <cell r="E1158" t="e">
            <v>#REF!</v>
          </cell>
          <cell r="F1158" t="e">
            <v>#REF!</v>
          </cell>
          <cell r="G1158" t="e">
            <v>#REF!</v>
          </cell>
          <cell r="H1158" t="e">
            <v>#REF!</v>
          </cell>
          <cell r="I1158" t="e">
            <v>#REF!</v>
          </cell>
          <cell r="J1158" t="e">
            <v>#REF!</v>
          </cell>
          <cell r="K1158" t="e">
            <v>#REF!</v>
          </cell>
          <cell r="L1158" t="e">
            <v>#REF!</v>
          </cell>
          <cell r="M1158" t="e">
            <v>#REF!</v>
          </cell>
          <cell r="N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</row>
        <row r="1159">
          <cell r="A1159" t="e">
            <v>#REF!</v>
          </cell>
          <cell r="B1159" t="e">
            <v>#REF!</v>
          </cell>
          <cell r="C1159" t="e">
            <v>#REF!</v>
          </cell>
          <cell r="D1159" t="e">
            <v>#REF!</v>
          </cell>
          <cell r="E1159" t="e">
            <v>#REF!</v>
          </cell>
          <cell r="F1159" t="e">
            <v>#REF!</v>
          </cell>
          <cell r="G1159" t="e">
            <v>#REF!</v>
          </cell>
          <cell r="H1159" t="e">
            <v>#REF!</v>
          </cell>
          <cell r="I1159" t="e">
            <v>#REF!</v>
          </cell>
          <cell r="J1159" t="e">
            <v>#REF!</v>
          </cell>
          <cell r="K1159" t="e">
            <v>#REF!</v>
          </cell>
          <cell r="L1159" t="e">
            <v>#REF!</v>
          </cell>
          <cell r="M1159" t="e">
            <v>#REF!</v>
          </cell>
          <cell r="N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</row>
        <row r="1160">
          <cell r="A1160" t="e">
            <v>#REF!</v>
          </cell>
          <cell r="B1160" t="e">
            <v>#REF!</v>
          </cell>
          <cell r="C1160" t="e">
            <v>#REF!</v>
          </cell>
          <cell r="D1160" t="e">
            <v>#REF!</v>
          </cell>
          <cell r="E1160" t="e">
            <v>#REF!</v>
          </cell>
          <cell r="F1160" t="e">
            <v>#REF!</v>
          </cell>
          <cell r="G1160" t="e">
            <v>#REF!</v>
          </cell>
          <cell r="H1160" t="e">
            <v>#REF!</v>
          </cell>
          <cell r="I1160" t="e">
            <v>#REF!</v>
          </cell>
          <cell r="J1160" t="e">
            <v>#REF!</v>
          </cell>
          <cell r="K1160" t="e">
            <v>#REF!</v>
          </cell>
          <cell r="L1160" t="e">
            <v>#REF!</v>
          </cell>
          <cell r="M1160" t="e">
            <v>#REF!</v>
          </cell>
          <cell r="N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</row>
        <row r="1161">
          <cell r="A1161" t="e">
            <v>#REF!</v>
          </cell>
          <cell r="B1161" t="e">
            <v>#REF!</v>
          </cell>
          <cell r="C1161" t="e">
            <v>#REF!</v>
          </cell>
          <cell r="D1161" t="e">
            <v>#REF!</v>
          </cell>
          <cell r="E1161" t="e">
            <v>#REF!</v>
          </cell>
          <cell r="F1161" t="e">
            <v>#REF!</v>
          </cell>
          <cell r="G1161" t="e">
            <v>#REF!</v>
          </cell>
          <cell r="H1161" t="e">
            <v>#REF!</v>
          </cell>
          <cell r="I1161" t="e">
            <v>#REF!</v>
          </cell>
          <cell r="J1161" t="e">
            <v>#REF!</v>
          </cell>
          <cell r="K1161" t="e">
            <v>#REF!</v>
          </cell>
          <cell r="L1161" t="e">
            <v>#REF!</v>
          </cell>
          <cell r="M1161" t="e">
            <v>#REF!</v>
          </cell>
          <cell r="N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</row>
        <row r="1162">
          <cell r="A1162" t="e">
            <v>#REF!</v>
          </cell>
          <cell r="B1162" t="e">
            <v>#REF!</v>
          </cell>
          <cell r="C1162" t="e">
            <v>#REF!</v>
          </cell>
          <cell r="D1162" t="e">
            <v>#REF!</v>
          </cell>
          <cell r="E1162" t="e">
            <v>#REF!</v>
          </cell>
          <cell r="F1162" t="e">
            <v>#REF!</v>
          </cell>
          <cell r="G1162" t="e">
            <v>#REF!</v>
          </cell>
          <cell r="H1162" t="e">
            <v>#REF!</v>
          </cell>
          <cell r="I1162" t="e">
            <v>#REF!</v>
          </cell>
          <cell r="J1162" t="e">
            <v>#REF!</v>
          </cell>
          <cell r="K1162" t="e">
            <v>#REF!</v>
          </cell>
          <cell r="L1162" t="e">
            <v>#REF!</v>
          </cell>
          <cell r="M1162" t="e">
            <v>#REF!</v>
          </cell>
          <cell r="N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</row>
        <row r="1163">
          <cell r="A1163" t="e">
            <v>#REF!</v>
          </cell>
          <cell r="B1163" t="e">
            <v>#REF!</v>
          </cell>
          <cell r="C1163" t="e">
            <v>#REF!</v>
          </cell>
          <cell r="D1163" t="e">
            <v>#REF!</v>
          </cell>
          <cell r="E1163" t="e">
            <v>#REF!</v>
          </cell>
          <cell r="F1163" t="e">
            <v>#REF!</v>
          </cell>
          <cell r="G1163" t="e">
            <v>#REF!</v>
          </cell>
          <cell r="H1163" t="e">
            <v>#REF!</v>
          </cell>
          <cell r="I1163" t="e">
            <v>#REF!</v>
          </cell>
          <cell r="J1163" t="e">
            <v>#REF!</v>
          </cell>
          <cell r="K1163" t="e">
            <v>#REF!</v>
          </cell>
          <cell r="L1163" t="e">
            <v>#REF!</v>
          </cell>
          <cell r="M1163" t="e">
            <v>#REF!</v>
          </cell>
          <cell r="N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</row>
        <row r="1164">
          <cell r="A1164" t="e">
            <v>#REF!</v>
          </cell>
          <cell r="B1164" t="e">
            <v>#REF!</v>
          </cell>
          <cell r="C1164" t="e">
            <v>#REF!</v>
          </cell>
          <cell r="D1164" t="e">
            <v>#REF!</v>
          </cell>
          <cell r="E1164" t="e">
            <v>#REF!</v>
          </cell>
          <cell r="F1164" t="e">
            <v>#REF!</v>
          </cell>
          <cell r="G1164" t="e">
            <v>#REF!</v>
          </cell>
          <cell r="H1164" t="e">
            <v>#REF!</v>
          </cell>
          <cell r="I1164" t="e">
            <v>#REF!</v>
          </cell>
          <cell r="J1164" t="e">
            <v>#REF!</v>
          </cell>
          <cell r="K1164" t="e">
            <v>#REF!</v>
          </cell>
          <cell r="L1164" t="e">
            <v>#REF!</v>
          </cell>
          <cell r="M1164" t="e">
            <v>#REF!</v>
          </cell>
          <cell r="N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</row>
        <row r="1165">
          <cell r="A1165" t="e">
            <v>#REF!</v>
          </cell>
          <cell r="B1165" t="e">
            <v>#REF!</v>
          </cell>
          <cell r="C1165" t="e">
            <v>#REF!</v>
          </cell>
          <cell r="D1165" t="e">
            <v>#REF!</v>
          </cell>
          <cell r="E1165" t="e">
            <v>#REF!</v>
          </cell>
          <cell r="F1165" t="e">
            <v>#REF!</v>
          </cell>
          <cell r="G1165" t="e">
            <v>#REF!</v>
          </cell>
          <cell r="H1165" t="e">
            <v>#REF!</v>
          </cell>
          <cell r="I1165" t="e">
            <v>#REF!</v>
          </cell>
          <cell r="J1165" t="e">
            <v>#REF!</v>
          </cell>
          <cell r="K1165" t="e">
            <v>#REF!</v>
          </cell>
          <cell r="L1165" t="e">
            <v>#REF!</v>
          </cell>
          <cell r="M1165" t="e">
            <v>#REF!</v>
          </cell>
          <cell r="N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</row>
        <row r="1166">
          <cell r="A1166" t="e">
            <v>#REF!</v>
          </cell>
          <cell r="B1166" t="e">
            <v>#REF!</v>
          </cell>
          <cell r="C1166" t="e">
            <v>#REF!</v>
          </cell>
          <cell r="D1166" t="e">
            <v>#REF!</v>
          </cell>
          <cell r="E1166" t="e">
            <v>#REF!</v>
          </cell>
          <cell r="F1166" t="e">
            <v>#REF!</v>
          </cell>
          <cell r="G1166" t="e">
            <v>#REF!</v>
          </cell>
          <cell r="H1166" t="e">
            <v>#REF!</v>
          </cell>
          <cell r="I1166" t="e">
            <v>#REF!</v>
          </cell>
          <cell r="J1166" t="e">
            <v>#REF!</v>
          </cell>
          <cell r="K1166" t="e">
            <v>#REF!</v>
          </cell>
          <cell r="L1166" t="e">
            <v>#REF!</v>
          </cell>
          <cell r="M1166" t="e">
            <v>#REF!</v>
          </cell>
          <cell r="N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</row>
        <row r="1167">
          <cell r="A1167" t="e">
            <v>#REF!</v>
          </cell>
          <cell r="B1167" t="e">
            <v>#REF!</v>
          </cell>
          <cell r="C1167" t="e">
            <v>#REF!</v>
          </cell>
          <cell r="D1167" t="e">
            <v>#REF!</v>
          </cell>
          <cell r="E1167" t="e">
            <v>#REF!</v>
          </cell>
          <cell r="F1167" t="e">
            <v>#REF!</v>
          </cell>
          <cell r="G1167" t="e">
            <v>#REF!</v>
          </cell>
          <cell r="H1167" t="e">
            <v>#REF!</v>
          </cell>
          <cell r="I1167" t="e">
            <v>#REF!</v>
          </cell>
          <cell r="J1167" t="e">
            <v>#REF!</v>
          </cell>
          <cell r="K1167" t="e">
            <v>#REF!</v>
          </cell>
          <cell r="L1167" t="e">
            <v>#REF!</v>
          </cell>
          <cell r="M1167" t="e">
            <v>#REF!</v>
          </cell>
          <cell r="N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</row>
        <row r="1168">
          <cell r="A1168" t="e">
            <v>#REF!</v>
          </cell>
          <cell r="B1168" t="e">
            <v>#REF!</v>
          </cell>
          <cell r="C1168" t="e">
            <v>#REF!</v>
          </cell>
          <cell r="D1168" t="e">
            <v>#REF!</v>
          </cell>
          <cell r="E1168" t="e">
            <v>#REF!</v>
          </cell>
          <cell r="F1168" t="e">
            <v>#REF!</v>
          </cell>
          <cell r="G1168" t="e">
            <v>#REF!</v>
          </cell>
          <cell r="H1168" t="e">
            <v>#REF!</v>
          </cell>
          <cell r="I1168" t="e">
            <v>#REF!</v>
          </cell>
          <cell r="J1168" t="e">
            <v>#REF!</v>
          </cell>
          <cell r="K1168" t="e">
            <v>#REF!</v>
          </cell>
          <cell r="L1168" t="e">
            <v>#REF!</v>
          </cell>
          <cell r="M1168" t="e">
            <v>#REF!</v>
          </cell>
          <cell r="N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</row>
        <row r="1169">
          <cell r="A1169" t="e">
            <v>#REF!</v>
          </cell>
          <cell r="B1169" t="e">
            <v>#REF!</v>
          </cell>
          <cell r="C1169" t="e">
            <v>#REF!</v>
          </cell>
          <cell r="D1169" t="e">
            <v>#REF!</v>
          </cell>
          <cell r="E1169" t="e">
            <v>#REF!</v>
          </cell>
          <cell r="F1169" t="e">
            <v>#REF!</v>
          </cell>
          <cell r="G1169" t="e">
            <v>#REF!</v>
          </cell>
          <cell r="H1169" t="e">
            <v>#REF!</v>
          </cell>
          <cell r="I1169" t="e">
            <v>#REF!</v>
          </cell>
          <cell r="J1169" t="e">
            <v>#REF!</v>
          </cell>
          <cell r="K1169" t="e">
            <v>#REF!</v>
          </cell>
          <cell r="L1169" t="e">
            <v>#REF!</v>
          </cell>
          <cell r="M1169" t="e">
            <v>#REF!</v>
          </cell>
          <cell r="N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</row>
        <row r="1170">
          <cell r="A1170" t="e">
            <v>#REF!</v>
          </cell>
          <cell r="B1170" t="e">
            <v>#REF!</v>
          </cell>
          <cell r="C1170" t="e">
            <v>#REF!</v>
          </cell>
          <cell r="D1170" t="e">
            <v>#REF!</v>
          </cell>
          <cell r="E1170" t="e">
            <v>#REF!</v>
          </cell>
          <cell r="F1170" t="e">
            <v>#REF!</v>
          </cell>
          <cell r="G1170" t="e">
            <v>#REF!</v>
          </cell>
          <cell r="H1170" t="e">
            <v>#REF!</v>
          </cell>
          <cell r="I1170" t="e">
            <v>#REF!</v>
          </cell>
          <cell r="J1170" t="e">
            <v>#REF!</v>
          </cell>
          <cell r="K1170" t="e">
            <v>#REF!</v>
          </cell>
          <cell r="L1170" t="e">
            <v>#REF!</v>
          </cell>
          <cell r="M1170" t="e">
            <v>#REF!</v>
          </cell>
          <cell r="N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</row>
        <row r="1171">
          <cell r="A1171" t="e">
            <v>#REF!</v>
          </cell>
          <cell r="B1171" t="e">
            <v>#REF!</v>
          </cell>
          <cell r="C1171" t="e">
            <v>#REF!</v>
          </cell>
          <cell r="D1171" t="e">
            <v>#REF!</v>
          </cell>
          <cell r="E1171" t="e">
            <v>#REF!</v>
          </cell>
          <cell r="F1171" t="e">
            <v>#REF!</v>
          </cell>
          <cell r="G1171" t="e">
            <v>#REF!</v>
          </cell>
          <cell r="H1171" t="e">
            <v>#REF!</v>
          </cell>
          <cell r="I1171" t="e">
            <v>#REF!</v>
          </cell>
          <cell r="J1171" t="e">
            <v>#REF!</v>
          </cell>
          <cell r="K1171" t="e">
            <v>#REF!</v>
          </cell>
          <cell r="L1171" t="e">
            <v>#REF!</v>
          </cell>
          <cell r="M1171" t="e">
            <v>#REF!</v>
          </cell>
          <cell r="N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</row>
        <row r="1172">
          <cell r="A1172" t="e">
            <v>#REF!</v>
          </cell>
          <cell r="B1172" t="e">
            <v>#REF!</v>
          </cell>
          <cell r="C1172" t="e">
            <v>#REF!</v>
          </cell>
          <cell r="D1172" t="e">
            <v>#REF!</v>
          </cell>
          <cell r="E1172" t="e">
            <v>#REF!</v>
          </cell>
          <cell r="F1172" t="e">
            <v>#REF!</v>
          </cell>
          <cell r="G1172" t="e">
            <v>#REF!</v>
          </cell>
          <cell r="H1172" t="e">
            <v>#REF!</v>
          </cell>
          <cell r="I1172" t="e">
            <v>#REF!</v>
          </cell>
          <cell r="J1172" t="e">
            <v>#REF!</v>
          </cell>
          <cell r="K1172" t="e">
            <v>#REF!</v>
          </cell>
          <cell r="L1172" t="e">
            <v>#REF!</v>
          </cell>
          <cell r="M1172" t="e">
            <v>#REF!</v>
          </cell>
          <cell r="N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</row>
      </sheetData>
      <sheetData sheetId="10">
        <row r="1077">
          <cell r="A1077" t="e">
            <v>#REF!</v>
          </cell>
          <cell r="B1077" t="e">
            <v>#REF!</v>
          </cell>
          <cell r="C1077" t="e">
            <v>#REF!</v>
          </cell>
          <cell r="D1077" t="e">
            <v>#REF!</v>
          </cell>
          <cell r="E1077" t="e">
            <v>#REF!</v>
          </cell>
          <cell r="F1077" t="e">
            <v>#REF!</v>
          </cell>
          <cell r="G1077" t="e">
            <v>#REF!</v>
          </cell>
          <cell r="H1077" t="e">
            <v>#REF!</v>
          </cell>
          <cell r="I1077" t="e">
            <v>#REF!</v>
          </cell>
          <cell r="J1077" t="e">
            <v>#REF!</v>
          </cell>
          <cell r="K1077" t="e">
            <v>#REF!</v>
          </cell>
          <cell r="L1077" t="e">
            <v>#REF!</v>
          </cell>
          <cell r="M1077" t="e">
            <v>#REF!</v>
          </cell>
          <cell r="N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</row>
        <row r="1078">
          <cell r="A1078" t="e">
            <v>#REF!</v>
          </cell>
          <cell r="B1078" t="e">
            <v>#REF!</v>
          </cell>
          <cell r="C1078" t="e">
            <v>#REF!</v>
          </cell>
          <cell r="D1078" t="e">
            <v>#REF!</v>
          </cell>
          <cell r="E1078" t="e">
            <v>#REF!</v>
          </cell>
          <cell r="F1078" t="e">
            <v>#REF!</v>
          </cell>
          <cell r="G1078" t="e">
            <v>#REF!</v>
          </cell>
          <cell r="H1078" t="e">
            <v>#REF!</v>
          </cell>
          <cell r="I1078" t="e">
            <v>#REF!</v>
          </cell>
          <cell r="J1078" t="e">
            <v>#REF!</v>
          </cell>
          <cell r="K1078" t="e">
            <v>#REF!</v>
          </cell>
          <cell r="L1078" t="e">
            <v>#REF!</v>
          </cell>
          <cell r="M1078" t="e">
            <v>#REF!</v>
          </cell>
          <cell r="N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</row>
        <row r="1079">
          <cell r="A1079" t="e">
            <v>#REF!</v>
          </cell>
          <cell r="B1079" t="e">
            <v>#REF!</v>
          </cell>
          <cell r="C1079" t="e">
            <v>#REF!</v>
          </cell>
          <cell r="D1079" t="e">
            <v>#REF!</v>
          </cell>
          <cell r="E1079" t="e">
            <v>#REF!</v>
          </cell>
          <cell r="F1079" t="e">
            <v>#REF!</v>
          </cell>
          <cell r="G1079" t="e">
            <v>#REF!</v>
          </cell>
          <cell r="H1079" t="e">
            <v>#REF!</v>
          </cell>
          <cell r="I1079" t="e">
            <v>#REF!</v>
          </cell>
          <cell r="J1079" t="e">
            <v>#REF!</v>
          </cell>
          <cell r="K1079" t="e">
            <v>#REF!</v>
          </cell>
          <cell r="L1079" t="e">
            <v>#REF!</v>
          </cell>
          <cell r="M1079" t="e">
            <v>#REF!</v>
          </cell>
          <cell r="N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</row>
        <row r="1080">
          <cell r="A1080" t="e">
            <v>#REF!</v>
          </cell>
          <cell r="B1080" t="e">
            <v>#REF!</v>
          </cell>
          <cell r="C1080" t="e">
            <v>#REF!</v>
          </cell>
          <cell r="D1080" t="e">
            <v>#REF!</v>
          </cell>
          <cell r="E1080" t="e">
            <v>#REF!</v>
          </cell>
          <cell r="F1080" t="e">
            <v>#REF!</v>
          </cell>
          <cell r="G1080" t="e">
            <v>#REF!</v>
          </cell>
          <cell r="H1080" t="e">
            <v>#REF!</v>
          </cell>
          <cell r="I1080" t="e">
            <v>#REF!</v>
          </cell>
          <cell r="J1080" t="e">
            <v>#REF!</v>
          </cell>
          <cell r="K1080" t="e">
            <v>#REF!</v>
          </cell>
          <cell r="L1080" t="e">
            <v>#REF!</v>
          </cell>
          <cell r="M1080" t="e">
            <v>#REF!</v>
          </cell>
          <cell r="N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</row>
        <row r="1081">
          <cell r="A1081" t="e">
            <v>#REF!</v>
          </cell>
          <cell r="B1081" t="e">
            <v>#REF!</v>
          </cell>
          <cell r="C1081" t="e">
            <v>#REF!</v>
          </cell>
          <cell r="D1081" t="e">
            <v>#REF!</v>
          </cell>
          <cell r="E1081" t="e">
            <v>#REF!</v>
          </cell>
          <cell r="F1081" t="e">
            <v>#REF!</v>
          </cell>
          <cell r="G1081" t="e">
            <v>#REF!</v>
          </cell>
          <cell r="H1081" t="e">
            <v>#REF!</v>
          </cell>
          <cell r="I1081" t="e">
            <v>#REF!</v>
          </cell>
          <cell r="J1081" t="e">
            <v>#REF!</v>
          </cell>
          <cell r="K1081" t="e">
            <v>#REF!</v>
          </cell>
          <cell r="L1081" t="e">
            <v>#REF!</v>
          </cell>
          <cell r="M1081" t="e">
            <v>#REF!</v>
          </cell>
          <cell r="N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</row>
        <row r="1082">
          <cell r="A1082" t="e">
            <v>#REF!</v>
          </cell>
          <cell r="B1082" t="e">
            <v>#REF!</v>
          </cell>
          <cell r="C1082" t="e">
            <v>#REF!</v>
          </cell>
          <cell r="D1082" t="e">
            <v>#REF!</v>
          </cell>
          <cell r="E1082" t="e">
            <v>#REF!</v>
          </cell>
          <cell r="F1082" t="e">
            <v>#REF!</v>
          </cell>
          <cell r="G1082" t="e">
            <v>#REF!</v>
          </cell>
          <cell r="H1082" t="e">
            <v>#REF!</v>
          </cell>
          <cell r="I1082" t="e">
            <v>#REF!</v>
          </cell>
          <cell r="J1082" t="e">
            <v>#REF!</v>
          </cell>
          <cell r="K1082" t="e">
            <v>#REF!</v>
          </cell>
          <cell r="L1082" t="e">
            <v>#REF!</v>
          </cell>
          <cell r="M1082" t="e">
            <v>#REF!</v>
          </cell>
          <cell r="N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</row>
        <row r="1083">
          <cell r="A1083" t="e">
            <v>#REF!</v>
          </cell>
          <cell r="B1083" t="e">
            <v>#REF!</v>
          </cell>
          <cell r="C1083" t="e">
            <v>#REF!</v>
          </cell>
          <cell r="D1083" t="e">
            <v>#REF!</v>
          </cell>
          <cell r="E1083" t="e">
            <v>#REF!</v>
          </cell>
          <cell r="F1083" t="e">
            <v>#REF!</v>
          </cell>
          <cell r="G1083" t="e">
            <v>#REF!</v>
          </cell>
          <cell r="H1083" t="e">
            <v>#REF!</v>
          </cell>
          <cell r="I1083" t="e">
            <v>#REF!</v>
          </cell>
          <cell r="J1083" t="e">
            <v>#REF!</v>
          </cell>
          <cell r="K1083" t="e">
            <v>#REF!</v>
          </cell>
          <cell r="L1083" t="e">
            <v>#REF!</v>
          </cell>
          <cell r="M1083" t="e">
            <v>#REF!</v>
          </cell>
          <cell r="N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</row>
        <row r="1084">
          <cell r="A1084" t="e">
            <v>#REF!</v>
          </cell>
          <cell r="B1084" t="e">
            <v>#REF!</v>
          </cell>
          <cell r="C1084" t="e">
            <v>#REF!</v>
          </cell>
          <cell r="D1084" t="e">
            <v>#REF!</v>
          </cell>
          <cell r="E1084" t="e">
            <v>#REF!</v>
          </cell>
          <cell r="F1084" t="e">
            <v>#REF!</v>
          </cell>
          <cell r="G1084" t="e">
            <v>#REF!</v>
          </cell>
          <cell r="H1084" t="e">
            <v>#REF!</v>
          </cell>
          <cell r="I1084" t="e">
            <v>#REF!</v>
          </cell>
          <cell r="J1084" t="e">
            <v>#REF!</v>
          </cell>
          <cell r="K1084" t="e">
            <v>#REF!</v>
          </cell>
          <cell r="L1084" t="e">
            <v>#REF!</v>
          </cell>
          <cell r="M1084" t="e">
            <v>#REF!</v>
          </cell>
          <cell r="N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</row>
        <row r="1085">
          <cell r="A1085" t="e">
            <v>#REF!</v>
          </cell>
          <cell r="B1085" t="e">
            <v>#REF!</v>
          </cell>
          <cell r="C1085" t="e">
            <v>#REF!</v>
          </cell>
          <cell r="D1085" t="e">
            <v>#REF!</v>
          </cell>
          <cell r="E1085" t="e">
            <v>#REF!</v>
          </cell>
          <cell r="F1085" t="e">
            <v>#REF!</v>
          </cell>
          <cell r="G1085" t="e">
            <v>#REF!</v>
          </cell>
          <cell r="H1085" t="e">
            <v>#REF!</v>
          </cell>
          <cell r="I1085" t="e">
            <v>#REF!</v>
          </cell>
          <cell r="J1085" t="e">
            <v>#REF!</v>
          </cell>
          <cell r="K1085" t="e">
            <v>#REF!</v>
          </cell>
          <cell r="L1085" t="e">
            <v>#REF!</v>
          </cell>
          <cell r="M1085" t="e">
            <v>#REF!</v>
          </cell>
          <cell r="N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</row>
        <row r="1086">
          <cell r="A1086" t="e">
            <v>#REF!</v>
          </cell>
          <cell r="B1086" t="e">
            <v>#REF!</v>
          </cell>
          <cell r="C1086" t="e">
            <v>#REF!</v>
          </cell>
          <cell r="D1086" t="e">
            <v>#REF!</v>
          </cell>
          <cell r="E1086" t="e">
            <v>#REF!</v>
          </cell>
          <cell r="F1086" t="e">
            <v>#REF!</v>
          </cell>
          <cell r="G1086" t="e">
            <v>#REF!</v>
          </cell>
          <cell r="H1086" t="e">
            <v>#REF!</v>
          </cell>
          <cell r="I1086" t="e">
            <v>#REF!</v>
          </cell>
          <cell r="J1086" t="e">
            <v>#REF!</v>
          </cell>
          <cell r="K1086" t="e">
            <v>#REF!</v>
          </cell>
          <cell r="L1086" t="e">
            <v>#REF!</v>
          </cell>
          <cell r="M1086" t="e">
            <v>#REF!</v>
          </cell>
          <cell r="N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</row>
        <row r="1087">
          <cell r="A1087" t="e">
            <v>#REF!</v>
          </cell>
          <cell r="B1087" t="e">
            <v>#REF!</v>
          </cell>
          <cell r="C1087" t="e">
            <v>#REF!</v>
          </cell>
          <cell r="D1087" t="e">
            <v>#REF!</v>
          </cell>
          <cell r="E1087" t="e">
            <v>#REF!</v>
          </cell>
          <cell r="F1087" t="e">
            <v>#REF!</v>
          </cell>
          <cell r="G1087" t="e">
            <v>#REF!</v>
          </cell>
          <cell r="H1087" t="e">
            <v>#REF!</v>
          </cell>
          <cell r="I1087" t="e">
            <v>#REF!</v>
          </cell>
          <cell r="J1087" t="e">
            <v>#REF!</v>
          </cell>
          <cell r="K1087" t="e">
            <v>#REF!</v>
          </cell>
          <cell r="L1087" t="e">
            <v>#REF!</v>
          </cell>
          <cell r="M1087" t="e">
            <v>#REF!</v>
          </cell>
          <cell r="N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</row>
        <row r="1088">
          <cell r="A1088" t="e">
            <v>#REF!</v>
          </cell>
          <cell r="B1088" t="e">
            <v>#REF!</v>
          </cell>
          <cell r="C1088" t="e">
            <v>#REF!</v>
          </cell>
          <cell r="D1088" t="e">
            <v>#REF!</v>
          </cell>
          <cell r="E1088" t="e">
            <v>#REF!</v>
          </cell>
          <cell r="F1088" t="e">
            <v>#REF!</v>
          </cell>
          <cell r="G1088" t="e">
            <v>#REF!</v>
          </cell>
          <cell r="H1088" t="e">
            <v>#REF!</v>
          </cell>
          <cell r="I1088" t="e">
            <v>#REF!</v>
          </cell>
          <cell r="J1088" t="e">
            <v>#REF!</v>
          </cell>
          <cell r="K1088" t="e">
            <v>#REF!</v>
          </cell>
          <cell r="L1088" t="e">
            <v>#REF!</v>
          </cell>
          <cell r="M1088" t="e">
            <v>#REF!</v>
          </cell>
          <cell r="N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</row>
        <row r="1089">
          <cell r="A1089" t="e">
            <v>#REF!</v>
          </cell>
          <cell r="B1089" t="e">
            <v>#REF!</v>
          </cell>
          <cell r="C1089" t="e">
            <v>#REF!</v>
          </cell>
          <cell r="D1089" t="e">
            <v>#REF!</v>
          </cell>
          <cell r="E1089" t="e">
            <v>#REF!</v>
          </cell>
          <cell r="F1089" t="e">
            <v>#REF!</v>
          </cell>
          <cell r="G1089" t="e">
            <v>#REF!</v>
          </cell>
          <cell r="H1089" t="e">
            <v>#REF!</v>
          </cell>
          <cell r="I1089" t="e">
            <v>#REF!</v>
          </cell>
          <cell r="J1089" t="e">
            <v>#REF!</v>
          </cell>
          <cell r="K1089" t="e">
            <v>#REF!</v>
          </cell>
          <cell r="L1089" t="e">
            <v>#REF!</v>
          </cell>
          <cell r="M1089" t="e">
            <v>#REF!</v>
          </cell>
          <cell r="N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</row>
        <row r="1090">
          <cell r="A1090" t="e">
            <v>#REF!</v>
          </cell>
          <cell r="B1090" t="e">
            <v>#REF!</v>
          </cell>
          <cell r="C1090" t="e">
            <v>#REF!</v>
          </cell>
          <cell r="D1090" t="e">
            <v>#REF!</v>
          </cell>
          <cell r="E1090" t="e">
            <v>#REF!</v>
          </cell>
          <cell r="F1090" t="e">
            <v>#REF!</v>
          </cell>
          <cell r="G1090" t="e">
            <v>#REF!</v>
          </cell>
          <cell r="H1090" t="e">
            <v>#REF!</v>
          </cell>
          <cell r="I1090" t="e">
            <v>#REF!</v>
          </cell>
          <cell r="J1090" t="e">
            <v>#REF!</v>
          </cell>
          <cell r="K1090" t="e">
            <v>#REF!</v>
          </cell>
          <cell r="L1090" t="e">
            <v>#REF!</v>
          </cell>
          <cell r="M1090" t="e">
            <v>#REF!</v>
          </cell>
          <cell r="N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</row>
        <row r="1091">
          <cell r="A1091" t="e">
            <v>#REF!</v>
          </cell>
          <cell r="B1091" t="e">
            <v>#REF!</v>
          </cell>
          <cell r="C1091" t="e">
            <v>#REF!</v>
          </cell>
          <cell r="D1091" t="e">
            <v>#REF!</v>
          </cell>
          <cell r="E1091" t="e">
            <v>#REF!</v>
          </cell>
          <cell r="F1091" t="e">
            <v>#REF!</v>
          </cell>
          <cell r="G1091" t="e">
            <v>#REF!</v>
          </cell>
          <cell r="H1091" t="e">
            <v>#REF!</v>
          </cell>
          <cell r="I1091" t="e">
            <v>#REF!</v>
          </cell>
          <cell r="J1091" t="e">
            <v>#REF!</v>
          </cell>
          <cell r="K1091" t="e">
            <v>#REF!</v>
          </cell>
          <cell r="L1091" t="e">
            <v>#REF!</v>
          </cell>
          <cell r="M1091" t="e">
            <v>#REF!</v>
          </cell>
          <cell r="N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</row>
        <row r="1092">
          <cell r="A1092" t="e">
            <v>#REF!</v>
          </cell>
          <cell r="B1092" t="e">
            <v>#REF!</v>
          </cell>
          <cell r="C1092" t="e">
            <v>#REF!</v>
          </cell>
          <cell r="D1092" t="e">
            <v>#REF!</v>
          </cell>
          <cell r="E1092" t="e">
            <v>#REF!</v>
          </cell>
          <cell r="F1092" t="e">
            <v>#REF!</v>
          </cell>
          <cell r="G1092" t="e">
            <v>#REF!</v>
          </cell>
          <cell r="H1092" t="e">
            <v>#REF!</v>
          </cell>
          <cell r="I1092" t="e">
            <v>#REF!</v>
          </cell>
          <cell r="J1092" t="e">
            <v>#REF!</v>
          </cell>
          <cell r="K1092" t="e">
            <v>#REF!</v>
          </cell>
          <cell r="L1092" t="e">
            <v>#REF!</v>
          </cell>
          <cell r="M1092" t="e">
            <v>#REF!</v>
          </cell>
          <cell r="N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</row>
        <row r="1093">
          <cell r="A1093" t="e">
            <v>#REF!</v>
          </cell>
          <cell r="B1093" t="e">
            <v>#REF!</v>
          </cell>
          <cell r="C1093" t="e">
            <v>#REF!</v>
          </cell>
          <cell r="D1093" t="e">
            <v>#REF!</v>
          </cell>
          <cell r="E1093" t="e">
            <v>#REF!</v>
          </cell>
          <cell r="F1093" t="e">
            <v>#REF!</v>
          </cell>
          <cell r="G1093" t="e">
            <v>#REF!</v>
          </cell>
          <cell r="H1093" t="e">
            <v>#REF!</v>
          </cell>
          <cell r="I1093" t="e">
            <v>#REF!</v>
          </cell>
          <cell r="J1093" t="e">
            <v>#REF!</v>
          </cell>
          <cell r="K1093" t="e">
            <v>#REF!</v>
          </cell>
          <cell r="L1093" t="e">
            <v>#REF!</v>
          </cell>
          <cell r="M1093" t="e">
            <v>#REF!</v>
          </cell>
          <cell r="N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</row>
        <row r="1094">
          <cell r="A1094" t="e">
            <v>#REF!</v>
          </cell>
          <cell r="B1094" t="e">
            <v>#REF!</v>
          </cell>
          <cell r="C1094" t="e">
            <v>#REF!</v>
          </cell>
          <cell r="D1094" t="e">
            <v>#REF!</v>
          </cell>
          <cell r="E1094" t="e">
            <v>#REF!</v>
          </cell>
          <cell r="F1094" t="e">
            <v>#REF!</v>
          </cell>
          <cell r="G1094" t="e">
            <v>#REF!</v>
          </cell>
          <cell r="H1094" t="e">
            <v>#REF!</v>
          </cell>
          <cell r="I1094" t="e">
            <v>#REF!</v>
          </cell>
          <cell r="J1094" t="e">
            <v>#REF!</v>
          </cell>
          <cell r="K1094" t="e">
            <v>#REF!</v>
          </cell>
          <cell r="L1094" t="e">
            <v>#REF!</v>
          </cell>
          <cell r="M1094" t="e">
            <v>#REF!</v>
          </cell>
          <cell r="N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</row>
        <row r="1095">
          <cell r="A1095" t="e">
            <v>#REF!</v>
          </cell>
          <cell r="B1095" t="e">
            <v>#REF!</v>
          </cell>
          <cell r="C1095" t="e">
            <v>#REF!</v>
          </cell>
          <cell r="D1095" t="e">
            <v>#REF!</v>
          </cell>
          <cell r="E1095" t="e">
            <v>#REF!</v>
          </cell>
          <cell r="F1095" t="e">
            <v>#REF!</v>
          </cell>
          <cell r="G1095" t="e">
            <v>#REF!</v>
          </cell>
          <cell r="H1095" t="e">
            <v>#REF!</v>
          </cell>
          <cell r="I1095" t="e">
            <v>#REF!</v>
          </cell>
          <cell r="J1095" t="e">
            <v>#REF!</v>
          </cell>
          <cell r="K1095" t="e">
            <v>#REF!</v>
          </cell>
          <cell r="L1095" t="e">
            <v>#REF!</v>
          </cell>
          <cell r="M1095" t="e">
            <v>#REF!</v>
          </cell>
          <cell r="N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</row>
        <row r="1096">
          <cell r="A1096" t="e">
            <v>#REF!</v>
          </cell>
          <cell r="B1096" t="e">
            <v>#REF!</v>
          </cell>
          <cell r="C1096" t="e">
            <v>#REF!</v>
          </cell>
          <cell r="D1096" t="e">
            <v>#REF!</v>
          </cell>
          <cell r="E1096" t="e">
            <v>#REF!</v>
          </cell>
          <cell r="F1096" t="e">
            <v>#REF!</v>
          </cell>
          <cell r="G1096" t="e">
            <v>#REF!</v>
          </cell>
          <cell r="H1096" t="e">
            <v>#REF!</v>
          </cell>
          <cell r="I1096" t="e">
            <v>#REF!</v>
          </cell>
          <cell r="J1096" t="e">
            <v>#REF!</v>
          </cell>
          <cell r="K1096" t="e">
            <v>#REF!</v>
          </cell>
          <cell r="L1096" t="e">
            <v>#REF!</v>
          </cell>
          <cell r="M1096" t="e">
            <v>#REF!</v>
          </cell>
          <cell r="N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</row>
        <row r="1097">
          <cell r="A1097" t="e">
            <v>#REF!</v>
          </cell>
          <cell r="B1097" t="e">
            <v>#REF!</v>
          </cell>
          <cell r="C1097" t="e">
            <v>#REF!</v>
          </cell>
          <cell r="D1097" t="e">
            <v>#REF!</v>
          </cell>
          <cell r="E1097" t="e">
            <v>#REF!</v>
          </cell>
          <cell r="F1097" t="e">
            <v>#REF!</v>
          </cell>
          <cell r="G1097" t="e">
            <v>#REF!</v>
          </cell>
          <cell r="H1097" t="e">
            <v>#REF!</v>
          </cell>
          <cell r="I1097" t="e">
            <v>#REF!</v>
          </cell>
          <cell r="J1097" t="e">
            <v>#REF!</v>
          </cell>
          <cell r="K1097" t="e">
            <v>#REF!</v>
          </cell>
          <cell r="L1097" t="e">
            <v>#REF!</v>
          </cell>
          <cell r="M1097" t="e">
            <v>#REF!</v>
          </cell>
          <cell r="N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</row>
        <row r="1098">
          <cell r="A1098" t="e">
            <v>#REF!</v>
          </cell>
          <cell r="B1098" t="e">
            <v>#REF!</v>
          </cell>
          <cell r="C1098" t="e">
            <v>#REF!</v>
          </cell>
          <cell r="D1098" t="e">
            <v>#REF!</v>
          </cell>
          <cell r="E1098" t="e">
            <v>#REF!</v>
          </cell>
          <cell r="F1098" t="e">
            <v>#REF!</v>
          </cell>
          <cell r="G1098" t="e">
            <v>#REF!</v>
          </cell>
          <cell r="H1098" t="e">
            <v>#REF!</v>
          </cell>
          <cell r="I1098" t="e">
            <v>#REF!</v>
          </cell>
          <cell r="J1098" t="e">
            <v>#REF!</v>
          </cell>
          <cell r="K1098" t="e">
            <v>#REF!</v>
          </cell>
          <cell r="L1098" t="e">
            <v>#REF!</v>
          </cell>
          <cell r="M1098" t="e">
            <v>#REF!</v>
          </cell>
          <cell r="N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</row>
        <row r="1099">
          <cell r="A1099" t="e">
            <v>#REF!</v>
          </cell>
          <cell r="B1099" t="e">
            <v>#REF!</v>
          </cell>
          <cell r="C1099" t="e">
            <v>#REF!</v>
          </cell>
          <cell r="D1099" t="e">
            <v>#REF!</v>
          </cell>
          <cell r="E1099" t="e">
            <v>#REF!</v>
          </cell>
          <cell r="F1099" t="e">
            <v>#REF!</v>
          </cell>
          <cell r="G1099" t="e">
            <v>#REF!</v>
          </cell>
          <cell r="H1099" t="e">
            <v>#REF!</v>
          </cell>
          <cell r="I1099" t="e">
            <v>#REF!</v>
          </cell>
          <cell r="J1099" t="e">
            <v>#REF!</v>
          </cell>
          <cell r="K1099" t="e">
            <v>#REF!</v>
          </cell>
          <cell r="L1099" t="e">
            <v>#REF!</v>
          </cell>
          <cell r="M1099" t="e">
            <v>#REF!</v>
          </cell>
          <cell r="N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</row>
        <row r="1100">
          <cell r="A1100" t="e">
            <v>#REF!</v>
          </cell>
          <cell r="B1100" t="e">
            <v>#REF!</v>
          </cell>
          <cell r="C1100" t="e">
            <v>#REF!</v>
          </cell>
          <cell r="D1100" t="e">
            <v>#REF!</v>
          </cell>
          <cell r="E1100" t="e">
            <v>#REF!</v>
          </cell>
          <cell r="F1100" t="e">
            <v>#REF!</v>
          </cell>
          <cell r="G1100" t="e">
            <v>#REF!</v>
          </cell>
          <cell r="H1100" t="e">
            <v>#REF!</v>
          </cell>
          <cell r="I1100" t="e">
            <v>#REF!</v>
          </cell>
          <cell r="J1100" t="e">
            <v>#REF!</v>
          </cell>
          <cell r="K1100" t="e">
            <v>#REF!</v>
          </cell>
          <cell r="L1100" t="e">
            <v>#REF!</v>
          </cell>
          <cell r="M1100" t="e">
            <v>#REF!</v>
          </cell>
          <cell r="N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</row>
        <row r="1101">
          <cell r="A1101" t="e">
            <v>#REF!</v>
          </cell>
          <cell r="B1101" t="e">
            <v>#REF!</v>
          </cell>
          <cell r="C1101" t="e">
            <v>#REF!</v>
          </cell>
          <cell r="D1101" t="e">
            <v>#REF!</v>
          </cell>
          <cell r="E1101" t="e">
            <v>#REF!</v>
          </cell>
          <cell r="F1101" t="e">
            <v>#REF!</v>
          </cell>
          <cell r="G1101" t="e">
            <v>#REF!</v>
          </cell>
          <cell r="H1101" t="e">
            <v>#REF!</v>
          </cell>
          <cell r="I1101" t="e">
            <v>#REF!</v>
          </cell>
          <cell r="J1101" t="e">
            <v>#REF!</v>
          </cell>
          <cell r="K1101" t="e">
            <v>#REF!</v>
          </cell>
          <cell r="L1101" t="e">
            <v>#REF!</v>
          </cell>
          <cell r="M1101" t="e">
            <v>#REF!</v>
          </cell>
          <cell r="N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</row>
        <row r="1102">
          <cell r="A1102" t="e">
            <v>#REF!</v>
          </cell>
          <cell r="B1102" t="e">
            <v>#REF!</v>
          </cell>
          <cell r="C1102" t="e">
            <v>#REF!</v>
          </cell>
          <cell r="D1102" t="e">
            <v>#REF!</v>
          </cell>
          <cell r="E1102" t="e">
            <v>#REF!</v>
          </cell>
          <cell r="F1102" t="e">
            <v>#REF!</v>
          </cell>
          <cell r="G1102" t="e">
            <v>#REF!</v>
          </cell>
          <cell r="H1102" t="e">
            <v>#REF!</v>
          </cell>
          <cell r="I1102" t="e">
            <v>#REF!</v>
          </cell>
          <cell r="J1102" t="e">
            <v>#REF!</v>
          </cell>
          <cell r="K1102" t="e">
            <v>#REF!</v>
          </cell>
          <cell r="L1102" t="e">
            <v>#REF!</v>
          </cell>
          <cell r="M1102" t="e">
            <v>#REF!</v>
          </cell>
          <cell r="N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</row>
        <row r="1103">
          <cell r="A1103" t="e">
            <v>#REF!</v>
          </cell>
          <cell r="B1103" t="e">
            <v>#REF!</v>
          </cell>
          <cell r="C1103" t="e">
            <v>#REF!</v>
          </cell>
          <cell r="D1103" t="e">
            <v>#REF!</v>
          </cell>
          <cell r="E1103" t="e">
            <v>#REF!</v>
          </cell>
          <cell r="F1103" t="e">
            <v>#REF!</v>
          </cell>
          <cell r="G1103" t="e">
            <v>#REF!</v>
          </cell>
          <cell r="H1103" t="e">
            <v>#REF!</v>
          </cell>
          <cell r="I1103" t="e">
            <v>#REF!</v>
          </cell>
          <cell r="J1103" t="e">
            <v>#REF!</v>
          </cell>
          <cell r="K1103" t="e">
            <v>#REF!</v>
          </cell>
          <cell r="L1103" t="e">
            <v>#REF!</v>
          </cell>
          <cell r="M1103" t="e">
            <v>#REF!</v>
          </cell>
          <cell r="N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</row>
        <row r="1104">
          <cell r="A1104" t="e">
            <v>#REF!</v>
          </cell>
          <cell r="B1104" t="e">
            <v>#REF!</v>
          </cell>
          <cell r="C1104" t="e">
            <v>#REF!</v>
          </cell>
          <cell r="D1104" t="e">
            <v>#REF!</v>
          </cell>
          <cell r="E1104" t="e">
            <v>#REF!</v>
          </cell>
          <cell r="F1104" t="e">
            <v>#REF!</v>
          </cell>
          <cell r="G1104" t="e">
            <v>#REF!</v>
          </cell>
          <cell r="H1104" t="e">
            <v>#REF!</v>
          </cell>
          <cell r="I1104" t="e">
            <v>#REF!</v>
          </cell>
          <cell r="J1104" t="e">
            <v>#REF!</v>
          </cell>
          <cell r="K1104" t="e">
            <v>#REF!</v>
          </cell>
          <cell r="L1104" t="e">
            <v>#REF!</v>
          </cell>
          <cell r="M1104" t="e">
            <v>#REF!</v>
          </cell>
          <cell r="N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</row>
        <row r="1105">
          <cell r="A1105" t="e">
            <v>#REF!</v>
          </cell>
          <cell r="B1105" t="e">
            <v>#REF!</v>
          </cell>
          <cell r="C1105" t="e">
            <v>#REF!</v>
          </cell>
          <cell r="D1105" t="e">
            <v>#REF!</v>
          </cell>
          <cell r="E1105" t="e">
            <v>#REF!</v>
          </cell>
          <cell r="F1105" t="e">
            <v>#REF!</v>
          </cell>
          <cell r="G1105" t="e">
            <v>#REF!</v>
          </cell>
          <cell r="H1105" t="e">
            <v>#REF!</v>
          </cell>
          <cell r="I1105" t="e">
            <v>#REF!</v>
          </cell>
          <cell r="J1105" t="e">
            <v>#REF!</v>
          </cell>
          <cell r="K1105" t="e">
            <v>#REF!</v>
          </cell>
          <cell r="L1105" t="e">
            <v>#REF!</v>
          </cell>
          <cell r="M1105" t="e">
            <v>#REF!</v>
          </cell>
          <cell r="N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</row>
        <row r="1106">
          <cell r="A1106" t="e">
            <v>#REF!</v>
          </cell>
          <cell r="B1106" t="e">
            <v>#REF!</v>
          </cell>
          <cell r="C1106" t="e">
            <v>#REF!</v>
          </cell>
          <cell r="D1106" t="e">
            <v>#REF!</v>
          </cell>
          <cell r="E1106" t="e">
            <v>#REF!</v>
          </cell>
          <cell r="F1106" t="e">
            <v>#REF!</v>
          </cell>
          <cell r="G1106" t="e">
            <v>#REF!</v>
          </cell>
          <cell r="H1106" t="e">
            <v>#REF!</v>
          </cell>
          <cell r="I1106" t="e">
            <v>#REF!</v>
          </cell>
          <cell r="J1106" t="e">
            <v>#REF!</v>
          </cell>
          <cell r="K1106" t="e">
            <v>#REF!</v>
          </cell>
          <cell r="L1106" t="e">
            <v>#REF!</v>
          </cell>
          <cell r="M1106" t="e">
            <v>#REF!</v>
          </cell>
          <cell r="N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</row>
        <row r="1107">
          <cell r="A1107" t="e">
            <v>#REF!</v>
          </cell>
          <cell r="B1107" t="e">
            <v>#REF!</v>
          </cell>
          <cell r="C1107" t="e">
            <v>#REF!</v>
          </cell>
          <cell r="D1107" t="e">
            <v>#REF!</v>
          </cell>
          <cell r="E1107" t="e">
            <v>#REF!</v>
          </cell>
          <cell r="F1107" t="e">
            <v>#REF!</v>
          </cell>
          <cell r="G1107" t="e">
            <v>#REF!</v>
          </cell>
          <cell r="H1107" t="e">
            <v>#REF!</v>
          </cell>
          <cell r="I1107" t="e">
            <v>#REF!</v>
          </cell>
          <cell r="J1107" t="e">
            <v>#REF!</v>
          </cell>
          <cell r="K1107" t="e">
            <v>#REF!</v>
          </cell>
          <cell r="L1107" t="e">
            <v>#REF!</v>
          </cell>
          <cell r="M1107" t="e">
            <v>#REF!</v>
          </cell>
          <cell r="N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</row>
        <row r="1108">
          <cell r="A1108" t="e">
            <v>#REF!</v>
          </cell>
          <cell r="B1108" t="e">
            <v>#REF!</v>
          </cell>
          <cell r="C1108" t="e">
            <v>#REF!</v>
          </cell>
          <cell r="D1108" t="e">
            <v>#REF!</v>
          </cell>
          <cell r="E1108" t="e">
            <v>#REF!</v>
          </cell>
          <cell r="F1108" t="e">
            <v>#REF!</v>
          </cell>
          <cell r="G1108" t="e">
            <v>#REF!</v>
          </cell>
          <cell r="H1108" t="e">
            <v>#REF!</v>
          </cell>
          <cell r="I1108" t="e">
            <v>#REF!</v>
          </cell>
          <cell r="J1108" t="e">
            <v>#REF!</v>
          </cell>
          <cell r="K1108" t="e">
            <v>#REF!</v>
          </cell>
          <cell r="L1108" t="e">
            <v>#REF!</v>
          </cell>
          <cell r="M1108" t="e">
            <v>#REF!</v>
          </cell>
          <cell r="N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</row>
        <row r="1109">
          <cell r="A1109" t="e">
            <v>#REF!</v>
          </cell>
          <cell r="B1109" t="e">
            <v>#REF!</v>
          </cell>
          <cell r="C1109" t="e">
            <v>#REF!</v>
          </cell>
          <cell r="D1109" t="e">
            <v>#REF!</v>
          </cell>
          <cell r="E1109" t="e">
            <v>#REF!</v>
          </cell>
          <cell r="F1109" t="e">
            <v>#REF!</v>
          </cell>
          <cell r="G1109" t="e">
            <v>#REF!</v>
          </cell>
          <cell r="H1109" t="e">
            <v>#REF!</v>
          </cell>
          <cell r="I1109" t="e">
            <v>#REF!</v>
          </cell>
          <cell r="J1109" t="e">
            <v>#REF!</v>
          </cell>
          <cell r="K1109" t="e">
            <v>#REF!</v>
          </cell>
          <cell r="L1109" t="e">
            <v>#REF!</v>
          </cell>
          <cell r="M1109" t="e">
            <v>#REF!</v>
          </cell>
          <cell r="N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</row>
        <row r="1110">
          <cell r="A1110" t="e">
            <v>#REF!</v>
          </cell>
          <cell r="B1110" t="e">
            <v>#REF!</v>
          </cell>
          <cell r="C1110" t="e">
            <v>#REF!</v>
          </cell>
          <cell r="D1110" t="e">
            <v>#REF!</v>
          </cell>
          <cell r="E1110" t="e">
            <v>#REF!</v>
          </cell>
          <cell r="F1110" t="e">
            <v>#REF!</v>
          </cell>
          <cell r="G1110" t="e">
            <v>#REF!</v>
          </cell>
          <cell r="H1110" t="e">
            <v>#REF!</v>
          </cell>
          <cell r="I1110" t="e">
            <v>#REF!</v>
          </cell>
          <cell r="J1110" t="e">
            <v>#REF!</v>
          </cell>
          <cell r="K1110" t="e">
            <v>#REF!</v>
          </cell>
          <cell r="L1110" t="e">
            <v>#REF!</v>
          </cell>
          <cell r="M1110" t="e">
            <v>#REF!</v>
          </cell>
          <cell r="N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</row>
        <row r="1111">
          <cell r="A1111" t="e">
            <v>#REF!</v>
          </cell>
          <cell r="B1111" t="e">
            <v>#REF!</v>
          </cell>
          <cell r="C1111" t="e">
            <v>#REF!</v>
          </cell>
          <cell r="D1111" t="e">
            <v>#REF!</v>
          </cell>
          <cell r="E1111" t="e">
            <v>#REF!</v>
          </cell>
          <cell r="F1111" t="e">
            <v>#REF!</v>
          </cell>
          <cell r="G1111" t="e">
            <v>#REF!</v>
          </cell>
          <cell r="H1111" t="e">
            <v>#REF!</v>
          </cell>
          <cell r="I1111" t="e">
            <v>#REF!</v>
          </cell>
          <cell r="J1111" t="e">
            <v>#REF!</v>
          </cell>
          <cell r="K1111" t="e">
            <v>#REF!</v>
          </cell>
          <cell r="L1111" t="e">
            <v>#REF!</v>
          </cell>
          <cell r="M1111" t="e">
            <v>#REF!</v>
          </cell>
          <cell r="N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</row>
        <row r="1112">
          <cell r="A1112" t="e">
            <v>#REF!</v>
          </cell>
          <cell r="B1112" t="e">
            <v>#REF!</v>
          </cell>
          <cell r="C1112" t="e">
            <v>#REF!</v>
          </cell>
          <cell r="D1112" t="e">
            <v>#REF!</v>
          </cell>
          <cell r="E1112" t="e">
            <v>#REF!</v>
          </cell>
          <cell r="F1112" t="e">
            <v>#REF!</v>
          </cell>
          <cell r="G1112" t="e">
            <v>#REF!</v>
          </cell>
          <cell r="H1112" t="e">
            <v>#REF!</v>
          </cell>
          <cell r="I1112" t="e">
            <v>#REF!</v>
          </cell>
          <cell r="J1112" t="e">
            <v>#REF!</v>
          </cell>
          <cell r="K1112" t="e">
            <v>#REF!</v>
          </cell>
          <cell r="L1112" t="e">
            <v>#REF!</v>
          </cell>
          <cell r="M1112" t="e">
            <v>#REF!</v>
          </cell>
          <cell r="N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</row>
        <row r="1113">
          <cell r="A1113" t="e">
            <v>#REF!</v>
          </cell>
          <cell r="B1113" t="e">
            <v>#REF!</v>
          </cell>
          <cell r="C1113" t="e">
            <v>#REF!</v>
          </cell>
          <cell r="D1113" t="e">
            <v>#REF!</v>
          </cell>
          <cell r="E1113" t="e">
            <v>#REF!</v>
          </cell>
          <cell r="F1113" t="e">
            <v>#REF!</v>
          </cell>
          <cell r="G1113" t="e">
            <v>#REF!</v>
          </cell>
          <cell r="H1113" t="e">
            <v>#REF!</v>
          </cell>
          <cell r="I1113" t="e">
            <v>#REF!</v>
          </cell>
          <cell r="J1113" t="e">
            <v>#REF!</v>
          </cell>
          <cell r="K1113" t="e">
            <v>#REF!</v>
          </cell>
          <cell r="L1113" t="e">
            <v>#REF!</v>
          </cell>
          <cell r="M1113" t="e">
            <v>#REF!</v>
          </cell>
          <cell r="N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</row>
        <row r="1114">
          <cell r="A1114" t="e">
            <v>#REF!</v>
          </cell>
          <cell r="B1114" t="e">
            <v>#REF!</v>
          </cell>
          <cell r="C1114" t="e">
            <v>#REF!</v>
          </cell>
          <cell r="D1114" t="e">
            <v>#REF!</v>
          </cell>
          <cell r="E1114" t="e">
            <v>#REF!</v>
          </cell>
          <cell r="F1114" t="e">
            <v>#REF!</v>
          </cell>
          <cell r="G1114" t="e">
            <v>#REF!</v>
          </cell>
          <cell r="H1114" t="e">
            <v>#REF!</v>
          </cell>
          <cell r="I1114" t="e">
            <v>#REF!</v>
          </cell>
          <cell r="J1114" t="e">
            <v>#REF!</v>
          </cell>
          <cell r="K1114" t="e">
            <v>#REF!</v>
          </cell>
          <cell r="L1114" t="e">
            <v>#REF!</v>
          </cell>
          <cell r="M1114" t="e">
            <v>#REF!</v>
          </cell>
          <cell r="N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</row>
        <row r="1115">
          <cell r="A1115" t="e">
            <v>#REF!</v>
          </cell>
          <cell r="B1115" t="e">
            <v>#REF!</v>
          </cell>
          <cell r="C1115" t="e">
            <v>#REF!</v>
          </cell>
          <cell r="D1115" t="e">
            <v>#REF!</v>
          </cell>
          <cell r="E1115" t="e">
            <v>#REF!</v>
          </cell>
          <cell r="F1115" t="e">
            <v>#REF!</v>
          </cell>
          <cell r="G1115" t="e">
            <v>#REF!</v>
          </cell>
          <cell r="H1115" t="e">
            <v>#REF!</v>
          </cell>
          <cell r="I1115" t="e">
            <v>#REF!</v>
          </cell>
          <cell r="J1115" t="e">
            <v>#REF!</v>
          </cell>
          <cell r="K1115" t="e">
            <v>#REF!</v>
          </cell>
          <cell r="L1115" t="e">
            <v>#REF!</v>
          </cell>
          <cell r="M1115" t="e">
            <v>#REF!</v>
          </cell>
          <cell r="N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</row>
        <row r="1116">
          <cell r="A1116" t="e">
            <v>#REF!</v>
          </cell>
          <cell r="B1116" t="e">
            <v>#REF!</v>
          </cell>
          <cell r="C1116" t="e">
            <v>#REF!</v>
          </cell>
          <cell r="D1116" t="e">
            <v>#REF!</v>
          </cell>
          <cell r="E1116" t="e">
            <v>#REF!</v>
          </cell>
          <cell r="F1116" t="e">
            <v>#REF!</v>
          </cell>
          <cell r="G1116" t="e">
            <v>#REF!</v>
          </cell>
          <cell r="H1116" t="e">
            <v>#REF!</v>
          </cell>
          <cell r="I1116" t="e">
            <v>#REF!</v>
          </cell>
          <cell r="J1116" t="e">
            <v>#REF!</v>
          </cell>
          <cell r="K1116" t="e">
            <v>#REF!</v>
          </cell>
          <cell r="L1116" t="e">
            <v>#REF!</v>
          </cell>
          <cell r="M1116" t="e">
            <v>#REF!</v>
          </cell>
          <cell r="N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</row>
        <row r="1117">
          <cell r="A1117" t="e">
            <v>#REF!</v>
          </cell>
          <cell r="B1117" t="e">
            <v>#REF!</v>
          </cell>
          <cell r="C1117" t="e">
            <v>#REF!</v>
          </cell>
          <cell r="D1117" t="e">
            <v>#REF!</v>
          </cell>
          <cell r="E1117" t="e">
            <v>#REF!</v>
          </cell>
          <cell r="F1117" t="e">
            <v>#REF!</v>
          </cell>
          <cell r="G1117" t="e">
            <v>#REF!</v>
          </cell>
          <cell r="H1117" t="e">
            <v>#REF!</v>
          </cell>
          <cell r="I1117" t="e">
            <v>#REF!</v>
          </cell>
          <cell r="J1117" t="e">
            <v>#REF!</v>
          </cell>
          <cell r="K1117" t="e">
            <v>#REF!</v>
          </cell>
          <cell r="L1117" t="e">
            <v>#REF!</v>
          </cell>
          <cell r="M1117" t="e">
            <v>#REF!</v>
          </cell>
          <cell r="N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</row>
        <row r="1118">
          <cell r="A1118" t="e">
            <v>#REF!</v>
          </cell>
          <cell r="B1118" t="e">
            <v>#REF!</v>
          </cell>
          <cell r="C1118" t="e">
            <v>#REF!</v>
          </cell>
          <cell r="D1118" t="e">
            <v>#REF!</v>
          </cell>
          <cell r="E1118" t="e">
            <v>#REF!</v>
          </cell>
          <cell r="F1118" t="e">
            <v>#REF!</v>
          </cell>
          <cell r="G1118" t="e">
            <v>#REF!</v>
          </cell>
          <cell r="H1118" t="e">
            <v>#REF!</v>
          </cell>
          <cell r="I1118" t="e">
            <v>#REF!</v>
          </cell>
          <cell r="J1118" t="e">
            <v>#REF!</v>
          </cell>
          <cell r="K1118" t="e">
            <v>#REF!</v>
          </cell>
          <cell r="L1118" t="e">
            <v>#REF!</v>
          </cell>
          <cell r="M1118" t="e">
            <v>#REF!</v>
          </cell>
          <cell r="N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</row>
        <row r="1119">
          <cell r="A1119" t="e">
            <v>#REF!</v>
          </cell>
          <cell r="B1119" t="e">
            <v>#REF!</v>
          </cell>
          <cell r="C1119" t="e">
            <v>#REF!</v>
          </cell>
          <cell r="D1119" t="e">
            <v>#REF!</v>
          </cell>
          <cell r="E1119" t="e">
            <v>#REF!</v>
          </cell>
          <cell r="F1119" t="e">
            <v>#REF!</v>
          </cell>
          <cell r="G1119" t="e">
            <v>#REF!</v>
          </cell>
          <cell r="H1119" t="e">
            <v>#REF!</v>
          </cell>
          <cell r="I1119" t="e">
            <v>#REF!</v>
          </cell>
          <cell r="J1119" t="e">
            <v>#REF!</v>
          </cell>
          <cell r="K1119" t="e">
            <v>#REF!</v>
          </cell>
          <cell r="L1119" t="e">
            <v>#REF!</v>
          </cell>
          <cell r="M1119" t="e">
            <v>#REF!</v>
          </cell>
          <cell r="N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</row>
        <row r="1120">
          <cell r="A1120" t="e">
            <v>#REF!</v>
          </cell>
          <cell r="B1120" t="e">
            <v>#REF!</v>
          </cell>
          <cell r="C1120" t="e">
            <v>#REF!</v>
          </cell>
          <cell r="D1120" t="e">
            <v>#REF!</v>
          </cell>
          <cell r="E1120" t="e">
            <v>#REF!</v>
          </cell>
          <cell r="F1120" t="e">
            <v>#REF!</v>
          </cell>
          <cell r="G1120" t="e">
            <v>#REF!</v>
          </cell>
          <cell r="H1120" t="e">
            <v>#REF!</v>
          </cell>
          <cell r="I1120" t="e">
            <v>#REF!</v>
          </cell>
          <cell r="J1120" t="e">
            <v>#REF!</v>
          </cell>
          <cell r="K1120" t="e">
            <v>#REF!</v>
          </cell>
          <cell r="L1120" t="e">
            <v>#REF!</v>
          </cell>
          <cell r="M1120" t="e">
            <v>#REF!</v>
          </cell>
          <cell r="N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</row>
        <row r="1121">
          <cell r="A1121" t="e">
            <v>#REF!</v>
          </cell>
          <cell r="B1121" t="e">
            <v>#REF!</v>
          </cell>
          <cell r="C1121" t="e">
            <v>#REF!</v>
          </cell>
          <cell r="D1121" t="e">
            <v>#REF!</v>
          </cell>
          <cell r="E1121" t="e">
            <v>#REF!</v>
          </cell>
          <cell r="F1121" t="e">
            <v>#REF!</v>
          </cell>
          <cell r="G1121" t="e">
            <v>#REF!</v>
          </cell>
          <cell r="H1121" t="e">
            <v>#REF!</v>
          </cell>
          <cell r="I1121" t="e">
            <v>#REF!</v>
          </cell>
          <cell r="J1121" t="e">
            <v>#REF!</v>
          </cell>
          <cell r="K1121" t="e">
            <v>#REF!</v>
          </cell>
          <cell r="L1121" t="e">
            <v>#REF!</v>
          </cell>
          <cell r="M1121" t="e">
            <v>#REF!</v>
          </cell>
          <cell r="N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</row>
        <row r="1122">
          <cell r="A1122" t="e">
            <v>#REF!</v>
          </cell>
          <cell r="B1122" t="e">
            <v>#REF!</v>
          </cell>
          <cell r="C1122" t="e">
            <v>#REF!</v>
          </cell>
          <cell r="D1122" t="e">
            <v>#REF!</v>
          </cell>
          <cell r="E1122" t="e">
            <v>#REF!</v>
          </cell>
          <cell r="F1122" t="e">
            <v>#REF!</v>
          </cell>
          <cell r="G1122" t="e">
            <v>#REF!</v>
          </cell>
          <cell r="H1122" t="e">
            <v>#REF!</v>
          </cell>
          <cell r="I1122" t="e">
            <v>#REF!</v>
          </cell>
          <cell r="J1122" t="e">
            <v>#REF!</v>
          </cell>
          <cell r="K1122" t="e">
            <v>#REF!</v>
          </cell>
          <cell r="L1122" t="e">
            <v>#REF!</v>
          </cell>
          <cell r="M1122" t="e">
            <v>#REF!</v>
          </cell>
          <cell r="N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</row>
        <row r="1123">
          <cell r="A1123" t="e">
            <v>#REF!</v>
          </cell>
          <cell r="B1123" t="e">
            <v>#REF!</v>
          </cell>
          <cell r="C1123" t="e">
            <v>#REF!</v>
          </cell>
          <cell r="D1123" t="e">
            <v>#REF!</v>
          </cell>
          <cell r="E1123" t="e">
            <v>#REF!</v>
          </cell>
          <cell r="F1123" t="e">
            <v>#REF!</v>
          </cell>
          <cell r="G1123" t="e">
            <v>#REF!</v>
          </cell>
          <cell r="H1123" t="e">
            <v>#REF!</v>
          </cell>
          <cell r="I1123" t="e">
            <v>#REF!</v>
          </cell>
          <cell r="J1123" t="e">
            <v>#REF!</v>
          </cell>
          <cell r="K1123" t="e">
            <v>#REF!</v>
          </cell>
          <cell r="L1123" t="e">
            <v>#REF!</v>
          </cell>
          <cell r="M1123" t="e">
            <v>#REF!</v>
          </cell>
          <cell r="N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</row>
        <row r="1124">
          <cell r="A1124" t="e">
            <v>#REF!</v>
          </cell>
          <cell r="B1124" t="e">
            <v>#REF!</v>
          </cell>
          <cell r="C1124" t="e">
            <v>#REF!</v>
          </cell>
          <cell r="D1124" t="e">
            <v>#REF!</v>
          </cell>
          <cell r="E1124" t="e">
            <v>#REF!</v>
          </cell>
          <cell r="F1124" t="e">
            <v>#REF!</v>
          </cell>
          <cell r="G1124" t="e">
            <v>#REF!</v>
          </cell>
          <cell r="H1124" t="e">
            <v>#REF!</v>
          </cell>
          <cell r="I1124" t="e">
            <v>#REF!</v>
          </cell>
          <cell r="J1124" t="e">
            <v>#REF!</v>
          </cell>
          <cell r="K1124" t="e">
            <v>#REF!</v>
          </cell>
          <cell r="L1124" t="e">
            <v>#REF!</v>
          </cell>
          <cell r="M1124" t="e">
            <v>#REF!</v>
          </cell>
          <cell r="N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</row>
        <row r="1125">
          <cell r="A1125" t="e">
            <v>#REF!</v>
          </cell>
          <cell r="B1125" t="e">
            <v>#REF!</v>
          </cell>
          <cell r="C1125" t="e">
            <v>#REF!</v>
          </cell>
          <cell r="D1125" t="e">
            <v>#REF!</v>
          </cell>
          <cell r="E1125" t="e">
            <v>#REF!</v>
          </cell>
          <cell r="F1125" t="e">
            <v>#REF!</v>
          </cell>
          <cell r="G1125" t="e">
            <v>#REF!</v>
          </cell>
          <cell r="H1125" t="e">
            <v>#REF!</v>
          </cell>
          <cell r="I1125" t="e">
            <v>#REF!</v>
          </cell>
          <cell r="J1125" t="e">
            <v>#REF!</v>
          </cell>
          <cell r="K1125" t="e">
            <v>#REF!</v>
          </cell>
          <cell r="L1125" t="e">
            <v>#REF!</v>
          </cell>
          <cell r="M1125" t="e">
            <v>#REF!</v>
          </cell>
          <cell r="N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</row>
        <row r="1126">
          <cell r="A1126" t="e">
            <v>#REF!</v>
          </cell>
          <cell r="B1126" t="e">
            <v>#REF!</v>
          </cell>
          <cell r="C1126" t="e">
            <v>#REF!</v>
          </cell>
          <cell r="D1126" t="e">
            <v>#REF!</v>
          </cell>
          <cell r="E1126" t="e">
            <v>#REF!</v>
          </cell>
          <cell r="F1126" t="e">
            <v>#REF!</v>
          </cell>
          <cell r="G1126" t="e">
            <v>#REF!</v>
          </cell>
          <cell r="H1126" t="e">
            <v>#REF!</v>
          </cell>
          <cell r="I1126" t="e">
            <v>#REF!</v>
          </cell>
          <cell r="J1126" t="e">
            <v>#REF!</v>
          </cell>
          <cell r="K1126" t="e">
            <v>#REF!</v>
          </cell>
          <cell r="L1126" t="e">
            <v>#REF!</v>
          </cell>
          <cell r="M1126" t="e">
            <v>#REF!</v>
          </cell>
          <cell r="N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</row>
        <row r="1127">
          <cell r="A1127" t="e">
            <v>#REF!</v>
          </cell>
          <cell r="B1127" t="e">
            <v>#REF!</v>
          </cell>
          <cell r="C1127" t="e">
            <v>#REF!</v>
          </cell>
          <cell r="D1127" t="e">
            <v>#REF!</v>
          </cell>
          <cell r="E1127" t="e">
            <v>#REF!</v>
          </cell>
          <cell r="F1127" t="e">
            <v>#REF!</v>
          </cell>
          <cell r="G1127" t="e">
            <v>#REF!</v>
          </cell>
          <cell r="H1127" t="e">
            <v>#REF!</v>
          </cell>
          <cell r="I1127" t="e">
            <v>#REF!</v>
          </cell>
          <cell r="J1127" t="e">
            <v>#REF!</v>
          </cell>
          <cell r="K1127" t="e">
            <v>#REF!</v>
          </cell>
          <cell r="L1127" t="e">
            <v>#REF!</v>
          </cell>
          <cell r="M1127" t="e">
            <v>#REF!</v>
          </cell>
          <cell r="N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</row>
        <row r="1128">
          <cell r="A1128" t="e">
            <v>#REF!</v>
          </cell>
          <cell r="B1128" t="e">
            <v>#REF!</v>
          </cell>
          <cell r="C1128" t="e">
            <v>#REF!</v>
          </cell>
          <cell r="D1128" t="e">
            <v>#REF!</v>
          </cell>
          <cell r="E1128" t="e">
            <v>#REF!</v>
          </cell>
          <cell r="F1128" t="e">
            <v>#REF!</v>
          </cell>
          <cell r="G1128" t="e">
            <v>#REF!</v>
          </cell>
          <cell r="H1128" t="e">
            <v>#REF!</v>
          </cell>
          <cell r="I1128" t="e">
            <v>#REF!</v>
          </cell>
          <cell r="J1128" t="e">
            <v>#REF!</v>
          </cell>
          <cell r="K1128" t="e">
            <v>#REF!</v>
          </cell>
          <cell r="L1128" t="e">
            <v>#REF!</v>
          </cell>
          <cell r="M1128" t="e">
            <v>#REF!</v>
          </cell>
          <cell r="N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</row>
        <row r="1129">
          <cell r="A1129" t="e">
            <v>#REF!</v>
          </cell>
          <cell r="B1129" t="e">
            <v>#REF!</v>
          </cell>
          <cell r="C1129" t="e">
            <v>#REF!</v>
          </cell>
          <cell r="D1129" t="e">
            <v>#REF!</v>
          </cell>
          <cell r="E1129" t="e">
            <v>#REF!</v>
          </cell>
          <cell r="F1129" t="e">
            <v>#REF!</v>
          </cell>
          <cell r="G1129" t="e">
            <v>#REF!</v>
          </cell>
          <cell r="H1129" t="e">
            <v>#REF!</v>
          </cell>
          <cell r="I1129" t="e">
            <v>#REF!</v>
          </cell>
          <cell r="J1129" t="e">
            <v>#REF!</v>
          </cell>
          <cell r="K1129" t="e">
            <v>#REF!</v>
          </cell>
          <cell r="L1129" t="e">
            <v>#REF!</v>
          </cell>
          <cell r="M1129" t="e">
            <v>#REF!</v>
          </cell>
          <cell r="N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</row>
        <row r="1130">
          <cell r="A1130" t="e">
            <v>#REF!</v>
          </cell>
          <cell r="B1130" t="e">
            <v>#REF!</v>
          </cell>
          <cell r="C1130" t="e">
            <v>#REF!</v>
          </cell>
          <cell r="D1130" t="e">
            <v>#REF!</v>
          </cell>
          <cell r="E1130" t="e">
            <v>#REF!</v>
          </cell>
          <cell r="F1130" t="e">
            <v>#REF!</v>
          </cell>
          <cell r="G1130" t="e">
            <v>#REF!</v>
          </cell>
          <cell r="H1130" t="e">
            <v>#REF!</v>
          </cell>
          <cell r="I1130" t="e">
            <v>#REF!</v>
          </cell>
          <cell r="J1130" t="e">
            <v>#REF!</v>
          </cell>
          <cell r="K1130" t="e">
            <v>#REF!</v>
          </cell>
          <cell r="L1130" t="e">
            <v>#REF!</v>
          </cell>
          <cell r="M1130" t="e">
            <v>#REF!</v>
          </cell>
          <cell r="N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</row>
        <row r="1131">
          <cell r="A1131" t="e">
            <v>#REF!</v>
          </cell>
          <cell r="B1131" t="e">
            <v>#REF!</v>
          </cell>
          <cell r="C1131" t="e">
            <v>#REF!</v>
          </cell>
          <cell r="D1131" t="e">
            <v>#REF!</v>
          </cell>
          <cell r="E1131" t="e">
            <v>#REF!</v>
          </cell>
          <cell r="F1131" t="e">
            <v>#REF!</v>
          </cell>
          <cell r="G1131" t="e">
            <v>#REF!</v>
          </cell>
          <cell r="H1131" t="e">
            <v>#REF!</v>
          </cell>
          <cell r="I1131" t="e">
            <v>#REF!</v>
          </cell>
          <cell r="J1131" t="e">
            <v>#REF!</v>
          </cell>
          <cell r="K1131" t="e">
            <v>#REF!</v>
          </cell>
          <cell r="L1131" t="e">
            <v>#REF!</v>
          </cell>
          <cell r="M1131" t="e">
            <v>#REF!</v>
          </cell>
          <cell r="N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</row>
        <row r="1132">
          <cell r="A1132" t="e">
            <v>#REF!</v>
          </cell>
          <cell r="B1132" t="e">
            <v>#REF!</v>
          </cell>
          <cell r="C1132" t="e">
            <v>#REF!</v>
          </cell>
          <cell r="D1132" t="e">
            <v>#REF!</v>
          </cell>
          <cell r="E1132" t="e">
            <v>#REF!</v>
          </cell>
          <cell r="F1132" t="e">
            <v>#REF!</v>
          </cell>
          <cell r="G1132" t="e">
            <v>#REF!</v>
          </cell>
          <cell r="H1132" t="e">
            <v>#REF!</v>
          </cell>
          <cell r="I1132" t="e">
            <v>#REF!</v>
          </cell>
          <cell r="J1132" t="e">
            <v>#REF!</v>
          </cell>
          <cell r="K1132" t="e">
            <v>#REF!</v>
          </cell>
          <cell r="L1132" t="e">
            <v>#REF!</v>
          </cell>
          <cell r="M1132" t="e">
            <v>#REF!</v>
          </cell>
          <cell r="N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</row>
        <row r="1133">
          <cell r="A1133" t="e">
            <v>#REF!</v>
          </cell>
          <cell r="B1133" t="e">
            <v>#REF!</v>
          </cell>
          <cell r="C1133" t="e">
            <v>#REF!</v>
          </cell>
          <cell r="D1133" t="e">
            <v>#REF!</v>
          </cell>
          <cell r="E1133" t="e">
            <v>#REF!</v>
          </cell>
          <cell r="F1133" t="e">
            <v>#REF!</v>
          </cell>
          <cell r="G1133" t="e">
            <v>#REF!</v>
          </cell>
          <cell r="H1133" t="e">
            <v>#REF!</v>
          </cell>
          <cell r="I1133" t="e">
            <v>#REF!</v>
          </cell>
          <cell r="J1133" t="e">
            <v>#REF!</v>
          </cell>
          <cell r="K1133" t="e">
            <v>#REF!</v>
          </cell>
          <cell r="L1133" t="e">
            <v>#REF!</v>
          </cell>
          <cell r="M1133" t="e">
            <v>#REF!</v>
          </cell>
          <cell r="N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</row>
        <row r="1134">
          <cell r="A1134" t="e">
            <v>#REF!</v>
          </cell>
          <cell r="B1134" t="e">
            <v>#REF!</v>
          </cell>
          <cell r="C1134" t="e">
            <v>#REF!</v>
          </cell>
          <cell r="D1134" t="e">
            <v>#REF!</v>
          </cell>
          <cell r="E1134" t="e">
            <v>#REF!</v>
          </cell>
          <cell r="F1134" t="e">
            <v>#REF!</v>
          </cell>
          <cell r="G1134" t="e">
            <v>#REF!</v>
          </cell>
          <cell r="H1134" t="e">
            <v>#REF!</v>
          </cell>
          <cell r="I1134" t="e">
            <v>#REF!</v>
          </cell>
          <cell r="J1134" t="e">
            <v>#REF!</v>
          </cell>
          <cell r="K1134" t="e">
            <v>#REF!</v>
          </cell>
          <cell r="L1134" t="e">
            <v>#REF!</v>
          </cell>
          <cell r="M1134" t="e">
            <v>#REF!</v>
          </cell>
          <cell r="N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</row>
        <row r="1135">
          <cell r="A1135" t="e">
            <v>#REF!</v>
          </cell>
          <cell r="B1135" t="e">
            <v>#REF!</v>
          </cell>
          <cell r="C1135" t="e">
            <v>#REF!</v>
          </cell>
          <cell r="D1135" t="e">
            <v>#REF!</v>
          </cell>
          <cell r="E1135" t="e">
            <v>#REF!</v>
          </cell>
          <cell r="F1135" t="e">
            <v>#REF!</v>
          </cell>
          <cell r="G1135" t="e">
            <v>#REF!</v>
          </cell>
          <cell r="H1135" t="e">
            <v>#REF!</v>
          </cell>
          <cell r="I1135" t="e">
            <v>#REF!</v>
          </cell>
          <cell r="J1135" t="e">
            <v>#REF!</v>
          </cell>
          <cell r="K1135" t="e">
            <v>#REF!</v>
          </cell>
          <cell r="L1135" t="e">
            <v>#REF!</v>
          </cell>
          <cell r="M1135" t="e">
            <v>#REF!</v>
          </cell>
          <cell r="N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</row>
        <row r="1136">
          <cell r="A1136" t="e">
            <v>#REF!</v>
          </cell>
          <cell r="B1136" t="e">
            <v>#REF!</v>
          </cell>
          <cell r="C1136" t="e">
            <v>#REF!</v>
          </cell>
          <cell r="D1136" t="e">
            <v>#REF!</v>
          </cell>
          <cell r="E1136" t="e">
            <v>#REF!</v>
          </cell>
          <cell r="F1136" t="e">
            <v>#REF!</v>
          </cell>
          <cell r="G1136" t="e">
            <v>#REF!</v>
          </cell>
          <cell r="H1136" t="e">
            <v>#REF!</v>
          </cell>
          <cell r="I1136" t="e">
            <v>#REF!</v>
          </cell>
          <cell r="J1136" t="e">
            <v>#REF!</v>
          </cell>
          <cell r="K1136" t="e">
            <v>#REF!</v>
          </cell>
          <cell r="L1136" t="e">
            <v>#REF!</v>
          </cell>
          <cell r="M1136" t="e">
            <v>#REF!</v>
          </cell>
          <cell r="N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</row>
        <row r="1137">
          <cell r="A1137" t="e">
            <v>#REF!</v>
          </cell>
          <cell r="B1137" t="e">
            <v>#REF!</v>
          </cell>
          <cell r="C1137" t="e">
            <v>#REF!</v>
          </cell>
          <cell r="D1137" t="e">
            <v>#REF!</v>
          </cell>
          <cell r="E1137" t="e">
            <v>#REF!</v>
          </cell>
          <cell r="F1137" t="e">
            <v>#REF!</v>
          </cell>
          <cell r="G1137" t="e">
            <v>#REF!</v>
          </cell>
          <cell r="H1137" t="e">
            <v>#REF!</v>
          </cell>
          <cell r="I1137" t="e">
            <v>#REF!</v>
          </cell>
          <cell r="J1137" t="e">
            <v>#REF!</v>
          </cell>
          <cell r="K1137" t="e">
            <v>#REF!</v>
          </cell>
          <cell r="L1137" t="e">
            <v>#REF!</v>
          </cell>
          <cell r="M1137" t="e">
            <v>#REF!</v>
          </cell>
          <cell r="N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</row>
        <row r="1138">
          <cell r="A1138" t="e">
            <v>#REF!</v>
          </cell>
          <cell r="B1138" t="e">
            <v>#REF!</v>
          </cell>
          <cell r="C1138" t="e">
            <v>#REF!</v>
          </cell>
          <cell r="D1138" t="e">
            <v>#REF!</v>
          </cell>
          <cell r="E1138" t="e">
            <v>#REF!</v>
          </cell>
          <cell r="F1138" t="e">
            <v>#REF!</v>
          </cell>
          <cell r="G1138" t="e">
            <v>#REF!</v>
          </cell>
          <cell r="H1138" t="e">
            <v>#REF!</v>
          </cell>
          <cell r="I1138" t="e">
            <v>#REF!</v>
          </cell>
          <cell r="J1138" t="e">
            <v>#REF!</v>
          </cell>
          <cell r="K1138" t="e">
            <v>#REF!</v>
          </cell>
          <cell r="L1138" t="e">
            <v>#REF!</v>
          </cell>
          <cell r="M1138" t="e">
            <v>#REF!</v>
          </cell>
          <cell r="N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</row>
        <row r="1139">
          <cell r="A1139" t="e">
            <v>#REF!</v>
          </cell>
          <cell r="B1139" t="e">
            <v>#REF!</v>
          </cell>
          <cell r="C1139" t="e">
            <v>#REF!</v>
          </cell>
          <cell r="D1139" t="e">
            <v>#REF!</v>
          </cell>
          <cell r="E1139" t="e">
            <v>#REF!</v>
          </cell>
          <cell r="F1139" t="e">
            <v>#REF!</v>
          </cell>
          <cell r="G1139" t="e">
            <v>#REF!</v>
          </cell>
          <cell r="H1139" t="e">
            <v>#REF!</v>
          </cell>
          <cell r="I1139" t="e">
            <v>#REF!</v>
          </cell>
          <cell r="J1139" t="e">
            <v>#REF!</v>
          </cell>
          <cell r="K1139" t="e">
            <v>#REF!</v>
          </cell>
          <cell r="L1139" t="e">
            <v>#REF!</v>
          </cell>
          <cell r="M1139" t="e">
            <v>#REF!</v>
          </cell>
          <cell r="N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</row>
        <row r="1140">
          <cell r="A1140" t="e">
            <v>#REF!</v>
          </cell>
          <cell r="B1140" t="e">
            <v>#REF!</v>
          </cell>
          <cell r="C1140" t="e">
            <v>#REF!</v>
          </cell>
          <cell r="D1140" t="e">
            <v>#REF!</v>
          </cell>
          <cell r="E1140" t="e">
            <v>#REF!</v>
          </cell>
          <cell r="F1140" t="e">
            <v>#REF!</v>
          </cell>
          <cell r="G1140" t="e">
            <v>#REF!</v>
          </cell>
          <cell r="H1140" t="e">
            <v>#REF!</v>
          </cell>
          <cell r="I1140" t="e">
            <v>#REF!</v>
          </cell>
          <cell r="J1140" t="e">
            <v>#REF!</v>
          </cell>
          <cell r="K1140" t="e">
            <v>#REF!</v>
          </cell>
          <cell r="L1140" t="e">
            <v>#REF!</v>
          </cell>
          <cell r="M1140" t="e">
            <v>#REF!</v>
          </cell>
          <cell r="N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</row>
        <row r="1141">
          <cell r="A1141" t="e">
            <v>#REF!</v>
          </cell>
          <cell r="B1141" t="e">
            <v>#REF!</v>
          </cell>
          <cell r="C1141" t="e">
            <v>#REF!</v>
          </cell>
          <cell r="D1141" t="e">
            <v>#REF!</v>
          </cell>
          <cell r="E1141" t="e">
            <v>#REF!</v>
          </cell>
          <cell r="F1141" t="e">
            <v>#REF!</v>
          </cell>
          <cell r="G1141" t="e">
            <v>#REF!</v>
          </cell>
          <cell r="H1141" t="e">
            <v>#REF!</v>
          </cell>
          <cell r="I1141" t="e">
            <v>#REF!</v>
          </cell>
          <cell r="J1141" t="e">
            <v>#REF!</v>
          </cell>
          <cell r="K1141" t="e">
            <v>#REF!</v>
          </cell>
          <cell r="L1141" t="e">
            <v>#REF!</v>
          </cell>
          <cell r="M1141" t="e">
            <v>#REF!</v>
          </cell>
          <cell r="N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</row>
        <row r="1142">
          <cell r="A1142" t="e">
            <v>#REF!</v>
          </cell>
          <cell r="B1142" t="e">
            <v>#REF!</v>
          </cell>
          <cell r="C1142" t="e">
            <v>#REF!</v>
          </cell>
          <cell r="D1142" t="e">
            <v>#REF!</v>
          </cell>
          <cell r="E1142" t="e">
            <v>#REF!</v>
          </cell>
          <cell r="F1142" t="e">
            <v>#REF!</v>
          </cell>
          <cell r="G1142" t="e">
            <v>#REF!</v>
          </cell>
          <cell r="H1142" t="e">
            <v>#REF!</v>
          </cell>
          <cell r="I1142" t="e">
            <v>#REF!</v>
          </cell>
          <cell r="J1142" t="e">
            <v>#REF!</v>
          </cell>
          <cell r="K1142" t="e">
            <v>#REF!</v>
          </cell>
          <cell r="L1142" t="e">
            <v>#REF!</v>
          </cell>
          <cell r="M1142" t="e">
            <v>#REF!</v>
          </cell>
          <cell r="N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</row>
        <row r="1143">
          <cell r="A1143" t="e">
            <v>#REF!</v>
          </cell>
          <cell r="B1143" t="e">
            <v>#REF!</v>
          </cell>
          <cell r="C1143" t="e">
            <v>#REF!</v>
          </cell>
          <cell r="D1143" t="e">
            <v>#REF!</v>
          </cell>
          <cell r="E1143" t="e">
            <v>#REF!</v>
          </cell>
          <cell r="F1143" t="e">
            <v>#REF!</v>
          </cell>
          <cell r="G1143" t="e">
            <v>#REF!</v>
          </cell>
          <cell r="H1143" t="e">
            <v>#REF!</v>
          </cell>
          <cell r="I1143" t="e">
            <v>#REF!</v>
          </cell>
          <cell r="J1143" t="e">
            <v>#REF!</v>
          </cell>
          <cell r="K1143" t="e">
            <v>#REF!</v>
          </cell>
          <cell r="L1143" t="e">
            <v>#REF!</v>
          </cell>
          <cell r="M1143" t="e">
            <v>#REF!</v>
          </cell>
          <cell r="N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</row>
        <row r="1144">
          <cell r="A1144" t="e">
            <v>#REF!</v>
          </cell>
          <cell r="B1144" t="e">
            <v>#REF!</v>
          </cell>
          <cell r="C1144" t="e">
            <v>#REF!</v>
          </cell>
          <cell r="D1144" t="e">
            <v>#REF!</v>
          </cell>
          <cell r="E1144" t="e">
            <v>#REF!</v>
          </cell>
          <cell r="F1144" t="e">
            <v>#REF!</v>
          </cell>
          <cell r="G1144" t="e">
            <v>#REF!</v>
          </cell>
          <cell r="H1144" t="e">
            <v>#REF!</v>
          </cell>
          <cell r="I1144" t="e">
            <v>#REF!</v>
          </cell>
          <cell r="J1144" t="e">
            <v>#REF!</v>
          </cell>
          <cell r="K1144" t="e">
            <v>#REF!</v>
          </cell>
          <cell r="L1144" t="e">
            <v>#REF!</v>
          </cell>
          <cell r="M1144" t="e">
            <v>#REF!</v>
          </cell>
          <cell r="N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</row>
        <row r="1145">
          <cell r="A1145" t="e">
            <v>#REF!</v>
          </cell>
          <cell r="B1145" t="e">
            <v>#REF!</v>
          </cell>
          <cell r="C1145" t="e">
            <v>#REF!</v>
          </cell>
          <cell r="D1145" t="e">
            <v>#REF!</v>
          </cell>
          <cell r="E1145" t="e">
            <v>#REF!</v>
          </cell>
          <cell r="F1145" t="e">
            <v>#REF!</v>
          </cell>
          <cell r="G1145" t="e">
            <v>#REF!</v>
          </cell>
          <cell r="H1145" t="e">
            <v>#REF!</v>
          </cell>
          <cell r="I1145" t="e">
            <v>#REF!</v>
          </cell>
          <cell r="J1145" t="e">
            <v>#REF!</v>
          </cell>
          <cell r="K1145" t="e">
            <v>#REF!</v>
          </cell>
          <cell r="L1145" t="e">
            <v>#REF!</v>
          </cell>
          <cell r="M1145" t="e">
            <v>#REF!</v>
          </cell>
          <cell r="N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</row>
        <row r="1146">
          <cell r="A1146" t="e">
            <v>#REF!</v>
          </cell>
          <cell r="B1146" t="e">
            <v>#REF!</v>
          </cell>
          <cell r="C1146" t="e">
            <v>#REF!</v>
          </cell>
          <cell r="D1146" t="e">
            <v>#REF!</v>
          </cell>
          <cell r="E1146" t="e">
            <v>#REF!</v>
          </cell>
          <cell r="F1146" t="e">
            <v>#REF!</v>
          </cell>
          <cell r="G1146" t="e">
            <v>#REF!</v>
          </cell>
          <cell r="H1146" t="e">
            <v>#REF!</v>
          </cell>
          <cell r="I1146" t="e">
            <v>#REF!</v>
          </cell>
          <cell r="J1146" t="e">
            <v>#REF!</v>
          </cell>
          <cell r="K1146" t="e">
            <v>#REF!</v>
          </cell>
          <cell r="L1146" t="e">
            <v>#REF!</v>
          </cell>
          <cell r="M1146" t="e">
            <v>#REF!</v>
          </cell>
          <cell r="N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</row>
        <row r="1147">
          <cell r="A1147" t="e">
            <v>#REF!</v>
          </cell>
          <cell r="B1147" t="e">
            <v>#REF!</v>
          </cell>
          <cell r="C1147" t="e">
            <v>#REF!</v>
          </cell>
          <cell r="D1147" t="e">
            <v>#REF!</v>
          </cell>
          <cell r="E1147" t="e">
            <v>#REF!</v>
          </cell>
          <cell r="F1147" t="e">
            <v>#REF!</v>
          </cell>
          <cell r="G1147" t="e">
            <v>#REF!</v>
          </cell>
          <cell r="H1147" t="e">
            <v>#REF!</v>
          </cell>
          <cell r="I1147" t="e">
            <v>#REF!</v>
          </cell>
          <cell r="J1147" t="e">
            <v>#REF!</v>
          </cell>
          <cell r="K1147" t="e">
            <v>#REF!</v>
          </cell>
          <cell r="L1147" t="e">
            <v>#REF!</v>
          </cell>
          <cell r="M1147" t="e">
            <v>#REF!</v>
          </cell>
          <cell r="N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</row>
        <row r="1148">
          <cell r="A1148" t="e">
            <v>#REF!</v>
          </cell>
          <cell r="B1148" t="e">
            <v>#REF!</v>
          </cell>
          <cell r="C1148" t="e">
            <v>#REF!</v>
          </cell>
          <cell r="D1148" t="e">
            <v>#REF!</v>
          </cell>
          <cell r="E1148" t="e">
            <v>#REF!</v>
          </cell>
          <cell r="F1148" t="e">
            <v>#REF!</v>
          </cell>
          <cell r="G1148" t="e">
            <v>#REF!</v>
          </cell>
          <cell r="H1148" t="e">
            <v>#REF!</v>
          </cell>
          <cell r="I1148" t="e">
            <v>#REF!</v>
          </cell>
          <cell r="J1148" t="e">
            <v>#REF!</v>
          </cell>
          <cell r="K1148" t="e">
            <v>#REF!</v>
          </cell>
          <cell r="L1148" t="e">
            <v>#REF!</v>
          </cell>
          <cell r="M1148" t="e">
            <v>#REF!</v>
          </cell>
          <cell r="N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</row>
        <row r="1149">
          <cell r="A1149" t="e">
            <v>#REF!</v>
          </cell>
          <cell r="B1149" t="e">
            <v>#REF!</v>
          </cell>
          <cell r="C1149" t="e">
            <v>#REF!</v>
          </cell>
          <cell r="D1149" t="e">
            <v>#REF!</v>
          </cell>
          <cell r="E1149" t="e">
            <v>#REF!</v>
          </cell>
          <cell r="F1149" t="e">
            <v>#REF!</v>
          </cell>
          <cell r="G1149" t="e">
            <v>#REF!</v>
          </cell>
          <cell r="H1149" t="e">
            <v>#REF!</v>
          </cell>
          <cell r="I1149" t="e">
            <v>#REF!</v>
          </cell>
          <cell r="J1149" t="e">
            <v>#REF!</v>
          </cell>
          <cell r="K1149" t="e">
            <v>#REF!</v>
          </cell>
          <cell r="L1149" t="e">
            <v>#REF!</v>
          </cell>
          <cell r="M1149" t="e">
            <v>#REF!</v>
          </cell>
          <cell r="N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</row>
        <row r="1150">
          <cell r="A1150" t="e">
            <v>#REF!</v>
          </cell>
          <cell r="B1150" t="e">
            <v>#REF!</v>
          </cell>
          <cell r="C1150" t="e">
            <v>#REF!</v>
          </cell>
          <cell r="D1150" t="e">
            <v>#REF!</v>
          </cell>
          <cell r="E1150" t="e">
            <v>#REF!</v>
          </cell>
          <cell r="F1150" t="e">
            <v>#REF!</v>
          </cell>
          <cell r="G1150" t="e">
            <v>#REF!</v>
          </cell>
          <cell r="H1150" t="e">
            <v>#REF!</v>
          </cell>
          <cell r="I1150" t="e">
            <v>#REF!</v>
          </cell>
          <cell r="J1150" t="e">
            <v>#REF!</v>
          </cell>
          <cell r="K1150" t="e">
            <v>#REF!</v>
          </cell>
          <cell r="L1150" t="e">
            <v>#REF!</v>
          </cell>
          <cell r="M1150" t="e">
            <v>#REF!</v>
          </cell>
          <cell r="N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</row>
        <row r="1151">
          <cell r="A1151" t="e">
            <v>#REF!</v>
          </cell>
          <cell r="B1151" t="e">
            <v>#REF!</v>
          </cell>
          <cell r="C1151" t="e">
            <v>#REF!</v>
          </cell>
          <cell r="D1151" t="e">
            <v>#REF!</v>
          </cell>
          <cell r="E1151" t="e">
            <v>#REF!</v>
          </cell>
          <cell r="F1151" t="e">
            <v>#REF!</v>
          </cell>
          <cell r="G1151" t="e">
            <v>#REF!</v>
          </cell>
          <cell r="H1151" t="e">
            <v>#REF!</v>
          </cell>
          <cell r="I1151" t="e">
            <v>#REF!</v>
          </cell>
          <cell r="J1151" t="e">
            <v>#REF!</v>
          </cell>
          <cell r="K1151" t="e">
            <v>#REF!</v>
          </cell>
          <cell r="L1151" t="e">
            <v>#REF!</v>
          </cell>
          <cell r="M1151" t="e">
            <v>#REF!</v>
          </cell>
          <cell r="N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</row>
        <row r="1152">
          <cell r="A1152" t="e">
            <v>#REF!</v>
          </cell>
          <cell r="B1152" t="e">
            <v>#REF!</v>
          </cell>
          <cell r="C1152" t="e">
            <v>#REF!</v>
          </cell>
          <cell r="D1152" t="e">
            <v>#REF!</v>
          </cell>
          <cell r="E1152" t="e">
            <v>#REF!</v>
          </cell>
          <cell r="F1152" t="e">
            <v>#REF!</v>
          </cell>
          <cell r="G1152" t="e">
            <v>#REF!</v>
          </cell>
          <cell r="H1152" t="e">
            <v>#REF!</v>
          </cell>
          <cell r="I1152" t="e">
            <v>#REF!</v>
          </cell>
          <cell r="J1152" t="e">
            <v>#REF!</v>
          </cell>
          <cell r="K1152" t="e">
            <v>#REF!</v>
          </cell>
          <cell r="L1152" t="e">
            <v>#REF!</v>
          </cell>
          <cell r="M1152" t="e">
            <v>#REF!</v>
          </cell>
          <cell r="N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</row>
        <row r="1153">
          <cell r="A1153" t="e">
            <v>#REF!</v>
          </cell>
          <cell r="B1153" t="e">
            <v>#REF!</v>
          </cell>
          <cell r="C1153" t="e">
            <v>#REF!</v>
          </cell>
          <cell r="D1153" t="e">
            <v>#REF!</v>
          </cell>
          <cell r="E1153" t="e">
            <v>#REF!</v>
          </cell>
          <cell r="F1153" t="e">
            <v>#REF!</v>
          </cell>
          <cell r="G1153" t="e">
            <v>#REF!</v>
          </cell>
          <cell r="H1153" t="e">
            <v>#REF!</v>
          </cell>
          <cell r="I1153" t="e">
            <v>#REF!</v>
          </cell>
          <cell r="J1153" t="e">
            <v>#REF!</v>
          </cell>
          <cell r="K1153" t="e">
            <v>#REF!</v>
          </cell>
          <cell r="L1153" t="e">
            <v>#REF!</v>
          </cell>
          <cell r="M1153" t="e">
            <v>#REF!</v>
          </cell>
          <cell r="N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</row>
        <row r="1154">
          <cell r="A1154" t="e">
            <v>#REF!</v>
          </cell>
          <cell r="B1154" t="e">
            <v>#REF!</v>
          </cell>
          <cell r="C1154" t="e">
            <v>#REF!</v>
          </cell>
          <cell r="D1154" t="e">
            <v>#REF!</v>
          </cell>
          <cell r="E1154" t="e">
            <v>#REF!</v>
          </cell>
          <cell r="F1154" t="e">
            <v>#REF!</v>
          </cell>
          <cell r="G1154" t="e">
            <v>#REF!</v>
          </cell>
          <cell r="H1154" t="e">
            <v>#REF!</v>
          </cell>
          <cell r="I1154" t="e">
            <v>#REF!</v>
          </cell>
          <cell r="J1154" t="e">
            <v>#REF!</v>
          </cell>
          <cell r="K1154" t="e">
            <v>#REF!</v>
          </cell>
          <cell r="L1154" t="e">
            <v>#REF!</v>
          </cell>
          <cell r="M1154" t="e">
            <v>#REF!</v>
          </cell>
          <cell r="N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</row>
        <row r="1155">
          <cell r="A1155" t="e">
            <v>#REF!</v>
          </cell>
          <cell r="B1155" t="e">
            <v>#REF!</v>
          </cell>
          <cell r="C1155" t="e">
            <v>#REF!</v>
          </cell>
          <cell r="D1155" t="e">
            <v>#REF!</v>
          </cell>
          <cell r="E1155" t="e">
            <v>#REF!</v>
          </cell>
          <cell r="F1155" t="e">
            <v>#REF!</v>
          </cell>
          <cell r="G1155" t="e">
            <v>#REF!</v>
          </cell>
          <cell r="H1155" t="e">
            <v>#REF!</v>
          </cell>
          <cell r="I1155" t="e">
            <v>#REF!</v>
          </cell>
          <cell r="J1155" t="e">
            <v>#REF!</v>
          </cell>
          <cell r="K1155" t="e">
            <v>#REF!</v>
          </cell>
          <cell r="L1155" t="e">
            <v>#REF!</v>
          </cell>
          <cell r="M1155" t="e">
            <v>#REF!</v>
          </cell>
          <cell r="N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</row>
        <row r="1156">
          <cell r="A1156" t="e">
            <v>#REF!</v>
          </cell>
          <cell r="B1156" t="e">
            <v>#REF!</v>
          </cell>
          <cell r="C1156" t="e">
            <v>#REF!</v>
          </cell>
          <cell r="D1156" t="e">
            <v>#REF!</v>
          </cell>
          <cell r="E1156" t="e">
            <v>#REF!</v>
          </cell>
          <cell r="F1156" t="e">
            <v>#REF!</v>
          </cell>
          <cell r="G1156" t="e">
            <v>#REF!</v>
          </cell>
          <cell r="H1156" t="e">
            <v>#REF!</v>
          </cell>
          <cell r="I1156" t="e">
            <v>#REF!</v>
          </cell>
          <cell r="J1156" t="e">
            <v>#REF!</v>
          </cell>
          <cell r="K1156" t="e">
            <v>#REF!</v>
          </cell>
          <cell r="L1156" t="e">
            <v>#REF!</v>
          </cell>
          <cell r="M1156" t="e">
            <v>#REF!</v>
          </cell>
          <cell r="N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</row>
        <row r="1157">
          <cell r="A1157" t="e">
            <v>#REF!</v>
          </cell>
          <cell r="B1157" t="e">
            <v>#REF!</v>
          </cell>
          <cell r="C1157" t="e">
            <v>#REF!</v>
          </cell>
          <cell r="D1157" t="e">
            <v>#REF!</v>
          </cell>
          <cell r="E1157" t="e">
            <v>#REF!</v>
          </cell>
          <cell r="F1157" t="e">
            <v>#REF!</v>
          </cell>
          <cell r="G1157" t="e">
            <v>#REF!</v>
          </cell>
          <cell r="H1157" t="e">
            <v>#REF!</v>
          </cell>
          <cell r="I1157" t="e">
            <v>#REF!</v>
          </cell>
          <cell r="J1157" t="e">
            <v>#REF!</v>
          </cell>
          <cell r="K1157" t="e">
            <v>#REF!</v>
          </cell>
          <cell r="L1157" t="e">
            <v>#REF!</v>
          </cell>
          <cell r="M1157" t="e">
            <v>#REF!</v>
          </cell>
          <cell r="N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</row>
        <row r="1158">
          <cell r="A1158" t="e">
            <v>#REF!</v>
          </cell>
          <cell r="B1158" t="e">
            <v>#REF!</v>
          </cell>
          <cell r="C1158" t="e">
            <v>#REF!</v>
          </cell>
          <cell r="D1158" t="e">
            <v>#REF!</v>
          </cell>
          <cell r="E1158" t="e">
            <v>#REF!</v>
          </cell>
          <cell r="F1158" t="e">
            <v>#REF!</v>
          </cell>
          <cell r="G1158" t="e">
            <v>#REF!</v>
          </cell>
          <cell r="H1158" t="e">
            <v>#REF!</v>
          </cell>
          <cell r="I1158" t="e">
            <v>#REF!</v>
          </cell>
          <cell r="J1158" t="e">
            <v>#REF!</v>
          </cell>
          <cell r="K1158" t="e">
            <v>#REF!</v>
          </cell>
          <cell r="L1158" t="e">
            <v>#REF!</v>
          </cell>
          <cell r="M1158" t="e">
            <v>#REF!</v>
          </cell>
          <cell r="N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</row>
        <row r="1159">
          <cell r="A1159" t="e">
            <v>#REF!</v>
          </cell>
          <cell r="B1159" t="e">
            <v>#REF!</v>
          </cell>
          <cell r="C1159" t="e">
            <v>#REF!</v>
          </cell>
          <cell r="D1159" t="e">
            <v>#REF!</v>
          </cell>
          <cell r="E1159" t="e">
            <v>#REF!</v>
          </cell>
          <cell r="F1159" t="e">
            <v>#REF!</v>
          </cell>
          <cell r="G1159" t="e">
            <v>#REF!</v>
          </cell>
          <cell r="H1159" t="e">
            <v>#REF!</v>
          </cell>
          <cell r="I1159" t="e">
            <v>#REF!</v>
          </cell>
          <cell r="J1159" t="e">
            <v>#REF!</v>
          </cell>
          <cell r="K1159" t="e">
            <v>#REF!</v>
          </cell>
          <cell r="L1159" t="e">
            <v>#REF!</v>
          </cell>
          <cell r="M1159" t="e">
            <v>#REF!</v>
          </cell>
          <cell r="N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</row>
        <row r="1160">
          <cell r="A1160" t="e">
            <v>#REF!</v>
          </cell>
          <cell r="B1160" t="e">
            <v>#REF!</v>
          </cell>
          <cell r="C1160" t="e">
            <v>#REF!</v>
          </cell>
          <cell r="D1160" t="e">
            <v>#REF!</v>
          </cell>
          <cell r="E1160" t="e">
            <v>#REF!</v>
          </cell>
          <cell r="F1160" t="e">
            <v>#REF!</v>
          </cell>
          <cell r="G1160" t="e">
            <v>#REF!</v>
          </cell>
          <cell r="H1160" t="e">
            <v>#REF!</v>
          </cell>
          <cell r="I1160" t="e">
            <v>#REF!</v>
          </cell>
          <cell r="J1160" t="e">
            <v>#REF!</v>
          </cell>
          <cell r="K1160" t="e">
            <v>#REF!</v>
          </cell>
          <cell r="L1160" t="e">
            <v>#REF!</v>
          </cell>
          <cell r="M1160" t="e">
            <v>#REF!</v>
          </cell>
          <cell r="N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</row>
        <row r="1161">
          <cell r="A1161" t="e">
            <v>#REF!</v>
          </cell>
          <cell r="B1161" t="e">
            <v>#REF!</v>
          </cell>
          <cell r="C1161" t="e">
            <v>#REF!</v>
          </cell>
          <cell r="D1161" t="e">
            <v>#REF!</v>
          </cell>
          <cell r="E1161" t="e">
            <v>#REF!</v>
          </cell>
          <cell r="F1161" t="e">
            <v>#REF!</v>
          </cell>
          <cell r="G1161" t="e">
            <v>#REF!</v>
          </cell>
          <cell r="H1161" t="e">
            <v>#REF!</v>
          </cell>
          <cell r="I1161" t="e">
            <v>#REF!</v>
          </cell>
          <cell r="J1161" t="e">
            <v>#REF!</v>
          </cell>
          <cell r="K1161" t="e">
            <v>#REF!</v>
          </cell>
          <cell r="L1161" t="e">
            <v>#REF!</v>
          </cell>
          <cell r="M1161" t="e">
            <v>#REF!</v>
          </cell>
          <cell r="N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</row>
        <row r="1162">
          <cell r="A1162" t="e">
            <v>#REF!</v>
          </cell>
          <cell r="B1162" t="e">
            <v>#REF!</v>
          </cell>
          <cell r="C1162" t="e">
            <v>#REF!</v>
          </cell>
          <cell r="D1162" t="e">
            <v>#REF!</v>
          </cell>
          <cell r="E1162" t="e">
            <v>#REF!</v>
          </cell>
          <cell r="F1162" t="e">
            <v>#REF!</v>
          </cell>
          <cell r="G1162" t="e">
            <v>#REF!</v>
          </cell>
          <cell r="H1162" t="e">
            <v>#REF!</v>
          </cell>
          <cell r="I1162" t="e">
            <v>#REF!</v>
          </cell>
          <cell r="J1162" t="e">
            <v>#REF!</v>
          </cell>
          <cell r="K1162" t="e">
            <v>#REF!</v>
          </cell>
          <cell r="L1162" t="e">
            <v>#REF!</v>
          </cell>
          <cell r="M1162" t="e">
            <v>#REF!</v>
          </cell>
          <cell r="N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</row>
        <row r="1163">
          <cell r="A1163" t="e">
            <v>#REF!</v>
          </cell>
          <cell r="B1163" t="e">
            <v>#REF!</v>
          </cell>
          <cell r="C1163" t="e">
            <v>#REF!</v>
          </cell>
          <cell r="D1163" t="e">
            <v>#REF!</v>
          </cell>
          <cell r="E1163" t="e">
            <v>#REF!</v>
          </cell>
          <cell r="F1163" t="e">
            <v>#REF!</v>
          </cell>
          <cell r="G1163" t="e">
            <v>#REF!</v>
          </cell>
          <cell r="H1163" t="e">
            <v>#REF!</v>
          </cell>
          <cell r="I1163" t="e">
            <v>#REF!</v>
          </cell>
          <cell r="J1163" t="e">
            <v>#REF!</v>
          </cell>
          <cell r="K1163" t="e">
            <v>#REF!</v>
          </cell>
          <cell r="L1163" t="e">
            <v>#REF!</v>
          </cell>
          <cell r="M1163" t="e">
            <v>#REF!</v>
          </cell>
          <cell r="N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</row>
        <row r="1164">
          <cell r="A1164" t="e">
            <v>#REF!</v>
          </cell>
          <cell r="B1164" t="e">
            <v>#REF!</v>
          </cell>
          <cell r="C1164" t="e">
            <v>#REF!</v>
          </cell>
          <cell r="D1164" t="e">
            <v>#REF!</v>
          </cell>
          <cell r="E1164" t="e">
            <v>#REF!</v>
          </cell>
          <cell r="F1164" t="e">
            <v>#REF!</v>
          </cell>
          <cell r="G1164" t="e">
            <v>#REF!</v>
          </cell>
          <cell r="H1164" t="e">
            <v>#REF!</v>
          </cell>
          <cell r="I1164" t="e">
            <v>#REF!</v>
          </cell>
          <cell r="J1164" t="e">
            <v>#REF!</v>
          </cell>
          <cell r="K1164" t="e">
            <v>#REF!</v>
          </cell>
          <cell r="L1164" t="e">
            <v>#REF!</v>
          </cell>
          <cell r="M1164" t="e">
            <v>#REF!</v>
          </cell>
          <cell r="N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</row>
        <row r="1165">
          <cell r="A1165" t="e">
            <v>#REF!</v>
          </cell>
          <cell r="B1165" t="e">
            <v>#REF!</v>
          </cell>
          <cell r="C1165" t="e">
            <v>#REF!</v>
          </cell>
          <cell r="D1165" t="e">
            <v>#REF!</v>
          </cell>
          <cell r="E1165" t="e">
            <v>#REF!</v>
          </cell>
          <cell r="F1165" t="e">
            <v>#REF!</v>
          </cell>
          <cell r="G1165" t="e">
            <v>#REF!</v>
          </cell>
          <cell r="H1165" t="e">
            <v>#REF!</v>
          </cell>
          <cell r="I1165" t="e">
            <v>#REF!</v>
          </cell>
          <cell r="J1165" t="e">
            <v>#REF!</v>
          </cell>
          <cell r="K1165" t="e">
            <v>#REF!</v>
          </cell>
          <cell r="L1165" t="e">
            <v>#REF!</v>
          </cell>
          <cell r="M1165" t="e">
            <v>#REF!</v>
          </cell>
          <cell r="N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</row>
        <row r="1166">
          <cell r="A1166" t="e">
            <v>#REF!</v>
          </cell>
          <cell r="B1166" t="e">
            <v>#REF!</v>
          </cell>
          <cell r="C1166" t="e">
            <v>#REF!</v>
          </cell>
          <cell r="D1166" t="e">
            <v>#REF!</v>
          </cell>
          <cell r="E1166" t="e">
            <v>#REF!</v>
          </cell>
          <cell r="F1166" t="e">
            <v>#REF!</v>
          </cell>
          <cell r="G1166" t="e">
            <v>#REF!</v>
          </cell>
          <cell r="H1166" t="e">
            <v>#REF!</v>
          </cell>
          <cell r="I1166" t="e">
            <v>#REF!</v>
          </cell>
          <cell r="J1166" t="e">
            <v>#REF!</v>
          </cell>
          <cell r="K1166" t="e">
            <v>#REF!</v>
          </cell>
          <cell r="L1166" t="e">
            <v>#REF!</v>
          </cell>
          <cell r="M1166" t="e">
            <v>#REF!</v>
          </cell>
          <cell r="N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</row>
        <row r="1167">
          <cell r="A1167" t="e">
            <v>#REF!</v>
          </cell>
          <cell r="B1167" t="e">
            <v>#REF!</v>
          </cell>
          <cell r="C1167" t="e">
            <v>#REF!</v>
          </cell>
          <cell r="D1167" t="e">
            <v>#REF!</v>
          </cell>
          <cell r="E1167" t="e">
            <v>#REF!</v>
          </cell>
          <cell r="F1167" t="e">
            <v>#REF!</v>
          </cell>
          <cell r="G1167" t="e">
            <v>#REF!</v>
          </cell>
          <cell r="H1167" t="e">
            <v>#REF!</v>
          </cell>
          <cell r="I1167" t="e">
            <v>#REF!</v>
          </cell>
          <cell r="J1167" t="e">
            <v>#REF!</v>
          </cell>
          <cell r="K1167" t="e">
            <v>#REF!</v>
          </cell>
          <cell r="L1167" t="e">
            <v>#REF!</v>
          </cell>
          <cell r="M1167" t="e">
            <v>#REF!</v>
          </cell>
          <cell r="N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</row>
        <row r="1168">
          <cell r="A1168" t="e">
            <v>#REF!</v>
          </cell>
          <cell r="B1168" t="e">
            <v>#REF!</v>
          </cell>
          <cell r="C1168" t="e">
            <v>#REF!</v>
          </cell>
          <cell r="D1168" t="e">
            <v>#REF!</v>
          </cell>
          <cell r="E1168" t="e">
            <v>#REF!</v>
          </cell>
          <cell r="F1168" t="e">
            <v>#REF!</v>
          </cell>
          <cell r="G1168" t="e">
            <v>#REF!</v>
          </cell>
          <cell r="H1168" t="e">
            <v>#REF!</v>
          </cell>
          <cell r="I1168" t="e">
            <v>#REF!</v>
          </cell>
          <cell r="J1168" t="e">
            <v>#REF!</v>
          </cell>
          <cell r="K1168" t="e">
            <v>#REF!</v>
          </cell>
          <cell r="L1168" t="e">
            <v>#REF!</v>
          </cell>
          <cell r="M1168" t="e">
            <v>#REF!</v>
          </cell>
          <cell r="N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</row>
        <row r="1169">
          <cell r="A1169" t="e">
            <v>#REF!</v>
          </cell>
          <cell r="B1169" t="e">
            <v>#REF!</v>
          </cell>
          <cell r="C1169" t="e">
            <v>#REF!</v>
          </cell>
          <cell r="D1169" t="e">
            <v>#REF!</v>
          </cell>
          <cell r="E1169" t="e">
            <v>#REF!</v>
          </cell>
          <cell r="F1169" t="e">
            <v>#REF!</v>
          </cell>
          <cell r="G1169" t="e">
            <v>#REF!</v>
          </cell>
          <cell r="H1169" t="e">
            <v>#REF!</v>
          </cell>
          <cell r="I1169" t="e">
            <v>#REF!</v>
          </cell>
          <cell r="J1169" t="e">
            <v>#REF!</v>
          </cell>
          <cell r="K1169" t="e">
            <v>#REF!</v>
          </cell>
          <cell r="L1169" t="e">
            <v>#REF!</v>
          </cell>
          <cell r="M1169" t="e">
            <v>#REF!</v>
          </cell>
          <cell r="N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</row>
        <row r="1170">
          <cell r="A1170" t="e">
            <v>#REF!</v>
          </cell>
          <cell r="B1170" t="e">
            <v>#REF!</v>
          </cell>
          <cell r="C1170" t="e">
            <v>#REF!</v>
          </cell>
          <cell r="D1170" t="e">
            <v>#REF!</v>
          </cell>
          <cell r="E1170" t="e">
            <v>#REF!</v>
          </cell>
          <cell r="F1170" t="e">
            <v>#REF!</v>
          </cell>
          <cell r="G1170" t="e">
            <v>#REF!</v>
          </cell>
          <cell r="H1170" t="e">
            <v>#REF!</v>
          </cell>
          <cell r="I1170" t="e">
            <v>#REF!</v>
          </cell>
          <cell r="J1170" t="e">
            <v>#REF!</v>
          </cell>
          <cell r="K1170" t="e">
            <v>#REF!</v>
          </cell>
          <cell r="L1170" t="e">
            <v>#REF!</v>
          </cell>
          <cell r="M1170" t="e">
            <v>#REF!</v>
          </cell>
          <cell r="N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</row>
        <row r="1171">
          <cell r="A1171" t="e">
            <v>#REF!</v>
          </cell>
          <cell r="B1171" t="e">
            <v>#REF!</v>
          </cell>
          <cell r="C1171" t="e">
            <v>#REF!</v>
          </cell>
          <cell r="D1171" t="e">
            <v>#REF!</v>
          </cell>
          <cell r="E1171" t="e">
            <v>#REF!</v>
          </cell>
          <cell r="F1171" t="e">
            <v>#REF!</v>
          </cell>
          <cell r="G1171" t="e">
            <v>#REF!</v>
          </cell>
          <cell r="H1171" t="e">
            <v>#REF!</v>
          </cell>
          <cell r="I1171" t="e">
            <v>#REF!</v>
          </cell>
          <cell r="J1171" t="e">
            <v>#REF!</v>
          </cell>
          <cell r="K1171" t="e">
            <v>#REF!</v>
          </cell>
          <cell r="L1171" t="e">
            <v>#REF!</v>
          </cell>
          <cell r="M1171" t="e">
            <v>#REF!</v>
          </cell>
          <cell r="N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</row>
        <row r="1172">
          <cell r="A1172" t="e">
            <v>#REF!</v>
          </cell>
          <cell r="B1172" t="e">
            <v>#REF!</v>
          </cell>
          <cell r="C1172" t="e">
            <v>#REF!</v>
          </cell>
          <cell r="D1172" t="e">
            <v>#REF!</v>
          </cell>
          <cell r="E1172" t="e">
            <v>#REF!</v>
          </cell>
          <cell r="F1172" t="e">
            <v>#REF!</v>
          </cell>
          <cell r="G1172" t="e">
            <v>#REF!</v>
          </cell>
          <cell r="H1172" t="e">
            <v>#REF!</v>
          </cell>
          <cell r="I1172" t="e">
            <v>#REF!</v>
          </cell>
          <cell r="J1172" t="e">
            <v>#REF!</v>
          </cell>
          <cell r="K1172" t="e">
            <v>#REF!</v>
          </cell>
          <cell r="L1172" t="e">
            <v>#REF!</v>
          </cell>
          <cell r="M1172" t="e">
            <v>#REF!</v>
          </cell>
          <cell r="N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</row>
      </sheetData>
      <sheetData sheetId="11">
        <row r="1077">
          <cell r="A1077" t="e">
            <v>#REF!</v>
          </cell>
          <cell r="B1077" t="e">
            <v>#REF!</v>
          </cell>
          <cell r="C1077" t="e">
            <v>#REF!</v>
          </cell>
          <cell r="D1077" t="e">
            <v>#REF!</v>
          </cell>
          <cell r="E1077" t="e">
            <v>#REF!</v>
          </cell>
          <cell r="F1077" t="e">
            <v>#REF!</v>
          </cell>
          <cell r="G1077" t="e">
            <v>#REF!</v>
          </cell>
          <cell r="H1077" t="e">
            <v>#REF!</v>
          </cell>
          <cell r="I1077" t="e">
            <v>#REF!</v>
          </cell>
          <cell r="J1077" t="e">
            <v>#REF!</v>
          </cell>
          <cell r="K1077" t="e">
            <v>#REF!</v>
          </cell>
          <cell r="L1077" t="e">
            <v>#REF!</v>
          </cell>
          <cell r="M1077" t="e">
            <v>#REF!</v>
          </cell>
          <cell r="N1077" t="e">
            <v>#REF!</v>
          </cell>
          <cell r="O1077" t="e">
            <v>#REF!</v>
          </cell>
          <cell r="P1077" t="e">
            <v>#REF!</v>
          </cell>
          <cell r="Q1077" t="e">
            <v>#REF!</v>
          </cell>
          <cell r="R1077" t="e">
            <v>#REF!</v>
          </cell>
        </row>
        <row r="1078">
          <cell r="A1078" t="e">
            <v>#REF!</v>
          </cell>
          <cell r="B1078" t="e">
            <v>#REF!</v>
          </cell>
          <cell r="C1078" t="e">
            <v>#REF!</v>
          </cell>
          <cell r="D1078" t="e">
            <v>#REF!</v>
          </cell>
          <cell r="E1078" t="e">
            <v>#REF!</v>
          </cell>
          <cell r="F1078" t="e">
            <v>#REF!</v>
          </cell>
          <cell r="G1078" t="e">
            <v>#REF!</v>
          </cell>
          <cell r="H1078" t="e">
            <v>#REF!</v>
          </cell>
          <cell r="I1078" t="e">
            <v>#REF!</v>
          </cell>
          <cell r="J1078" t="e">
            <v>#REF!</v>
          </cell>
          <cell r="K1078" t="e">
            <v>#REF!</v>
          </cell>
          <cell r="L1078" t="e">
            <v>#REF!</v>
          </cell>
          <cell r="M1078" t="e">
            <v>#REF!</v>
          </cell>
          <cell r="N1078" t="e">
            <v>#REF!</v>
          </cell>
          <cell r="O1078" t="e">
            <v>#REF!</v>
          </cell>
          <cell r="P1078" t="e">
            <v>#REF!</v>
          </cell>
          <cell r="Q1078" t="e">
            <v>#REF!</v>
          </cell>
          <cell r="R1078" t="e">
            <v>#REF!</v>
          </cell>
        </row>
        <row r="1079">
          <cell r="A1079" t="e">
            <v>#REF!</v>
          </cell>
          <cell r="B1079" t="e">
            <v>#REF!</v>
          </cell>
          <cell r="C1079" t="e">
            <v>#REF!</v>
          </cell>
          <cell r="D1079" t="e">
            <v>#REF!</v>
          </cell>
          <cell r="E1079" t="e">
            <v>#REF!</v>
          </cell>
          <cell r="F1079" t="e">
            <v>#REF!</v>
          </cell>
          <cell r="G1079" t="e">
            <v>#REF!</v>
          </cell>
          <cell r="H1079" t="e">
            <v>#REF!</v>
          </cell>
          <cell r="I1079" t="e">
            <v>#REF!</v>
          </cell>
          <cell r="J1079" t="e">
            <v>#REF!</v>
          </cell>
          <cell r="K1079" t="e">
            <v>#REF!</v>
          </cell>
          <cell r="L1079" t="e">
            <v>#REF!</v>
          </cell>
          <cell r="M1079" t="e">
            <v>#REF!</v>
          </cell>
          <cell r="N1079" t="e">
            <v>#REF!</v>
          </cell>
          <cell r="O1079" t="e">
            <v>#REF!</v>
          </cell>
          <cell r="P1079" t="e">
            <v>#REF!</v>
          </cell>
          <cell r="Q1079" t="e">
            <v>#REF!</v>
          </cell>
          <cell r="R1079" t="e">
            <v>#REF!</v>
          </cell>
        </row>
        <row r="1080">
          <cell r="A1080" t="e">
            <v>#REF!</v>
          </cell>
          <cell r="B1080" t="e">
            <v>#REF!</v>
          </cell>
          <cell r="C1080" t="e">
            <v>#REF!</v>
          </cell>
          <cell r="D1080" t="e">
            <v>#REF!</v>
          </cell>
          <cell r="E1080" t="e">
            <v>#REF!</v>
          </cell>
          <cell r="F1080" t="e">
            <v>#REF!</v>
          </cell>
          <cell r="G1080" t="e">
            <v>#REF!</v>
          </cell>
          <cell r="H1080" t="e">
            <v>#REF!</v>
          </cell>
          <cell r="I1080" t="e">
            <v>#REF!</v>
          </cell>
          <cell r="J1080" t="e">
            <v>#REF!</v>
          </cell>
          <cell r="K1080" t="e">
            <v>#REF!</v>
          </cell>
          <cell r="L1080" t="e">
            <v>#REF!</v>
          </cell>
          <cell r="M1080" t="e">
            <v>#REF!</v>
          </cell>
          <cell r="N1080" t="e">
            <v>#REF!</v>
          </cell>
          <cell r="O1080" t="e">
            <v>#REF!</v>
          </cell>
          <cell r="P1080" t="e">
            <v>#REF!</v>
          </cell>
          <cell r="Q1080" t="e">
            <v>#REF!</v>
          </cell>
          <cell r="R1080" t="e">
            <v>#REF!</v>
          </cell>
        </row>
        <row r="1081">
          <cell r="A1081" t="e">
            <v>#REF!</v>
          </cell>
          <cell r="B1081" t="e">
            <v>#REF!</v>
          </cell>
          <cell r="C1081" t="e">
            <v>#REF!</v>
          </cell>
          <cell r="D1081" t="e">
            <v>#REF!</v>
          </cell>
          <cell r="E1081" t="e">
            <v>#REF!</v>
          </cell>
          <cell r="F1081" t="e">
            <v>#REF!</v>
          </cell>
          <cell r="G1081" t="e">
            <v>#REF!</v>
          </cell>
          <cell r="H1081" t="e">
            <v>#REF!</v>
          </cell>
          <cell r="I1081" t="e">
            <v>#REF!</v>
          </cell>
          <cell r="J1081" t="e">
            <v>#REF!</v>
          </cell>
          <cell r="K1081" t="e">
            <v>#REF!</v>
          </cell>
          <cell r="L1081" t="e">
            <v>#REF!</v>
          </cell>
          <cell r="M1081" t="e">
            <v>#REF!</v>
          </cell>
          <cell r="N1081" t="e">
            <v>#REF!</v>
          </cell>
          <cell r="O1081" t="e">
            <v>#REF!</v>
          </cell>
          <cell r="P1081" t="e">
            <v>#REF!</v>
          </cell>
          <cell r="Q1081" t="e">
            <v>#REF!</v>
          </cell>
          <cell r="R1081" t="e">
            <v>#REF!</v>
          </cell>
        </row>
        <row r="1082">
          <cell r="A1082" t="e">
            <v>#REF!</v>
          </cell>
          <cell r="B1082" t="e">
            <v>#REF!</v>
          </cell>
          <cell r="C1082" t="e">
            <v>#REF!</v>
          </cell>
          <cell r="D1082" t="e">
            <v>#REF!</v>
          </cell>
          <cell r="E1082" t="e">
            <v>#REF!</v>
          </cell>
          <cell r="F1082" t="e">
            <v>#REF!</v>
          </cell>
          <cell r="G1082" t="e">
            <v>#REF!</v>
          </cell>
          <cell r="H1082" t="e">
            <v>#REF!</v>
          </cell>
          <cell r="I1082" t="e">
            <v>#REF!</v>
          </cell>
          <cell r="J1082" t="e">
            <v>#REF!</v>
          </cell>
          <cell r="K1082" t="e">
            <v>#REF!</v>
          </cell>
          <cell r="L1082" t="e">
            <v>#REF!</v>
          </cell>
          <cell r="M1082" t="e">
            <v>#REF!</v>
          </cell>
          <cell r="N1082" t="e">
            <v>#REF!</v>
          </cell>
          <cell r="O1082" t="e">
            <v>#REF!</v>
          </cell>
          <cell r="P1082" t="e">
            <v>#REF!</v>
          </cell>
          <cell r="Q1082" t="e">
            <v>#REF!</v>
          </cell>
          <cell r="R1082" t="e">
            <v>#REF!</v>
          </cell>
        </row>
        <row r="1083">
          <cell r="A1083" t="e">
            <v>#REF!</v>
          </cell>
          <cell r="B1083" t="e">
            <v>#REF!</v>
          </cell>
          <cell r="C1083" t="e">
            <v>#REF!</v>
          </cell>
          <cell r="D1083" t="e">
            <v>#REF!</v>
          </cell>
          <cell r="E1083" t="e">
            <v>#REF!</v>
          </cell>
          <cell r="F1083" t="e">
            <v>#REF!</v>
          </cell>
          <cell r="G1083" t="e">
            <v>#REF!</v>
          </cell>
          <cell r="H1083" t="e">
            <v>#REF!</v>
          </cell>
          <cell r="I1083" t="e">
            <v>#REF!</v>
          </cell>
          <cell r="J1083" t="e">
            <v>#REF!</v>
          </cell>
          <cell r="K1083" t="e">
            <v>#REF!</v>
          </cell>
          <cell r="L1083" t="e">
            <v>#REF!</v>
          </cell>
          <cell r="M1083" t="e">
            <v>#REF!</v>
          </cell>
          <cell r="N1083" t="e">
            <v>#REF!</v>
          </cell>
          <cell r="O1083" t="e">
            <v>#REF!</v>
          </cell>
          <cell r="P1083" t="e">
            <v>#REF!</v>
          </cell>
          <cell r="Q1083" t="e">
            <v>#REF!</v>
          </cell>
          <cell r="R1083" t="e">
            <v>#REF!</v>
          </cell>
        </row>
        <row r="1084">
          <cell r="A1084" t="e">
            <v>#REF!</v>
          </cell>
          <cell r="B1084" t="e">
            <v>#REF!</v>
          </cell>
          <cell r="C1084" t="e">
            <v>#REF!</v>
          </cell>
          <cell r="D1084" t="e">
            <v>#REF!</v>
          </cell>
          <cell r="E1084" t="e">
            <v>#REF!</v>
          </cell>
          <cell r="F1084" t="e">
            <v>#REF!</v>
          </cell>
          <cell r="G1084" t="e">
            <v>#REF!</v>
          </cell>
          <cell r="H1084" t="e">
            <v>#REF!</v>
          </cell>
          <cell r="I1084" t="e">
            <v>#REF!</v>
          </cell>
          <cell r="J1084" t="e">
            <v>#REF!</v>
          </cell>
          <cell r="K1084" t="e">
            <v>#REF!</v>
          </cell>
          <cell r="L1084" t="e">
            <v>#REF!</v>
          </cell>
          <cell r="M1084" t="e">
            <v>#REF!</v>
          </cell>
          <cell r="N1084" t="e">
            <v>#REF!</v>
          </cell>
          <cell r="O1084" t="e">
            <v>#REF!</v>
          </cell>
          <cell r="P1084" t="e">
            <v>#REF!</v>
          </cell>
          <cell r="Q1084" t="e">
            <v>#REF!</v>
          </cell>
          <cell r="R1084" t="e">
            <v>#REF!</v>
          </cell>
        </row>
        <row r="1085">
          <cell r="A1085" t="e">
            <v>#REF!</v>
          </cell>
          <cell r="B1085" t="e">
            <v>#REF!</v>
          </cell>
          <cell r="C1085" t="e">
            <v>#REF!</v>
          </cell>
          <cell r="D1085" t="e">
            <v>#REF!</v>
          </cell>
          <cell r="E1085" t="e">
            <v>#REF!</v>
          </cell>
          <cell r="F1085" t="e">
            <v>#REF!</v>
          </cell>
          <cell r="G1085" t="e">
            <v>#REF!</v>
          </cell>
          <cell r="H1085" t="e">
            <v>#REF!</v>
          </cell>
          <cell r="I1085" t="e">
            <v>#REF!</v>
          </cell>
          <cell r="J1085" t="e">
            <v>#REF!</v>
          </cell>
          <cell r="K1085" t="e">
            <v>#REF!</v>
          </cell>
          <cell r="L1085" t="e">
            <v>#REF!</v>
          </cell>
          <cell r="M1085" t="e">
            <v>#REF!</v>
          </cell>
          <cell r="N1085" t="e">
            <v>#REF!</v>
          </cell>
          <cell r="O1085" t="e">
            <v>#REF!</v>
          </cell>
          <cell r="P1085" t="e">
            <v>#REF!</v>
          </cell>
          <cell r="Q1085" t="e">
            <v>#REF!</v>
          </cell>
          <cell r="R1085" t="e">
            <v>#REF!</v>
          </cell>
        </row>
        <row r="1086">
          <cell r="A1086" t="e">
            <v>#REF!</v>
          </cell>
          <cell r="B1086" t="e">
            <v>#REF!</v>
          </cell>
          <cell r="C1086" t="e">
            <v>#REF!</v>
          </cell>
          <cell r="D1086" t="e">
            <v>#REF!</v>
          </cell>
          <cell r="E1086" t="e">
            <v>#REF!</v>
          </cell>
          <cell r="F1086" t="e">
            <v>#REF!</v>
          </cell>
          <cell r="G1086" t="e">
            <v>#REF!</v>
          </cell>
          <cell r="H1086" t="e">
            <v>#REF!</v>
          </cell>
          <cell r="I1086" t="e">
            <v>#REF!</v>
          </cell>
          <cell r="J1086" t="e">
            <v>#REF!</v>
          </cell>
          <cell r="K1086" t="e">
            <v>#REF!</v>
          </cell>
          <cell r="L1086" t="e">
            <v>#REF!</v>
          </cell>
          <cell r="M1086" t="e">
            <v>#REF!</v>
          </cell>
          <cell r="N1086" t="e">
            <v>#REF!</v>
          </cell>
          <cell r="O1086" t="e">
            <v>#REF!</v>
          </cell>
          <cell r="P1086" t="e">
            <v>#REF!</v>
          </cell>
          <cell r="Q1086" t="e">
            <v>#REF!</v>
          </cell>
          <cell r="R1086" t="e">
            <v>#REF!</v>
          </cell>
        </row>
        <row r="1087">
          <cell r="A1087" t="e">
            <v>#REF!</v>
          </cell>
          <cell r="B1087" t="e">
            <v>#REF!</v>
          </cell>
          <cell r="C1087" t="e">
            <v>#REF!</v>
          </cell>
          <cell r="D1087" t="e">
            <v>#REF!</v>
          </cell>
          <cell r="E1087" t="e">
            <v>#REF!</v>
          </cell>
          <cell r="F1087" t="e">
            <v>#REF!</v>
          </cell>
          <cell r="G1087" t="e">
            <v>#REF!</v>
          </cell>
          <cell r="H1087" t="e">
            <v>#REF!</v>
          </cell>
          <cell r="I1087" t="e">
            <v>#REF!</v>
          </cell>
          <cell r="J1087" t="e">
            <v>#REF!</v>
          </cell>
          <cell r="K1087" t="e">
            <v>#REF!</v>
          </cell>
          <cell r="L1087" t="e">
            <v>#REF!</v>
          </cell>
          <cell r="M1087" t="e">
            <v>#REF!</v>
          </cell>
          <cell r="N1087" t="e">
            <v>#REF!</v>
          </cell>
          <cell r="O1087" t="e">
            <v>#REF!</v>
          </cell>
          <cell r="P1087" t="e">
            <v>#REF!</v>
          </cell>
          <cell r="Q1087" t="e">
            <v>#REF!</v>
          </cell>
          <cell r="R1087" t="e">
            <v>#REF!</v>
          </cell>
        </row>
        <row r="1088">
          <cell r="A1088" t="e">
            <v>#REF!</v>
          </cell>
          <cell r="B1088" t="e">
            <v>#REF!</v>
          </cell>
          <cell r="C1088" t="e">
            <v>#REF!</v>
          </cell>
          <cell r="D1088" t="e">
            <v>#REF!</v>
          </cell>
          <cell r="E1088" t="e">
            <v>#REF!</v>
          </cell>
          <cell r="F1088" t="e">
            <v>#REF!</v>
          </cell>
          <cell r="G1088" t="e">
            <v>#REF!</v>
          </cell>
          <cell r="H1088" t="e">
            <v>#REF!</v>
          </cell>
          <cell r="I1088" t="e">
            <v>#REF!</v>
          </cell>
          <cell r="J1088" t="e">
            <v>#REF!</v>
          </cell>
          <cell r="K1088" t="e">
            <v>#REF!</v>
          </cell>
          <cell r="L1088" t="e">
            <v>#REF!</v>
          </cell>
          <cell r="M1088" t="e">
            <v>#REF!</v>
          </cell>
          <cell r="N1088" t="e">
            <v>#REF!</v>
          </cell>
          <cell r="O1088" t="e">
            <v>#REF!</v>
          </cell>
          <cell r="P1088" t="e">
            <v>#REF!</v>
          </cell>
          <cell r="Q1088" t="e">
            <v>#REF!</v>
          </cell>
          <cell r="R1088" t="e">
            <v>#REF!</v>
          </cell>
        </row>
        <row r="1089">
          <cell r="A1089" t="e">
            <v>#REF!</v>
          </cell>
          <cell r="B1089" t="e">
            <v>#REF!</v>
          </cell>
          <cell r="C1089" t="e">
            <v>#REF!</v>
          </cell>
          <cell r="D1089" t="e">
            <v>#REF!</v>
          </cell>
          <cell r="E1089" t="e">
            <v>#REF!</v>
          </cell>
          <cell r="F1089" t="e">
            <v>#REF!</v>
          </cell>
          <cell r="G1089" t="e">
            <v>#REF!</v>
          </cell>
          <cell r="H1089" t="e">
            <v>#REF!</v>
          </cell>
          <cell r="I1089" t="e">
            <v>#REF!</v>
          </cell>
          <cell r="J1089" t="e">
            <v>#REF!</v>
          </cell>
          <cell r="K1089" t="e">
            <v>#REF!</v>
          </cell>
          <cell r="L1089" t="e">
            <v>#REF!</v>
          </cell>
          <cell r="M1089" t="e">
            <v>#REF!</v>
          </cell>
          <cell r="N1089" t="e">
            <v>#REF!</v>
          </cell>
          <cell r="O1089" t="e">
            <v>#REF!</v>
          </cell>
          <cell r="P1089" t="e">
            <v>#REF!</v>
          </cell>
          <cell r="Q1089" t="e">
            <v>#REF!</v>
          </cell>
          <cell r="R1089" t="e">
            <v>#REF!</v>
          </cell>
        </row>
        <row r="1090">
          <cell r="A1090" t="e">
            <v>#REF!</v>
          </cell>
          <cell r="B1090" t="e">
            <v>#REF!</v>
          </cell>
          <cell r="C1090" t="e">
            <v>#REF!</v>
          </cell>
          <cell r="D1090" t="e">
            <v>#REF!</v>
          </cell>
          <cell r="E1090" t="e">
            <v>#REF!</v>
          </cell>
          <cell r="F1090" t="e">
            <v>#REF!</v>
          </cell>
          <cell r="G1090" t="e">
            <v>#REF!</v>
          </cell>
          <cell r="H1090" t="e">
            <v>#REF!</v>
          </cell>
          <cell r="I1090" t="e">
            <v>#REF!</v>
          </cell>
          <cell r="J1090" t="e">
            <v>#REF!</v>
          </cell>
          <cell r="K1090" t="e">
            <v>#REF!</v>
          </cell>
          <cell r="L1090" t="e">
            <v>#REF!</v>
          </cell>
          <cell r="M1090" t="e">
            <v>#REF!</v>
          </cell>
          <cell r="N1090" t="e">
            <v>#REF!</v>
          </cell>
          <cell r="O1090" t="e">
            <v>#REF!</v>
          </cell>
          <cell r="P1090" t="e">
            <v>#REF!</v>
          </cell>
          <cell r="Q1090" t="e">
            <v>#REF!</v>
          </cell>
          <cell r="R1090" t="e">
            <v>#REF!</v>
          </cell>
        </row>
        <row r="1091">
          <cell r="A1091" t="e">
            <v>#REF!</v>
          </cell>
          <cell r="B1091" t="e">
            <v>#REF!</v>
          </cell>
          <cell r="C1091" t="e">
            <v>#REF!</v>
          </cell>
          <cell r="D1091" t="e">
            <v>#REF!</v>
          </cell>
          <cell r="E1091" t="e">
            <v>#REF!</v>
          </cell>
          <cell r="F1091" t="e">
            <v>#REF!</v>
          </cell>
          <cell r="G1091" t="e">
            <v>#REF!</v>
          </cell>
          <cell r="H1091" t="e">
            <v>#REF!</v>
          </cell>
          <cell r="I1091" t="e">
            <v>#REF!</v>
          </cell>
          <cell r="J1091" t="e">
            <v>#REF!</v>
          </cell>
          <cell r="K1091" t="e">
            <v>#REF!</v>
          </cell>
          <cell r="L1091" t="e">
            <v>#REF!</v>
          </cell>
          <cell r="M1091" t="e">
            <v>#REF!</v>
          </cell>
          <cell r="N1091" t="e">
            <v>#REF!</v>
          </cell>
          <cell r="O1091" t="e">
            <v>#REF!</v>
          </cell>
          <cell r="P1091" t="e">
            <v>#REF!</v>
          </cell>
          <cell r="Q1091" t="e">
            <v>#REF!</v>
          </cell>
          <cell r="R1091" t="e">
            <v>#REF!</v>
          </cell>
        </row>
        <row r="1092">
          <cell r="A1092" t="e">
            <v>#REF!</v>
          </cell>
          <cell r="B1092" t="e">
            <v>#REF!</v>
          </cell>
          <cell r="C1092" t="e">
            <v>#REF!</v>
          </cell>
          <cell r="D1092" t="e">
            <v>#REF!</v>
          </cell>
          <cell r="E1092" t="e">
            <v>#REF!</v>
          </cell>
          <cell r="F1092" t="e">
            <v>#REF!</v>
          </cell>
          <cell r="G1092" t="e">
            <v>#REF!</v>
          </cell>
          <cell r="H1092" t="e">
            <v>#REF!</v>
          </cell>
          <cell r="I1092" t="e">
            <v>#REF!</v>
          </cell>
          <cell r="J1092" t="e">
            <v>#REF!</v>
          </cell>
          <cell r="K1092" t="e">
            <v>#REF!</v>
          </cell>
          <cell r="L1092" t="e">
            <v>#REF!</v>
          </cell>
          <cell r="M1092" t="e">
            <v>#REF!</v>
          </cell>
          <cell r="N1092" t="e">
            <v>#REF!</v>
          </cell>
          <cell r="O1092" t="e">
            <v>#REF!</v>
          </cell>
          <cell r="P1092" t="e">
            <v>#REF!</v>
          </cell>
          <cell r="Q1092" t="e">
            <v>#REF!</v>
          </cell>
          <cell r="R1092" t="e">
            <v>#REF!</v>
          </cell>
        </row>
        <row r="1093">
          <cell r="A1093" t="e">
            <v>#REF!</v>
          </cell>
          <cell r="B1093" t="e">
            <v>#REF!</v>
          </cell>
          <cell r="C1093" t="e">
            <v>#REF!</v>
          </cell>
          <cell r="D1093" t="e">
            <v>#REF!</v>
          </cell>
          <cell r="E1093" t="e">
            <v>#REF!</v>
          </cell>
          <cell r="F1093" t="e">
            <v>#REF!</v>
          </cell>
          <cell r="G1093" t="e">
            <v>#REF!</v>
          </cell>
          <cell r="H1093" t="e">
            <v>#REF!</v>
          </cell>
          <cell r="I1093" t="e">
            <v>#REF!</v>
          </cell>
          <cell r="J1093" t="e">
            <v>#REF!</v>
          </cell>
          <cell r="K1093" t="e">
            <v>#REF!</v>
          </cell>
          <cell r="L1093" t="e">
            <v>#REF!</v>
          </cell>
          <cell r="M1093" t="e">
            <v>#REF!</v>
          </cell>
          <cell r="N1093" t="e">
            <v>#REF!</v>
          </cell>
          <cell r="O1093" t="e">
            <v>#REF!</v>
          </cell>
          <cell r="P1093" t="e">
            <v>#REF!</v>
          </cell>
          <cell r="Q1093" t="e">
            <v>#REF!</v>
          </cell>
          <cell r="R1093" t="e">
            <v>#REF!</v>
          </cell>
        </row>
        <row r="1094">
          <cell r="A1094" t="e">
            <v>#REF!</v>
          </cell>
          <cell r="B1094" t="e">
            <v>#REF!</v>
          </cell>
          <cell r="C1094" t="e">
            <v>#REF!</v>
          </cell>
          <cell r="D1094" t="e">
            <v>#REF!</v>
          </cell>
          <cell r="E1094" t="e">
            <v>#REF!</v>
          </cell>
          <cell r="F1094" t="e">
            <v>#REF!</v>
          </cell>
          <cell r="G1094" t="e">
            <v>#REF!</v>
          </cell>
          <cell r="H1094" t="e">
            <v>#REF!</v>
          </cell>
          <cell r="I1094" t="e">
            <v>#REF!</v>
          </cell>
          <cell r="J1094" t="e">
            <v>#REF!</v>
          </cell>
          <cell r="K1094" t="e">
            <v>#REF!</v>
          </cell>
          <cell r="L1094" t="e">
            <v>#REF!</v>
          </cell>
          <cell r="M1094" t="e">
            <v>#REF!</v>
          </cell>
          <cell r="N1094" t="e">
            <v>#REF!</v>
          </cell>
          <cell r="O1094" t="e">
            <v>#REF!</v>
          </cell>
          <cell r="P1094" t="e">
            <v>#REF!</v>
          </cell>
          <cell r="Q1094" t="e">
            <v>#REF!</v>
          </cell>
          <cell r="R1094" t="e">
            <v>#REF!</v>
          </cell>
        </row>
        <row r="1095">
          <cell r="A1095" t="e">
            <v>#REF!</v>
          </cell>
          <cell r="B1095" t="e">
            <v>#REF!</v>
          </cell>
          <cell r="C1095" t="e">
            <v>#REF!</v>
          </cell>
          <cell r="D1095" t="e">
            <v>#REF!</v>
          </cell>
          <cell r="E1095" t="e">
            <v>#REF!</v>
          </cell>
          <cell r="F1095" t="e">
            <v>#REF!</v>
          </cell>
          <cell r="G1095" t="e">
            <v>#REF!</v>
          </cell>
          <cell r="H1095" t="e">
            <v>#REF!</v>
          </cell>
          <cell r="I1095" t="e">
            <v>#REF!</v>
          </cell>
          <cell r="J1095" t="e">
            <v>#REF!</v>
          </cell>
          <cell r="K1095" t="e">
            <v>#REF!</v>
          </cell>
          <cell r="L1095" t="e">
            <v>#REF!</v>
          </cell>
          <cell r="M1095" t="e">
            <v>#REF!</v>
          </cell>
          <cell r="N1095" t="e">
            <v>#REF!</v>
          </cell>
          <cell r="O1095" t="e">
            <v>#REF!</v>
          </cell>
          <cell r="P1095" t="e">
            <v>#REF!</v>
          </cell>
          <cell r="Q1095" t="e">
            <v>#REF!</v>
          </cell>
          <cell r="R1095" t="e">
            <v>#REF!</v>
          </cell>
        </row>
        <row r="1096">
          <cell r="A1096" t="e">
            <v>#REF!</v>
          </cell>
          <cell r="B1096" t="e">
            <v>#REF!</v>
          </cell>
          <cell r="C1096" t="e">
            <v>#REF!</v>
          </cell>
          <cell r="D1096" t="e">
            <v>#REF!</v>
          </cell>
          <cell r="E1096" t="e">
            <v>#REF!</v>
          </cell>
          <cell r="F1096" t="e">
            <v>#REF!</v>
          </cell>
          <cell r="G1096" t="e">
            <v>#REF!</v>
          </cell>
          <cell r="H1096" t="e">
            <v>#REF!</v>
          </cell>
          <cell r="I1096" t="e">
            <v>#REF!</v>
          </cell>
          <cell r="J1096" t="e">
            <v>#REF!</v>
          </cell>
          <cell r="K1096" t="e">
            <v>#REF!</v>
          </cell>
          <cell r="L1096" t="e">
            <v>#REF!</v>
          </cell>
          <cell r="M1096" t="e">
            <v>#REF!</v>
          </cell>
          <cell r="N1096" t="e">
            <v>#REF!</v>
          </cell>
          <cell r="O1096" t="e">
            <v>#REF!</v>
          </cell>
          <cell r="P1096" t="e">
            <v>#REF!</v>
          </cell>
          <cell r="Q1096" t="e">
            <v>#REF!</v>
          </cell>
          <cell r="R1096" t="e">
            <v>#REF!</v>
          </cell>
        </row>
        <row r="1097">
          <cell r="A1097" t="e">
            <v>#REF!</v>
          </cell>
          <cell r="B1097" t="e">
            <v>#REF!</v>
          </cell>
          <cell r="C1097" t="e">
            <v>#REF!</v>
          </cell>
          <cell r="D1097" t="e">
            <v>#REF!</v>
          </cell>
          <cell r="E1097" t="e">
            <v>#REF!</v>
          </cell>
          <cell r="F1097" t="e">
            <v>#REF!</v>
          </cell>
          <cell r="G1097" t="e">
            <v>#REF!</v>
          </cell>
          <cell r="H1097" t="e">
            <v>#REF!</v>
          </cell>
          <cell r="I1097" t="e">
            <v>#REF!</v>
          </cell>
          <cell r="J1097" t="e">
            <v>#REF!</v>
          </cell>
          <cell r="K1097" t="e">
            <v>#REF!</v>
          </cell>
          <cell r="L1097" t="e">
            <v>#REF!</v>
          </cell>
          <cell r="M1097" t="e">
            <v>#REF!</v>
          </cell>
          <cell r="N1097" t="e">
            <v>#REF!</v>
          </cell>
          <cell r="O1097" t="e">
            <v>#REF!</v>
          </cell>
          <cell r="P1097" t="e">
            <v>#REF!</v>
          </cell>
          <cell r="Q1097" t="e">
            <v>#REF!</v>
          </cell>
          <cell r="R1097" t="e">
            <v>#REF!</v>
          </cell>
        </row>
        <row r="1098">
          <cell r="A1098" t="e">
            <v>#REF!</v>
          </cell>
          <cell r="B1098" t="e">
            <v>#REF!</v>
          </cell>
          <cell r="C1098" t="e">
            <v>#REF!</v>
          </cell>
          <cell r="D1098" t="e">
            <v>#REF!</v>
          </cell>
          <cell r="E1098" t="e">
            <v>#REF!</v>
          </cell>
          <cell r="F1098" t="e">
            <v>#REF!</v>
          </cell>
          <cell r="G1098" t="e">
            <v>#REF!</v>
          </cell>
          <cell r="H1098" t="e">
            <v>#REF!</v>
          </cell>
          <cell r="I1098" t="e">
            <v>#REF!</v>
          </cell>
          <cell r="J1098" t="e">
            <v>#REF!</v>
          </cell>
          <cell r="K1098" t="e">
            <v>#REF!</v>
          </cell>
          <cell r="L1098" t="e">
            <v>#REF!</v>
          </cell>
          <cell r="M1098" t="e">
            <v>#REF!</v>
          </cell>
          <cell r="N1098" t="e">
            <v>#REF!</v>
          </cell>
          <cell r="O1098" t="e">
            <v>#REF!</v>
          </cell>
          <cell r="P1098" t="e">
            <v>#REF!</v>
          </cell>
          <cell r="Q1098" t="e">
            <v>#REF!</v>
          </cell>
          <cell r="R1098" t="e">
            <v>#REF!</v>
          </cell>
        </row>
        <row r="1099">
          <cell r="A1099" t="e">
            <v>#REF!</v>
          </cell>
          <cell r="B1099" t="e">
            <v>#REF!</v>
          </cell>
          <cell r="C1099" t="e">
            <v>#REF!</v>
          </cell>
          <cell r="D1099" t="e">
            <v>#REF!</v>
          </cell>
          <cell r="E1099" t="e">
            <v>#REF!</v>
          </cell>
          <cell r="F1099" t="e">
            <v>#REF!</v>
          </cell>
          <cell r="G1099" t="e">
            <v>#REF!</v>
          </cell>
          <cell r="H1099" t="e">
            <v>#REF!</v>
          </cell>
          <cell r="I1099" t="e">
            <v>#REF!</v>
          </cell>
          <cell r="J1099" t="e">
            <v>#REF!</v>
          </cell>
          <cell r="K1099" t="e">
            <v>#REF!</v>
          </cell>
          <cell r="L1099" t="e">
            <v>#REF!</v>
          </cell>
          <cell r="M1099" t="e">
            <v>#REF!</v>
          </cell>
          <cell r="N1099" t="e">
            <v>#REF!</v>
          </cell>
          <cell r="O1099" t="e">
            <v>#REF!</v>
          </cell>
          <cell r="P1099" t="e">
            <v>#REF!</v>
          </cell>
          <cell r="Q1099" t="e">
            <v>#REF!</v>
          </cell>
          <cell r="R1099" t="e">
            <v>#REF!</v>
          </cell>
        </row>
        <row r="1100">
          <cell r="A1100" t="e">
            <v>#REF!</v>
          </cell>
          <cell r="B1100" t="e">
            <v>#REF!</v>
          </cell>
          <cell r="C1100" t="e">
            <v>#REF!</v>
          </cell>
          <cell r="D1100" t="e">
            <v>#REF!</v>
          </cell>
          <cell r="E1100" t="e">
            <v>#REF!</v>
          </cell>
          <cell r="F1100" t="e">
            <v>#REF!</v>
          </cell>
          <cell r="G1100" t="e">
            <v>#REF!</v>
          </cell>
          <cell r="H1100" t="e">
            <v>#REF!</v>
          </cell>
          <cell r="I1100" t="e">
            <v>#REF!</v>
          </cell>
          <cell r="J1100" t="e">
            <v>#REF!</v>
          </cell>
          <cell r="K1100" t="e">
            <v>#REF!</v>
          </cell>
          <cell r="L1100" t="e">
            <v>#REF!</v>
          </cell>
          <cell r="M1100" t="e">
            <v>#REF!</v>
          </cell>
          <cell r="N1100" t="e">
            <v>#REF!</v>
          </cell>
          <cell r="O1100" t="e">
            <v>#REF!</v>
          </cell>
          <cell r="P1100" t="e">
            <v>#REF!</v>
          </cell>
          <cell r="Q1100" t="e">
            <v>#REF!</v>
          </cell>
          <cell r="R1100" t="e">
            <v>#REF!</v>
          </cell>
        </row>
        <row r="1101">
          <cell r="A1101" t="e">
            <v>#REF!</v>
          </cell>
          <cell r="B1101" t="e">
            <v>#REF!</v>
          </cell>
          <cell r="C1101" t="e">
            <v>#REF!</v>
          </cell>
          <cell r="D1101" t="e">
            <v>#REF!</v>
          </cell>
          <cell r="E1101" t="e">
            <v>#REF!</v>
          </cell>
          <cell r="F1101" t="e">
            <v>#REF!</v>
          </cell>
          <cell r="G1101" t="e">
            <v>#REF!</v>
          </cell>
          <cell r="H1101" t="e">
            <v>#REF!</v>
          </cell>
          <cell r="I1101" t="e">
            <v>#REF!</v>
          </cell>
          <cell r="J1101" t="e">
            <v>#REF!</v>
          </cell>
          <cell r="K1101" t="e">
            <v>#REF!</v>
          </cell>
          <cell r="L1101" t="e">
            <v>#REF!</v>
          </cell>
          <cell r="M1101" t="e">
            <v>#REF!</v>
          </cell>
          <cell r="N1101" t="e">
            <v>#REF!</v>
          </cell>
          <cell r="O1101" t="e">
            <v>#REF!</v>
          </cell>
          <cell r="P1101" t="e">
            <v>#REF!</v>
          </cell>
          <cell r="Q1101" t="e">
            <v>#REF!</v>
          </cell>
          <cell r="R1101" t="e">
            <v>#REF!</v>
          </cell>
        </row>
        <row r="1102">
          <cell r="A1102" t="e">
            <v>#REF!</v>
          </cell>
          <cell r="B1102" t="e">
            <v>#REF!</v>
          </cell>
          <cell r="C1102" t="e">
            <v>#REF!</v>
          </cell>
          <cell r="D1102" t="e">
            <v>#REF!</v>
          </cell>
          <cell r="E1102" t="e">
            <v>#REF!</v>
          </cell>
          <cell r="F1102" t="e">
            <v>#REF!</v>
          </cell>
          <cell r="G1102" t="e">
            <v>#REF!</v>
          </cell>
          <cell r="H1102" t="e">
            <v>#REF!</v>
          </cell>
          <cell r="I1102" t="e">
            <v>#REF!</v>
          </cell>
          <cell r="J1102" t="e">
            <v>#REF!</v>
          </cell>
          <cell r="K1102" t="e">
            <v>#REF!</v>
          </cell>
          <cell r="L1102" t="e">
            <v>#REF!</v>
          </cell>
          <cell r="M1102" t="e">
            <v>#REF!</v>
          </cell>
          <cell r="N1102" t="e">
            <v>#REF!</v>
          </cell>
          <cell r="O1102" t="e">
            <v>#REF!</v>
          </cell>
          <cell r="P1102" t="e">
            <v>#REF!</v>
          </cell>
          <cell r="Q1102" t="e">
            <v>#REF!</v>
          </cell>
          <cell r="R1102" t="e">
            <v>#REF!</v>
          </cell>
        </row>
        <row r="1103">
          <cell r="A1103" t="e">
            <v>#REF!</v>
          </cell>
          <cell r="B1103" t="e">
            <v>#REF!</v>
          </cell>
          <cell r="C1103" t="e">
            <v>#REF!</v>
          </cell>
          <cell r="D1103" t="e">
            <v>#REF!</v>
          </cell>
          <cell r="E1103" t="e">
            <v>#REF!</v>
          </cell>
          <cell r="F1103" t="e">
            <v>#REF!</v>
          </cell>
          <cell r="G1103" t="e">
            <v>#REF!</v>
          </cell>
          <cell r="H1103" t="e">
            <v>#REF!</v>
          </cell>
          <cell r="I1103" t="e">
            <v>#REF!</v>
          </cell>
          <cell r="J1103" t="e">
            <v>#REF!</v>
          </cell>
          <cell r="K1103" t="e">
            <v>#REF!</v>
          </cell>
          <cell r="L1103" t="e">
            <v>#REF!</v>
          </cell>
          <cell r="M1103" t="e">
            <v>#REF!</v>
          </cell>
          <cell r="N1103" t="e">
            <v>#REF!</v>
          </cell>
          <cell r="O1103" t="e">
            <v>#REF!</v>
          </cell>
          <cell r="P1103" t="e">
            <v>#REF!</v>
          </cell>
          <cell r="Q1103" t="e">
            <v>#REF!</v>
          </cell>
          <cell r="R1103" t="e">
            <v>#REF!</v>
          </cell>
        </row>
        <row r="1104">
          <cell r="A1104" t="e">
            <v>#REF!</v>
          </cell>
          <cell r="B1104" t="e">
            <v>#REF!</v>
          </cell>
          <cell r="C1104" t="e">
            <v>#REF!</v>
          </cell>
          <cell r="D1104" t="e">
            <v>#REF!</v>
          </cell>
          <cell r="E1104" t="e">
            <v>#REF!</v>
          </cell>
          <cell r="F1104" t="e">
            <v>#REF!</v>
          </cell>
          <cell r="G1104" t="e">
            <v>#REF!</v>
          </cell>
          <cell r="H1104" t="e">
            <v>#REF!</v>
          </cell>
          <cell r="I1104" t="e">
            <v>#REF!</v>
          </cell>
          <cell r="J1104" t="e">
            <v>#REF!</v>
          </cell>
          <cell r="K1104" t="e">
            <v>#REF!</v>
          </cell>
          <cell r="L1104" t="e">
            <v>#REF!</v>
          </cell>
          <cell r="M1104" t="e">
            <v>#REF!</v>
          </cell>
          <cell r="N1104" t="e">
            <v>#REF!</v>
          </cell>
          <cell r="O1104" t="e">
            <v>#REF!</v>
          </cell>
          <cell r="P1104" t="e">
            <v>#REF!</v>
          </cell>
          <cell r="Q1104" t="e">
            <v>#REF!</v>
          </cell>
          <cell r="R1104" t="e">
            <v>#REF!</v>
          </cell>
        </row>
        <row r="1105">
          <cell r="A1105" t="e">
            <v>#REF!</v>
          </cell>
          <cell r="B1105" t="e">
            <v>#REF!</v>
          </cell>
          <cell r="C1105" t="e">
            <v>#REF!</v>
          </cell>
          <cell r="D1105" t="e">
            <v>#REF!</v>
          </cell>
          <cell r="E1105" t="e">
            <v>#REF!</v>
          </cell>
          <cell r="F1105" t="e">
            <v>#REF!</v>
          </cell>
          <cell r="G1105" t="e">
            <v>#REF!</v>
          </cell>
          <cell r="H1105" t="e">
            <v>#REF!</v>
          </cell>
          <cell r="I1105" t="e">
            <v>#REF!</v>
          </cell>
          <cell r="J1105" t="e">
            <v>#REF!</v>
          </cell>
          <cell r="K1105" t="e">
            <v>#REF!</v>
          </cell>
          <cell r="L1105" t="e">
            <v>#REF!</v>
          </cell>
          <cell r="M1105" t="e">
            <v>#REF!</v>
          </cell>
          <cell r="N1105" t="e">
            <v>#REF!</v>
          </cell>
          <cell r="O1105" t="e">
            <v>#REF!</v>
          </cell>
          <cell r="P1105" t="e">
            <v>#REF!</v>
          </cell>
          <cell r="Q1105" t="e">
            <v>#REF!</v>
          </cell>
          <cell r="R1105" t="e">
            <v>#REF!</v>
          </cell>
        </row>
        <row r="1106">
          <cell r="A1106" t="e">
            <v>#REF!</v>
          </cell>
          <cell r="B1106" t="e">
            <v>#REF!</v>
          </cell>
          <cell r="C1106" t="e">
            <v>#REF!</v>
          </cell>
          <cell r="D1106" t="e">
            <v>#REF!</v>
          </cell>
          <cell r="E1106" t="e">
            <v>#REF!</v>
          </cell>
          <cell r="F1106" t="e">
            <v>#REF!</v>
          </cell>
          <cell r="G1106" t="e">
            <v>#REF!</v>
          </cell>
          <cell r="H1106" t="e">
            <v>#REF!</v>
          </cell>
          <cell r="I1106" t="e">
            <v>#REF!</v>
          </cell>
          <cell r="J1106" t="e">
            <v>#REF!</v>
          </cell>
          <cell r="K1106" t="e">
            <v>#REF!</v>
          </cell>
          <cell r="L1106" t="e">
            <v>#REF!</v>
          </cell>
          <cell r="M1106" t="e">
            <v>#REF!</v>
          </cell>
          <cell r="N1106" t="e">
            <v>#REF!</v>
          </cell>
          <cell r="O1106" t="e">
            <v>#REF!</v>
          </cell>
          <cell r="P1106" t="e">
            <v>#REF!</v>
          </cell>
          <cell r="Q1106" t="e">
            <v>#REF!</v>
          </cell>
          <cell r="R1106" t="e">
            <v>#REF!</v>
          </cell>
        </row>
        <row r="1107">
          <cell r="A1107" t="e">
            <v>#REF!</v>
          </cell>
          <cell r="B1107" t="e">
            <v>#REF!</v>
          </cell>
          <cell r="C1107" t="e">
            <v>#REF!</v>
          </cell>
          <cell r="D1107" t="e">
            <v>#REF!</v>
          </cell>
          <cell r="E1107" t="e">
            <v>#REF!</v>
          </cell>
          <cell r="F1107" t="e">
            <v>#REF!</v>
          </cell>
          <cell r="G1107" t="e">
            <v>#REF!</v>
          </cell>
          <cell r="H1107" t="e">
            <v>#REF!</v>
          </cell>
          <cell r="I1107" t="e">
            <v>#REF!</v>
          </cell>
          <cell r="J1107" t="e">
            <v>#REF!</v>
          </cell>
          <cell r="K1107" t="e">
            <v>#REF!</v>
          </cell>
          <cell r="L1107" t="e">
            <v>#REF!</v>
          </cell>
          <cell r="M1107" t="e">
            <v>#REF!</v>
          </cell>
          <cell r="N1107" t="e">
            <v>#REF!</v>
          </cell>
          <cell r="O1107" t="e">
            <v>#REF!</v>
          </cell>
          <cell r="P1107" t="e">
            <v>#REF!</v>
          </cell>
          <cell r="Q1107" t="e">
            <v>#REF!</v>
          </cell>
          <cell r="R1107" t="e">
            <v>#REF!</v>
          </cell>
        </row>
        <row r="1108">
          <cell r="A1108" t="e">
            <v>#REF!</v>
          </cell>
          <cell r="B1108" t="e">
            <v>#REF!</v>
          </cell>
          <cell r="C1108" t="e">
            <v>#REF!</v>
          </cell>
          <cell r="D1108" t="e">
            <v>#REF!</v>
          </cell>
          <cell r="E1108" t="e">
            <v>#REF!</v>
          </cell>
          <cell r="F1108" t="e">
            <v>#REF!</v>
          </cell>
          <cell r="G1108" t="e">
            <v>#REF!</v>
          </cell>
          <cell r="H1108" t="e">
            <v>#REF!</v>
          </cell>
          <cell r="I1108" t="e">
            <v>#REF!</v>
          </cell>
          <cell r="J1108" t="e">
            <v>#REF!</v>
          </cell>
          <cell r="K1108" t="e">
            <v>#REF!</v>
          </cell>
          <cell r="L1108" t="e">
            <v>#REF!</v>
          </cell>
          <cell r="M1108" t="e">
            <v>#REF!</v>
          </cell>
          <cell r="N1108" t="e">
            <v>#REF!</v>
          </cell>
          <cell r="O1108" t="e">
            <v>#REF!</v>
          </cell>
          <cell r="P1108" t="e">
            <v>#REF!</v>
          </cell>
          <cell r="Q1108" t="e">
            <v>#REF!</v>
          </cell>
          <cell r="R1108" t="e">
            <v>#REF!</v>
          </cell>
        </row>
        <row r="1109">
          <cell r="A1109" t="e">
            <v>#REF!</v>
          </cell>
          <cell r="B1109" t="e">
            <v>#REF!</v>
          </cell>
          <cell r="C1109" t="e">
            <v>#REF!</v>
          </cell>
          <cell r="D1109" t="e">
            <v>#REF!</v>
          </cell>
          <cell r="E1109" t="e">
            <v>#REF!</v>
          </cell>
          <cell r="F1109" t="e">
            <v>#REF!</v>
          </cell>
          <cell r="G1109" t="e">
            <v>#REF!</v>
          </cell>
          <cell r="H1109" t="e">
            <v>#REF!</v>
          </cell>
          <cell r="I1109" t="e">
            <v>#REF!</v>
          </cell>
          <cell r="J1109" t="e">
            <v>#REF!</v>
          </cell>
          <cell r="K1109" t="e">
            <v>#REF!</v>
          </cell>
          <cell r="L1109" t="e">
            <v>#REF!</v>
          </cell>
          <cell r="M1109" t="e">
            <v>#REF!</v>
          </cell>
          <cell r="N1109" t="e">
            <v>#REF!</v>
          </cell>
          <cell r="O1109" t="e">
            <v>#REF!</v>
          </cell>
          <cell r="P1109" t="e">
            <v>#REF!</v>
          </cell>
          <cell r="Q1109" t="e">
            <v>#REF!</v>
          </cell>
          <cell r="R1109" t="e">
            <v>#REF!</v>
          </cell>
        </row>
        <row r="1110">
          <cell r="A1110" t="e">
            <v>#REF!</v>
          </cell>
          <cell r="B1110" t="e">
            <v>#REF!</v>
          </cell>
          <cell r="C1110" t="e">
            <v>#REF!</v>
          </cell>
          <cell r="D1110" t="e">
            <v>#REF!</v>
          </cell>
          <cell r="E1110" t="e">
            <v>#REF!</v>
          </cell>
          <cell r="F1110" t="e">
            <v>#REF!</v>
          </cell>
          <cell r="G1110" t="e">
            <v>#REF!</v>
          </cell>
          <cell r="H1110" t="e">
            <v>#REF!</v>
          </cell>
          <cell r="I1110" t="e">
            <v>#REF!</v>
          </cell>
          <cell r="J1110" t="e">
            <v>#REF!</v>
          </cell>
          <cell r="K1110" t="e">
            <v>#REF!</v>
          </cell>
          <cell r="L1110" t="e">
            <v>#REF!</v>
          </cell>
          <cell r="M1110" t="e">
            <v>#REF!</v>
          </cell>
          <cell r="N1110" t="e">
            <v>#REF!</v>
          </cell>
          <cell r="O1110" t="e">
            <v>#REF!</v>
          </cell>
          <cell r="P1110" t="e">
            <v>#REF!</v>
          </cell>
          <cell r="Q1110" t="e">
            <v>#REF!</v>
          </cell>
          <cell r="R1110" t="e">
            <v>#REF!</v>
          </cell>
        </row>
        <row r="1111">
          <cell r="A1111" t="e">
            <v>#REF!</v>
          </cell>
          <cell r="B1111" t="e">
            <v>#REF!</v>
          </cell>
          <cell r="C1111" t="e">
            <v>#REF!</v>
          </cell>
          <cell r="D1111" t="e">
            <v>#REF!</v>
          </cell>
          <cell r="E1111" t="e">
            <v>#REF!</v>
          </cell>
          <cell r="F1111" t="e">
            <v>#REF!</v>
          </cell>
          <cell r="G1111" t="e">
            <v>#REF!</v>
          </cell>
          <cell r="H1111" t="e">
            <v>#REF!</v>
          </cell>
          <cell r="I1111" t="e">
            <v>#REF!</v>
          </cell>
          <cell r="J1111" t="e">
            <v>#REF!</v>
          </cell>
          <cell r="K1111" t="e">
            <v>#REF!</v>
          </cell>
          <cell r="L1111" t="e">
            <v>#REF!</v>
          </cell>
          <cell r="M1111" t="e">
            <v>#REF!</v>
          </cell>
          <cell r="N1111" t="e">
            <v>#REF!</v>
          </cell>
          <cell r="O1111" t="e">
            <v>#REF!</v>
          </cell>
          <cell r="P1111" t="e">
            <v>#REF!</v>
          </cell>
          <cell r="Q1111" t="e">
            <v>#REF!</v>
          </cell>
          <cell r="R1111" t="e">
            <v>#REF!</v>
          </cell>
        </row>
        <row r="1112">
          <cell r="A1112" t="e">
            <v>#REF!</v>
          </cell>
          <cell r="B1112" t="e">
            <v>#REF!</v>
          </cell>
          <cell r="C1112" t="e">
            <v>#REF!</v>
          </cell>
          <cell r="D1112" t="e">
            <v>#REF!</v>
          </cell>
          <cell r="E1112" t="e">
            <v>#REF!</v>
          </cell>
          <cell r="F1112" t="e">
            <v>#REF!</v>
          </cell>
          <cell r="G1112" t="e">
            <v>#REF!</v>
          </cell>
          <cell r="H1112" t="e">
            <v>#REF!</v>
          </cell>
          <cell r="I1112" t="e">
            <v>#REF!</v>
          </cell>
          <cell r="J1112" t="e">
            <v>#REF!</v>
          </cell>
          <cell r="K1112" t="e">
            <v>#REF!</v>
          </cell>
          <cell r="L1112" t="e">
            <v>#REF!</v>
          </cell>
          <cell r="M1112" t="e">
            <v>#REF!</v>
          </cell>
          <cell r="N1112" t="e">
            <v>#REF!</v>
          </cell>
          <cell r="O1112" t="e">
            <v>#REF!</v>
          </cell>
          <cell r="P1112" t="e">
            <v>#REF!</v>
          </cell>
          <cell r="Q1112" t="e">
            <v>#REF!</v>
          </cell>
          <cell r="R1112" t="e">
            <v>#REF!</v>
          </cell>
        </row>
        <row r="1113">
          <cell r="A1113" t="e">
            <v>#REF!</v>
          </cell>
          <cell r="B1113" t="e">
            <v>#REF!</v>
          </cell>
          <cell r="C1113" t="e">
            <v>#REF!</v>
          </cell>
          <cell r="D1113" t="e">
            <v>#REF!</v>
          </cell>
          <cell r="E1113" t="e">
            <v>#REF!</v>
          </cell>
          <cell r="F1113" t="e">
            <v>#REF!</v>
          </cell>
          <cell r="G1113" t="e">
            <v>#REF!</v>
          </cell>
          <cell r="H1113" t="e">
            <v>#REF!</v>
          </cell>
          <cell r="I1113" t="e">
            <v>#REF!</v>
          </cell>
          <cell r="J1113" t="e">
            <v>#REF!</v>
          </cell>
          <cell r="K1113" t="e">
            <v>#REF!</v>
          </cell>
          <cell r="L1113" t="e">
            <v>#REF!</v>
          </cell>
          <cell r="M1113" t="e">
            <v>#REF!</v>
          </cell>
          <cell r="N1113" t="e">
            <v>#REF!</v>
          </cell>
          <cell r="O1113" t="e">
            <v>#REF!</v>
          </cell>
          <cell r="P1113" t="e">
            <v>#REF!</v>
          </cell>
          <cell r="Q1113" t="e">
            <v>#REF!</v>
          </cell>
          <cell r="R1113" t="e">
            <v>#REF!</v>
          </cell>
        </row>
        <row r="1114">
          <cell r="A1114" t="e">
            <v>#REF!</v>
          </cell>
          <cell r="B1114" t="e">
            <v>#REF!</v>
          </cell>
          <cell r="C1114" t="e">
            <v>#REF!</v>
          </cell>
          <cell r="D1114" t="e">
            <v>#REF!</v>
          </cell>
          <cell r="E1114" t="e">
            <v>#REF!</v>
          </cell>
          <cell r="F1114" t="e">
            <v>#REF!</v>
          </cell>
          <cell r="G1114" t="e">
            <v>#REF!</v>
          </cell>
          <cell r="H1114" t="e">
            <v>#REF!</v>
          </cell>
          <cell r="I1114" t="e">
            <v>#REF!</v>
          </cell>
          <cell r="J1114" t="e">
            <v>#REF!</v>
          </cell>
          <cell r="K1114" t="e">
            <v>#REF!</v>
          </cell>
          <cell r="L1114" t="e">
            <v>#REF!</v>
          </cell>
          <cell r="M1114" t="e">
            <v>#REF!</v>
          </cell>
          <cell r="N1114" t="e">
            <v>#REF!</v>
          </cell>
          <cell r="O1114" t="e">
            <v>#REF!</v>
          </cell>
          <cell r="P1114" t="e">
            <v>#REF!</v>
          </cell>
          <cell r="Q1114" t="e">
            <v>#REF!</v>
          </cell>
          <cell r="R1114" t="e">
            <v>#REF!</v>
          </cell>
        </row>
        <row r="1115">
          <cell r="A1115" t="e">
            <v>#REF!</v>
          </cell>
          <cell r="B1115" t="e">
            <v>#REF!</v>
          </cell>
          <cell r="C1115" t="e">
            <v>#REF!</v>
          </cell>
          <cell r="D1115" t="e">
            <v>#REF!</v>
          </cell>
          <cell r="E1115" t="e">
            <v>#REF!</v>
          </cell>
          <cell r="F1115" t="e">
            <v>#REF!</v>
          </cell>
          <cell r="G1115" t="e">
            <v>#REF!</v>
          </cell>
          <cell r="H1115" t="e">
            <v>#REF!</v>
          </cell>
          <cell r="I1115" t="e">
            <v>#REF!</v>
          </cell>
          <cell r="J1115" t="e">
            <v>#REF!</v>
          </cell>
          <cell r="K1115" t="e">
            <v>#REF!</v>
          </cell>
          <cell r="L1115" t="e">
            <v>#REF!</v>
          </cell>
          <cell r="M1115" t="e">
            <v>#REF!</v>
          </cell>
          <cell r="N1115" t="e">
            <v>#REF!</v>
          </cell>
          <cell r="O1115" t="e">
            <v>#REF!</v>
          </cell>
          <cell r="P1115" t="e">
            <v>#REF!</v>
          </cell>
          <cell r="Q1115" t="e">
            <v>#REF!</v>
          </cell>
          <cell r="R1115" t="e">
            <v>#REF!</v>
          </cell>
        </row>
        <row r="1116">
          <cell r="A1116" t="e">
            <v>#REF!</v>
          </cell>
          <cell r="B1116" t="e">
            <v>#REF!</v>
          </cell>
          <cell r="C1116" t="e">
            <v>#REF!</v>
          </cell>
          <cell r="D1116" t="e">
            <v>#REF!</v>
          </cell>
          <cell r="E1116" t="e">
            <v>#REF!</v>
          </cell>
          <cell r="F1116" t="e">
            <v>#REF!</v>
          </cell>
          <cell r="G1116" t="e">
            <v>#REF!</v>
          </cell>
          <cell r="H1116" t="e">
            <v>#REF!</v>
          </cell>
          <cell r="I1116" t="e">
            <v>#REF!</v>
          </cell>
          <cell r="J1116" t="e">
            <v>#REF!</v>
          </cell>
          <cell r="K1116" t="e">
            <v>#REF!</v>
          </cell>
          <cell r="L1116" t="e">
            <v>#REF!</v>
          </cell>
          <cell r="M1116" t="e">
            <v>#REF!</v>
          </cell>
          <cell r="N1116" t="e">
            <v>#REF!</v>
          </cell>
          <cell r="O1116" t="e">
            <v>#REF!</v>
          </cell>
          <cell r="P1116" t="e">
            <v>#REF!</v>
          </cell>
          <cell r="Q1116" t="e">
            <v>#REF!</v>
          </cell>
          <cell r="R1116" t="e">
            <v>#REF!</v>
          </cell>
        </row>
        <row r="1117">
          <cell r="A1117" t="e">
            <v>#REF!</v>
          </cell>
          <cell r="B1117" t="e">
            <v>#REF!</v>
          </cell>
          <cell r="C1117" t="e">
            <v>#REF!</v>
          </cell>
          <cell r="D1117" t="e">
            <v>#REF!</v>
          </cell>
          <cell r="E1117" t="e">
            <v>#REF!</v>
          </cell>
          <cell r="F1117" t="e">
            <v>#REF!</v>
          </cell>
          <cell r="G1117" t="e">
            <v>#REF!</v>
          </cell>
          <cell r="H1117" t="e">
            <v>#REF!</v>
          </cell>
          <cell r="I1117" t="e">
            <v>#REF!</v>
          </cell>
          <cell r="J1117" t="e">
            <v>#REF!</v>
          </cell>
          <cell r="K1117" t="e">
            <v>#REF!</v>
          </cell>
          <cell r="L1117" t="e">
            <v>#REF!</v>
          </cell>
          <cell r="M1117" t="e">
            <v>#REF!</v>
          </cell>
          <cell r="N1117" t="e">
            <v>#REF!</v>
          </cell>
          <cell r="O1117" t="e">
            <v>#REF!</v>
          </cell>
          <cell r="P1117" t="e">
            <v>#REF!</v>
          </cell>
          <cell r="Q1117" t="e">
            <v>#REF!</v>
          </cell>
          <cell r="R1117" t="e">
            <v>#REF!</v>
          </cell>
        </row>
        <row r="1118">
          <cell r="A1118" t="e">
            <v>#REF!</v>
          </cell>
          <cell r="B1118" t="e">
            <v>#REF!</v>
          </cell>
          <cell r="C1118" t="e">
            <v>#REF!</v>
          </cell>
          <cell r="D1118" t="e">
            <v>#REF!</v>
          </cell>
          <cell r="E1118" t="e">
            <v>#REF!</v>
          </cell>
          <cell r="F1118" t="e">
            <v>#REF!</v>
          </cell>
          <cell r="G1118" t="e">
            <v>#REF!</v>
          </cell>
          <cell r="H1118" t="e">
            <v>#REF!</v>
          </cell>
          <cell r="I1118" t="e">
            <v>#REF!</v>
          </cell>
          <cell r="J1118" t="e">
            <v>#REF!</v>
          </cell>
          <cell r="K1118" t="e">
            <v>#REF!</v>
          </cell>
          <cell r="L1118" t="e">
            <v>#REF!</v>
          </cell>
          <cell r="M1118" t="e">
            <v>#REF!</v>
          </cell>
          <cell r="N1118" t="e">
            <v>#REF!</v>
          </cell>
          <cell r="O1118" t="e">
            <v>#REF!</v>
          </cell>
          <cell r="P1118" t="e">
            <v>#REF!</v>
          </cell>
          <cell r="Q1118" t="e">
            <v>#REF!</v>
          </cell>
          <cell r="R1118" t="e">
            <v>#REF!</v>
          </cell>
        </row>
        <row r="1119">
          <cell r="A1119" t="e">
            <v>#REF!</v>
          </cell>
          <cell r="B1119" t="e">
            <v>#REF!</v>
          </cell>
          <cell r="C1119" t="e">
            <v>#REF!</v>
          </cell>
          <cell r="D1119" t="e">
            <v>#REF!</v>
          </cell>
          <cell r="E1119" t="e">
            <v>#REF!</v>
          </cell>
          <cell r="F1119" t="e">
            <v>#REF!</v>
          </cell>
          <cell r="G1119" t="e">
            <v>#REF!</v>
          </cell>
          <cell r="H1119" t="e">
            <v>#REF!</v>
          </cell>
          <cell r="I1119" t="e">
            <v>#REF!</v>
          </cell>
          <cell r="J1119" t="e">
            <v>#REF!</v>
          </cell>
          <cell r="K1119" t="e">
            <v>#REF!</v>
          </cell>
          <cell r="L1119" t="e">
            <v>#REF!</v>
          </cell>
          <cell r="M1119" t="e">
            <v>#REF!</v>
          </cell>
          <cell r="N1119" t="e">
            <v>#REF!</v>
          </cell>
          <cell r="O1119" t="e">
            <v>#REF!</v>
          </cell>
          <cell r="P1119" t="e">
            <v>#REF!</v>
          </cell>
          <cell r="Q1119" t="e">
            <v>#REF!</v>
          </cell>
          <cell r="R1119" t="e">
            <v>#REF!</v>
          </cell>
        </row>
        <row r="1120">
          <cell r="A1120" t="e">
            <v>#REF!</v>
          </cell>
          <cell r="B1120" t="e">
            <v>#REF!</v>
          </cell>
          <cell r="C1120" t="e">
            <v>#REF!</v>
          </cell>
          <cell r="D1120" t="e">
            <v>#REF!</v>
          </cell>
          <cell r="E1120" t="e">
            <v>#REF!</v>
          </cell>
          <cell r="F1120" t="e">
            <v>#REF!</v>
          </cell>
          <cell r="G1120" t="e">
            <v>#REF!</v>
          </cell>
          <cell r="H1120" t="e">
            <v>#REF!</v>
          </cell>
          <cell r="I1120" t="e">
            <v>#REF!</v>
          </cell>
          <cell r="J1120" t="e">
            <v>#REF!</v>
          </cell>
          <cell r="K1120" t="e">
            <v>#REF!</v>
          </cell>
          <cell r="L1120" t="e">
            <v>#REF!</v>
          </cell>
          <cell r="M1120" t="e">
            <v>#REF!</v>
          </cell>
          <cell r="N1120" t="e">
            <v>#REF!</v>
          </cell>
          <cell r="O1120" t="e">
            <v>#REF!</v>
          </cell>
          <cell r="P1120" t="e">
            <v>#REF!</v>
          </cell>
          <cell r="Q1120" t="e">
            <v>#REF!</v>
          </cell>
          <cell r="R1120" t="e">
            <v>#REF!</v>
          </cell>
        </row>
        <row r="1121">
          <cell r="A1121" t="e">
            <v>#REF!</v>
          </cell>
          <cell r="B1121" t="e">
            <v>#REF!</v>
          </cell>
          <cell r="C1121" t="e">
            <v>#REF!</v>
          </cell>
          <cell r="D1121" t="e">
            <v>#REF!</v>
          </cell>
          <cell r="E1121" t="e">
            <v>#REF!</v>
          </cell>
          <cell r="F1121" t="e">
            <v>#REF!</v>
          </cell>
          <cell r="G1121" t="e">
            <v>#REF!</v>
          </cell>
          <cell r="H1121" t="e">
            <v>#REF!</v>
          </cell>
          <cell r="I1121" t="e">
            <v>#REF!</v>
          </cell>
          <cell r="J1121" t="e">
            <v>#REF!</v>
          </cell>
          <cell r="K1121" t="e">
            <v>#REF!</v>
          </cell>
          <cell r="L1121" t="e">
            <v>#REF!</v>
          </cell>
          <cell r="M1121" t="e">
            <v>#REF!</v>
          </cell>
          <cell r="N1121" t="e">
            <v>#REF!</v>
          </cell>
          <cell r="O1121" t="e">
            <v>#REF!</v>
          </cell>
          <cell r="P1121" t="e">
            <v>#REF!</v>
          </cell>
          <cell r="Q1121" t="e">
            <v>#REF!</v>
          </cell>
          <cell r="R1121" t="e">
            <v>#REF!</v>
          </cell>
        </row>
        <row r="1122">
          <cell r="A1122" t="e">
            <v>#REF!</v>
          </cell>
          <cell r="B1122" t="e">
            <v>#REF!</v>
          </cell>
          <cell r="C1122" t="e">
            <v>#REF!</v>
          </cell>
          <cell r="D1122" t="e">
            <v>#REF!</v>
          </cell>
          <cell r="E1122" t="e">
            <v>#REF!</v>
          </cell>
          <cell r="F1122" t="e">
            <v>#REF!</v>
          </cell>
          <cell r="G1122" t="e">
            <v>#REF!</v>
          </cell>
          <cell r="H1122" t="e">
            <v>#REF!</v>
          </cell>
          <cell r="I1122" t="e">
            <v>#REF!</v>
          </cell>
          <cell r="J1122" t="e">
            <v>#REF!</v>
          </cell>
          <cell r="K1122" t="e">
            <v>#REF!</v>
          </cell>
          <cell r="L1122" t="e">
            <v>#REF!</v>
          </cell>
          <cell r="M1122" t="e">
            <v>#REF!</v>
          </cell>
          <cell r="N1122" t="e">
            <v>#REF!</v>
          </cell>
          <cell r="O1122" t="e">
            <v>#REF!</v>
          </cell>
          <cell r="P1122" t="e">
            <v>#REF!</v>
          </cell>
          <cell r="Q1122" t="e">
            <v>#REF!</v>
          </cell>
          <cell r="R1122" t="e">
            <v>#REF!</v>
          </cell>
        </row>
        <row r="1123">
          <cell r="A1123" t="e">
            <v>#REF!</v>
          </cell>
          <cell r="B1123" t="e">
            <v>#REF!</v>
          </cell>
          <cell r="C1123" t="e">
            <v>#REF!</v>
          </cell>
          <cell r="D1123" t="e">
            <v>#REF!</v>
          </cell>
          <cell r="E1123" t="e">
            <v>#REF!</v>
          </cell>
          <cell r="F1123" t="e">
            <v>#REF!</v>
          </cell>
          <cell r="G1123" t="e">
            <v>#REF!</v>
          </cell>
          <cell r="H1123" t="e">
            <v>#REF!</v>
          </cell>
          <cell r="I1123" t="e">
            <v>#REF!</v>
          </cell>
          <cell r="J1123" t="e">
            <v>#REF!</v>
          </cell>
          <cell r="K1123" t="e">
            <v>#REF!</v>
          </cell>
          <cell r="L1123" t="e">
            <v>#REF!</v>
          </cell>
          <cell r="M1123" t="e">
            <v>#REF!</v>
          </cell>
          <cell r="N1123" t="e">
            <v>#REF!</v>
          </cell>
          <cell r="O1123" t="e">
            <v>#REF!</v>
          </cell>
          <cell r="P1123" t="e">
            <v>#REF!</v>
          </cell>
          <cell r="Q1123" t="e">
            <v>#REF!</v>
          </cell>
          <cell r="R1123" t="e">
            <v>#REF!</v>
          </cell>
        </row>
        <row r="1124">
          <cell r="A1124" t="e">
            <v>#REF!</v>
          </cell>
          <cell r="B1124" t="e">
            <v>#REF!</v>
          </cell>
          <cell r="C1124" t="e">
            <v>#REF!</v>
          </cell>
          <cell r="D1124" t="e">
            <v>#REF!</v>
          </cell>
          <cell r="E1124" t="e">
            <v>#REF!</v>
          </cell>
          <cell r="F1124" t="e">
            <v>#REF!</v>
          </cell>
          <cell r="G1124" t="e">
            <v>#REF!</v>
          </cell>
          <cell r="H1124" t="e">
            <v>#REF!</v>
          </cell>
          <cell r="I1124" t="e">
            <v>#REF!</v>
          </cell>
          <cell r="J1124" t="e">
            <v>#REF!</v>
          </cell>
          <cell r="K1124" t="e">
            <v>#REF!</v>
          </cell>
          <cell r="L1124" t="e">
            <v>#REF!</v>
          </cell>
          <cell r="M1124" t="e">
            <v>#REF!</v>
          </cell>
          <cell r="N1124" t="e">
            <v>#REF!</v>
          </cell>
          <cell r="O1124" t="e">
            <v>#REF!</v>
          </cell>
          <cell r="P1124" t="e">
            <v>#REF!</v>
          </cell>
          <cell r="Q1124" t="e">
            <v>#REF!</v>
          </cell>
          <cell r="R1124" t="e">
            <v>#REF!</v>
          </cell>
        </row>
        <row r="1125">
          <cell r="A1125" t="e">
            <v>#REF!</v>
          </cell>
          <cell r="B1125" t="e">
            <v>#REF!</v>
          </cell>
          <cell r="C1125" t="e">
            <v>#REF!</v>
          </cell>
          <cell r="D1125" t="e">
            <v>#REF!</v>
          </cell>
          <cell r="E1125" t="e">
            <v>#REF!</v>
          </cell>
          <cell r="F1125" t="e">
            <v>#REF!</v>
          </cell>
          <cell r="G1125" t="e">
            <v>#REF!</v>
          </cell>
          <cell r="H1125" t="e">
            <v>#REF!</v>
          </cell>
          <cell r="I1125" t="e">
            <v>#REF!</v>
          </cell>
          <cell r="J1125" t="e">
            <v>#REF!</v>
          </cell>
          <cell r="K1125" t="e">
            <v>#REF!</v>
          </cell>
          <cell r="L1125" t="e">
            <v>#REF!</v>
          </cell>
          <cell r="M1125" t="e">
            <v>#REF!</v>
          </cell>
          <cell r="N1125" t="e">
            <v>#REF!</v>
          </cell>
          <cell r="O1125" t="e">
            <v>#REF!</v>
          </cell>
          <cell r="P1125" t="e">
            <v>#REF!</v>
          </cell>
          <cell r="Q1125" t="e">
            <v>#REF!</v>
          </cell>
          <cell r="R1125" t="e">
            <v>#REF!</v>
          </cell>
        </row>
        <row r="1126">
          <cell r="A1126" t="e">
            <v>#REF!</v>
          </cell>
          <cell r="B1126" t="e">
            <v>#REF!</v>
          </cell>
          <cell r="C1126" t="e">
            <v>#REF!</v>
          </cell>
          <cell r="D1126" t="e">
            <v>#REF!</v>
          </cell>
          <cell r="E1126" t="e">
            <v>#REF!</v>
          </cell>
          <cell r="F1126" t="e">
            <v>#REF!</v>
          </cell>
          <cell r="G1126" t="e">
            <v>#REF!</v>
          </cell>
          <cell r="H1126" t="e">
            <v>#REF!</v>
          </cell>
          <cell r="I1126" t="e">
            <v>#REF!</v>
          </cell>
          <cell r="J1126" t="e">
            <v>#REF!</v>
          </cell>
          <cell r="K1126" t="e">
            <v>#REF!</v>
          </cell>
          <cell r="L1126" t="e">
            <v>#REF!</v>
          </cell>
          <cell r="M1126" t="e">
            <v>#REF!</v>
          </cell>
          <cell r="N1126" t="e">
            <v>#REF!</v>
          </cell>
          <cell r="O1126" t="e">
            <v>#REF!</v>
          </cell>
          <cell r="P1126" t="e">
            <v>#REF!</v>
          </cell>
          <cell r="Q1126" t="e">
            <v>#REF!</v>
          </cell>
          <cell r="R1126" t="e">
            <v>#REF!</v>
          </cell>
        </row>
        <row r="1127">
          <cell r="A1127" t="e">
            <v>#REF!</v>
          </cell>
          <cell r="B1127" t="e">
            <v>#REF!</v>
          </cell>
          <cell r="C1127" t="e">
            <v>#REF!</v>
          </cell>
          <cell r="D1127" t="e">
            <v>#REF!</v>
          </cell>
          <cell r="E1127" t="e">
            <v>#REF!</v>
          </cell>
          <cell r="F1127" t="e">
            <v>#REF!</v>
          </cell>
          <cell r="G1127" t="e">
            <v>#REF!</v>
          </cell>
          <cell r="H1127" t="e">
            <v>#REF!</v>
          </cell>
          <cell r="I1127" t="e">
            <v>#REF!</v>
          </cell>
          <cell r="J1127" t="e">
            <v>#REF!</v>
          </cell>
          <cell r="K1127" t="e">
            <v>#REF!</v>
          </cell>
          <cell r="L1127" t="e">
            <v>#REF!</v>
          </cell>
          <cell r="M1127" t="e">
            <v>#REF!</v>
          </cell>
          <cell r="N1127" t="e">
            <v>#REF!</v>
          </cell>
          <cell r="O1127" t="e">
            <v>#REF!</v>
          </cell>
          <cell r="P1127" t="e">
            <v>#REF!</v>
          </cell>
          <cell r="Q1127" t="e">
            <v>#REF!</v>
          </cell>
          <cell r="R1127" t="e">
            <v>#REF!</v>
          </cell>
        </row>
        <row r="1128">
          <cell r="A1128" t="e">
            <v>#REF!</v>
          </cell>
          <cell r="B1128" t="e">
            <v>#REF!</v>
          </cell>
          <cell r="C1128" t="e">
            <v>#REF!</v>
          </cell>
          <cell r="D1128" t="e">
            <v>#REF!</v>
          </cell>
          <cell r="E1128" t="e">
            <v>#REF!</v>
          </cell>
          <cell r="F1128" t="e">
            <v>#REF!</v>
          </cell>
          <cell r="G1128" t="e">
            <v>#REF!</v>
          </cell>
          <cell r="H1128" t="e">
            <v>#REF!</v>
          </cell>
          <cell r="I1128" t="e">
            <v>#REF!</v>
          </cell>
          <cell r="J1128" t="e">
            <v>#REF!</v>
          </cell>
          <cell r="K1128" t="e">
            <v>#REF!</v>
          </cell>
          <cell r="L1128" t="e">
            <v>#REF!</v>
          </cell>
          <cell r="M1128" t="e">
            <v>#REF!</v>
          </cell>
          <cell r="N1128" t="e">
            <v>#REF!</v>
          </cell>
          <cell r="O1128" t="e">
            <v>#REF!</v>
          </cell>
          <cell r="P1128" t="e">
            <v>#REF!</v>
          </cell>
          <cell r="Q1128" t="e">
            <v>#REF!</v>
          </cell>
          <cell r="R1128" t="e">
            <v>#REF!</v>
          </cell>
        </row>
        <row r="1129">
          <cell r="A1129" t="e">
            <v>#REF!</v>
          </cell>
          <cell r="B1129" t="e">
            <v>#REF!</v>
          </cell>
          <cell r="C1129" t="e">
            <v>#REF!</v>
          </cell>
          <cell r="D1129" t="e">
            <v>#REF!</v>
          </cell>
          <cell r="E1129" t="e">
            <v>#REF!</v>
          </cell>
          <cell r="F1129" t="e">
            <v>#REF!</v>
          </cell>
          <cell r="G1129" t="e">
            <v>#REF!</v>
          </cell>
          <cell r="H1129" t="e">
            <v>#REF!</v>
          </cell>
          <cell r="I1129" t="e">
            <v>#REF!</v>
          </cell>
          <cell r="J1129" t="e">
            <v>#REF!</v>
          </cell>
          <cell r="K1129" t="e">
            <v>#REF!</v>
          </cell>
          <cell r="L1129" t="e">
            <v>#REF!</v>
          </cell>
          <cell r="M1129" t="e">
            <v>#REF!</v>
          </cell>
          <cell r="N1129" t="e">
            <v>#REF!</v>
          </cell>
          <cell r="O1129" t="e">
            <v>#REF!</v>
          </cell>
          <cell r="P1129" t="e">
            <v>#REF!</v>
          </cell>
          <cell r="Q1129" t="e">
            <v>#REF!</v>
          </cell>
          <cell r="R1129" t="e">
            <v>#REF!</v>
          </cell>
        </row>
        <row r="1130">
          <cell r="A1130" t="e">
            <v>#REF!</v>
          </cell>
          <cell r="B1130" t="e">
            <v>#REF!</v>
          </cell>
          <cell r="C1130" t="e">
            <v>#REF!</v>
          </cell>
          <cell r="D1130" t="e">
            <v>#REF!</v>
          </cell>
          <cell r="E1130" t="e">
            <v>#REF!</v>
          </cell>
          <cell r="F1130" t="e">
            <v>#REF!</v>
          </cell>
          <cell r="G1130" t="e">
            <v>#REF!</v>
          </cell>
          <cell r="H1130" t="e">
            <v>#REF!</v>
          </cell>
          <cell r="I1130" t="e">
            <v>#REF!</v>
          </cell>
          <cell r="J1130" t="e">
            <v>#REF!</v>
          </cell>
          <cell r="K1130" t="e">
            <v>#REF!</v>
          </cell>
          <cell r="L1130" t="e">
            <v>#REF!</v>
          </cell>
          <cell r="M1130" t="e">
            <v>#REF!</v>
          </cell>
          <cell r="N1130" t="e">
            <v>#REF!</v>
          </cell>
          <cell r="O1130" t="e">
            <v>#REF!</v>
          </cell>
          <cell r="P1130" t="e">
            <v>#REF!</v>
          </cell>
          <cell r="Q1130" t="e">
            <v>#REF!</v>
          </cell>
          <cell r="R1130" t="e">
            <v>#REF!</v>
          </cell>
        </row>
        <row r="1131">
          <cell r="A1131" t="e">
            <v>#REF!</v>
          </cell>
          <cell r="B1131" t="e">
            <v>#REF!</v>
          </cell>
          <cell r="C1131" t="e">
            <v>#REF!</v>
          </cell>
          <cell r="D1131" t="e">
            <v>#REF!</v>
          </cell>
          <cell r="E1131" t="e">
            <v>#REF!</v>
          </cell>
          <cell r="F1131" t="e">
            <v>#REF!</v>
          </cell>
          <cell r="G1131" t="e">
            <v>#REF!</v>
          </cell>
          <cell r="H1131" t="e">
            <v>#REF!</v>
          </cell>
          <cell r="I1131" t="e">
            <v>#REF!</v>
          </cell>
          <cell r="J1131" t="e">
            <v>#REF!</v>
          </cell>
          <cell r="K1131" t="e">
            <v>#REF!</v>
          </cell>
          <cell r="L1131" t="e">
            <v>#REF!</v>
          </cell>
          <cell r="M1131" t="e">
            <v>#REF!</v>
          </cell>
          <cell r="N1131" t="e">
            <v>#REF!</v>
          </cell>
          <cell r="O1131" t="e">
            <v>#REF!</v>
          </cell>
          <cell r="P1131" t="e">
            <v>#REF!</v>
          </cell>
          <cell r="Q1131" t="e">
            <v>#REF!</v>
          </cell>
          <cell r="R1131" t="e">
            <v>#REF!</v>
          </cell>
        </row>
        <row r="1132">
          <cell r="A1132" t="e">
            <v>#REF!</v>
          </cell>
          <cell r="B1132" t="e">
            <v>#REF!</v>
          </cell>
          <cell r="C1132" t="e">
            <v>#REF!</v>
          </cell>
          <cell r="D1132" t="e">
            <v>#REF!</v>
          </cell>
          <cell r="E1132" t="e">
            <v>#REF!</v>
          </cell>
          <cell r="F1132" t="e">
            <v>#REF!</v>
          </cell>
          <cell r="G1132" t="e">
            <v>#REF!</v>
          </cell>
          <cell r="H1132" t="e">
            <v>#REF!</v>
          </cell>
          <cell r="I1132" t="e">
            <v>#REF!</v>
          </cell>
          <cell r="J1132" t="e">
            <v>#REF!</v>
          </cell>
          <cell r="K1132" t="e">
            <v>#REF!</v>
          </cell>
          <cell r="L1132" t="e">
            <v>#REF!</v>
          </cell>
          <cell r="M1132" t="e">
            <v>#REF!</v>
          </cell>
          <cell r="N1132" t="e">
            <v>#REF!</v>
          </cell>
          <cell r="O1132" t="e">
            <v>#REF!</v>
          </cell>
          <cell r="P1132" t="e">
            <v>#REF!</v>
          </cell>
          <cell r="Q1132" t="e">
            <v>#REF!</v>
          </cell>
          <cell r="R1132" t="e">
            <v>#REF!</v>
          </cell>
        </row>
        <row r="1133">
          <cell r="A1133" t="e">
            <v>#REF!</v>
          </cell>
          <cell r="B1133" t="e">
            <v>#REF!</v>
          </cell>
          <cell r="C1133" t="e">
            <v>#REF!</v>
          </cell>
          <cell r="D1133" t="e">
            <v>#REF!</v>
          </cell>
          <cell r="E1133" t="e">
            <v>#REF!</v>
          </cell>
          <cell r="F1133" t="e">
            <v>#REF!</v>
          </cell>
          <cell r="G1133" t="e">
            <v>#REF!</v>
          </cell>
          <cell r="H1133" t="e">
            <v>#REF!</v>
          </cell>
          <cell r="I1133" t="e">
            <v>#REF!</v>
          </cell>
          <cell r="J1133" t="e">
            <v>#REF!</v>
          </cell>
          <cell r="K1133" t="e">
            <v>#REF!</v>
          </cell>
          <cell r="L1133" t="e">
            <v>#REF!</v>
          </cell>
          <cell r="M1133" t="e">
            <v>#REF!</v>
          </cell>
          <cell r="N1133" t="e">
            <v>#REF!</v>
          </cell>
          <cell r="O1133" t="e">
            <v>#REF!</v>
          </cell>
          <cell r="P1133" t="e">
            <v>#REF!</v>
          </cell>
          <cell r="Q1133" t="e">
            <v>#REF!</v>
          </cell>
          <cell r="R1133" t="e">
            <v>#REF!</v>
          </cell>
        </row>
        <row r="1134">
          <cell r="A1134" t="e">
            <v>#REF!</v>
          </cell>
          <cell r="B1134" t="e">
            <v>#REF!</v>
          </cell>
          <cell r="C1134" t="e">
            <v>#REF!</v>
          </cell>
          <cell r="D1134" t="e">
            <v>#REF!</v>
          </cell>
          <cell r="E1134" t="e">
            <v>#REF!</v>
          </cell>
          <cell r="F1134" t="e">
            <v>#REF!</v>
          </cell>
          <cell r="G1134" t="e">
            <v>#REF!</v>
          </cell>
          <cell r="H1134" t="e">
            <v>#REF!</v>
          </cell>
          <cell r="I1134" t="e">
            <v>#REF!</v>
          </cell>
          <cell r="J1134" t="e">
            <v>#REF!</v>
          </cell>
          <cell r="K1134" t="e">
            <v>#REF!</v>
          </cell>
          <cell r="L1134" t="e">
            <v>#REF!</v>
          </cell>
          <cell r="M1134" t="e">
            <v>#REF!</v>
          </cell>
          <cell r="N1134" t="e">
            <v>#REF!</v>
          </cell>
          <cell r="O1134" t="e">
            <v>#REF!</v>
          </cell>
          <cell r="P1134" t="e">
            <v>#REF!</v>
          </cell>
          <cell r="Q1134" t="e">
            <v>#REF!</v>
          </cell>
          <cell r="R1134" t="e">
            <v>#REF!</v>
          </cell>
        </row>
        <row r="1135">
          <cell r="A1135" t="e">
            <v>#REF!</v>
          </cell>
          <cell r="B1135" t="e">
            <v>#REF!</v>
          </cell>
          <cell r="C1135" t="e">
            <v>#REF!</v>
          </cell>
          <cell r="D1135" t="e">
            <v>#REF!</v>
          </cell>
          <cell r="E1135" t="e">
            <v>#REF!</v>
          </cell>
          <cell r="F1135" t="e">
            <v>#REF!</v>
          </cell>
          <cell r="G1135" t="e">
            <v>#REF!</v>
          </cell>
          <cell r="H1135" t="e">
            <v>#REF!</v>
          </cell>
          <cell r="I1135" t="e">
            <v>#REF!</v>
          </cell>
          <cell r="J1135" t="e">
            <v>#REF!</v>
          </cell>
          <cell r="K1135" t="e">
            <v>#REF!</v>
          </cell>
          <cell r="L1135" t="e">
            <v>#REF!</v>
          </cell>
          <cell r="M1135" t="e">
            <v>#REF!</v>
          </cell>
          <cell r="N1135" t="e">
            <v>#REF!</v>
          </cell>
          <cell r="O1135" t="e">
            <v>#REF!</v>
          </cell>
          <cell r="P1135" t="e">
            <v>#REF!</v>
          </cell>
          <cell r="Q1135" t="e">
            <v>#REF!</v>
          </cell>
          <cell r="R1135" t="e">
            <v>#REF!</v>
          </cell>
        </row>
        <row r="1136">
          <cell r="A1136" t="e">
            <v>#REF!</v>
          </cell>
          <cell r="B1136" t="e">
            <v>#REF!</v>
          </cell>
          <cell r="C1136" t="e">
            <v>#REF!</v>
          </cell>
          <cell r="D1136" t="e">
            <v>#REF!</v>
          </cell>
          <cell r="E1136" t="e">
            <v>#REF!</v>
          </cell>
          <cell r="F1136" t="e">
            <v>#REF!</v>
          </cell>
          <cell r="G1136" t="e">
            <v>#REF!</v>
          </cell>
          <cell r="H1136" t="e">
            <v>#REF!</v>
          </cell>
          <cell r="I1136" t="e">
            <v>#REF!</v>
          </cell>
          <cell r="J1136" t="e">
            <v>#REF!</v>
          </cell>
          <cell r="K1136" t="e">
            <v>#REF!</v>
          </cell>
          <cell r="L1136" t="e">
            <v>#REF!</v>
          </cell>
          <cell r="M1136" t="e">
            <v>#REF!</v>
          </cell>
          <cell r="N1136" t="e">
            <v>#REF!</v>
          </cell>
          <cell r="O1136" t="e">
            <v>#REF!</v>
          </cell>
          <cell r="P1136" t="e">
            <v>#REF!</v>
          </cell>
          <cell r="Q1136" t="e">
            <v>#REF!</v>
          </cell>
          <cell r="R1136" t="e">
            <v>#REF!</v>
          </cell>
        </row>
        <row r="1137">
          <cell r="A1137" t="e">
            <v>#REF!</v>
          </cell>
          <cell r="B1137" t="e">
            <v>#REF!</v>
          </cell>
          <cell r="C1137" t="e">
            <v>#REF!</v>
          </cell>
          <cell r="D1137" t="e">
            <v>#REF!</v>
          </cell>
          <cell r="E1137" t="e">
            <v>#REF!</v>
          </cell>
          <cell r="F1137" t="e">
            <v>#REF!</v>
          </cell>
          <cell r="G1137" t="e">
            <v>#REF!</v>
          </cell>
          <cell r="H1137" t="e">
            <v>#REF!</v>
          </cell>
          <cell r="I1137" t="e">
            <v>#REF!</v>
          </cell>
          <cell r="J1137" t="e">
            <v>#REF!</v>
          </cell>
          <cell r="K1137" t="e">
            <v>#REF!</v>
          </cell>
          <cell r="L1137" t="e">
            <v>#REF!</v>
          </cell>
          <cell r="M1137" t="e">
            <v>#REF!</v>
          </cell>
          <cell r="N1137" t="e">
            <v>#REF!</v>
          </cell>
          <cell r="O1137" t="e">
            <v>#REF!</v>
          </cell>
          <cell r="P1137" t="e">
            <v>#REF!</v>
          </cell>
          <cell r="Q1137" t="e">
            <v>#REF!</v>
          </cell>
          <cell r="R1137" t="e">
            <v>#REF!</v>
          </cell>
        </row>
        <row r="1138">
          <cell r="A1138" t="e">
            <v>#REF!</v>
          </cell>
          <cell r="B1138" t="e">
            <v>#REF!</v>
          </cell>
          <cell r="C1138" t="e">
            <v>#REF!</v>
          </cell>
          <cell r="D1138" t="e">
            <v>#REF!</v>
          </cell>
          <cell r="E1138" t="e">
            <v>#REF!</v>
          </cell>
          <cell r="F1138" t="e">
            <v>#REF!</v>
          </cell>
          <cell r="G1138" t="e">
            <v>#REF!</v>
          </cell>
          <cell r="H1138" t="e">
            <v>#REF!</v>
          </cell>
          <cell r="I1138" t="e">
            <v>#REF!</v>
          </cell>
          <cell r="J1138" t="e">
            <v>#REF!</v>
          </cell>
          <cell r="K1138" t="e">
            <v>#REF!</v>
          </cell>
          <cell r="L1138" t="e">
            <v>#REF!</v>
          </cell>
          <cell r="M1138" t="e">
            <v>#REF!</v>
          </cell>
          <cell r="N1138" t="e">
            <v>#REF!</v>
          </cell>
          <cell r="O1138" t="e">
            <v>#REF!</v>
          </cell>
          <cell r="P1138" t="e">
            <v>#REF!</v>
          </cell>
          <cell r="Q1138" t="e">
            <v>#REF!</v>
          </cell>
          <cell r="R1138" t="e">
            <v>#REF!</v>
          </cell>
        </row>
        <row r="1139">
          <cell r="A1139" t="e">
            <v>#REF!</v>
          </cell>
          <cell r="B1139" t="e">
            <v>#REF!</v>
          </cell>
          <cell r="C1139" t="e">
            <v>#REF!</v>
          </cell>
          <cell r="D1139" t="e">
            <v>#REF!</v>
          </cell>
          <cell r="E1139" t="e">
            <v>#REF!</v>
          </cell>
          <cell r="F1139" t="e">
            <v>#REF!</v>
          </cell>
          <cell r="G1139" t="e">
            <v>#REF!</v>
          </cell>
          <cell r="H1139" t="e">
            <v>#REF!</v>
          </cell>
          <cell r="I1139" t="e">
            <v>#REF!</v>
          </cell>
          <cell r="J1139" t="e">
            <v>#REF!</v>
          </cell>
          <cell r="K1139" t="e">
            <v>#REF!</v>
          </cell>
          <cell r="L1139" t="e">
            <v>#REF!</v>
          </cell>
          <cell r="M1139" t="e">
            <v>#REF!</v>
          </cell>
          <cell r="N1139" t="e">
            <v>#REF!</v>
          </cell>
          <cell r="O1139" t="e">
            <v>#REF!</v>
          </cell>
          <cell r="P1139" t="e">
            <v>#REF!</v>
          </cell>
          <cell r="Q1139" t="e">
            <v>#REF!</v>
          </cell>
          <cell r="R1139" t="e">
            <v>#REF!</v>
          </cell>
        </row>
        <row r="1140">
          <cell r="A1140" t="e">
            <v>#REF!</v>
          </cell>
          <cell r="B1140" t="e">
            <v>#REF!</v>
          </cell>
          <cell r="C1140" t="e">
            <v>#REF!</v>
          </cell>
          <cell r="D1140" t="e">
            <v>#REF!</v>
          </cell>
          <cell r="E1140" t="e">
            <v>#REF!</v>
          </cell>
          <cell r="F1140" t="e">
            <v>#REF!</v>
          </cell>
          <cell r="G1140" t="e">
            <v>#REF!</v>
          </cell>
          <cell r="H1140" t="e">
            <v>#REF!</v>
          </cell>
          <cell r="I1140" t="e">
            <v>#REF!</v>
          </cell>
          <cell r="J1140" t="e">
            <v>#REF!</v>
          </cell>
          <cell r="K1140" t="e">
            <v>#REF!</v>
          </cell>
          <cell r="L1140" t="e">
            <v>#REF!</v>
          </cell>
          <cell r="M1140" t="e">
            <v>#REF!</v>
          </cell>
          <cell r="N1140" t="e">
            <v>#REF!</v>
          </cell>
          <cell r="O1140" t="e">
            <v>#REF!</v>
          </cell>
          <cell r="P1140" t="e">
            <v>#REF!</v>
          </cell>
          <cell r="Q1140" t="e">
            <v>#REF!</v>
          </cell>
          <cell r="R1140" t="e">
            <v>#REF!</v>
          </cell>
        </row>
        <row r="1141">
          <cell r="A1141" t="e">
            <v>#REF!</v>
          </cell>
          <cell r="B1141" t="e">
            <v>#REF!</v>
          </cell>
          <cell r="C1141" t="e">
            <v>#REF!</v>
          </cell>
          <cell r="D1141" t="e">
            <v>#REF!</v>
          </cell>
          <cell r="E1141" t="e">
            <v>#REF!</v>
          </cell>
          <cell r="F1141" t="e">
            <v>#REF!</v>
          </cell>
          <cell r="G1141" t="e">
            <v>#REF!</v>
          </cell>
          <cell r="H1141" t="e">
            <v>#REF!</v>
          </cell>
          <cell r="I1141" t="e">
            <v>#REF!</v>
          </cell>
          <cell r="J1141" t="e">
            <v>#REF!</v>
          </cell>
          <cell r="K1141" t="e">
            <v>#REF!</v>
          </cell>
          <cell r="L1141" t="e">
            <v>#REF!</v>
          </cell>
          <cell r="M1141" t="e">
            <v>#REF!</v>
          </cell>
          <cell r="N1141" t="e">
            <v>#REF!</v>
          </cell>
          <cell r="O1141" t="e">
            <v>#REF!</v>
          </cell>
          <cell r="P1141" t="e">
            <v>#REF!</v>
          </cell>
          <cell r="Q1141" t="e">
            <v>#REF!</v>
          </cell>
          <cell r="R1141" t="e">
            <v>#REF!</v>
          </cell>
        </row>
        <row r="1142">
          <cell r="A1142" t="e">
            <v>#REF!</v>
          </cell>
          <cell r="B1142" t="e">
            <v>#REF!</v>
          </cell>
          <cell r="C1142" t="e">
            <v>#REF!</v>
          </cell>
          <cell r="D1142" t="e">
            <v>#REF!</v>
          </cell>
          <cell r="E1142" t="e">
            <v>#REF!</v>
          </cell>
          <cell r="F1142" t="e">
            <v>#REF!</v>
          </cell>
          <cell r="G1142" t="e">
            <v>#REF!</v>
          </cell>
          <cell r="H1142" t="e">
            <v>#REF!</v>
          </cell>
          <cell r="I1142" t="e">
            <v>#REF!</v>
          </cell>
          <cell r="J1142" t="e">
            <v>#REF!</v>
          </cell>
          <cell r="K1142" t="e">
            <v>#REF!</v>
          </cell>
          <cell r="L1142" t="e">
            <v>#REF!</v>
          </cell>
          <cell r="M1142" t="e">
            <v>#REF!</v>
          </cell>
          <cell r="N1142" t="e">
            <v>#REF!</v>
          </cell>
          <cell r="O1142" t="e">
            <v>#REF!</v>
          </cell>
          <cell r="P1142" t="e">
            <v>#REF!</v>
          </cell>
          <cell r="Q1142" t="e">
            <v>#REF!</v>
          </cell>
          <cell r="R1142" t="e">
            <v>#REF!</v>
          </cell>
        </row>
        <row r="1143">
          <cell r="A1143" t="e">
            <v>#REF!</v>
          </cell>
          <cell r="B1143" t="e">
            <v>#REF!</v>
          </cell>
          <cell r="C1143" t="e">
            <v>#REF!</v>
          </cell>
          <cell r="D1143" t="e">
            <v>#REF!</v>
          </cell>
          <cell r="E1143" t="e">
            <v>#REF!</v>
          </cell>
          <cell r="F1143" t="e">
            <v>#REF!</v>
          </cell>
          <cell r="G1143" t="e">
            <v>#REF!</v>
          </cell>
          <cell r="H1143" t="e">
            <v>#REF!</v>
          </cell>
          <cell r="I1143" t="e">
            <v>#REF!</v>
          </cell>
          <cell r="J1143" t="e">
            <v>#REF!</v>
          </cell>
          <cell r="K1143" t="e">
            <v>#REF!</v>
          </cell>
          <cell r="L1143" t="e">
            <v>#REF!</v>
          </cell>
          <cell r="M1143" t="e">
            <v>#REF!</v>
          </cell>
          <cell r="N1143" t="e">
            <v>#REF!</v>
          </cell>
          <cell r="O1143" t="e">
            <v>#REF!</v>
          </cell>
          <cell r="P1143" t="e">
            <v>#REF!</v>
          </cell>
          <cell r="Q1143" t="e">
            <v>#REF!</v>
          </cell>
          <cell r="R1143" t="e">
            <v>#REF!</v>
          </cell>
        </row>
        <row r="1144">
          <cell r="A1144" t="e">
            <v>#REF!</v>
          </cell>
          <cell r="B1144" t="e">
            <v>#REF!</v>
          </cell>
          <cell r="C1144" t="e">
            <v>#REF!</v>
          </cell>
          <cell r="D1144" t="e">
            <v>#REF!</v>
          </cell>
          <cell r="E1144" t="e">
            <v>#REF!</v>
          </cell>
          <cell r="F1144" t="e">
            <v>#REF!</v>
          </cell>
          <cell r="G1144" t="e">
            <v>#REF!</v>
          </cell>
          <cell r="H1144" t="e">
            <v>#REF!</v>
          </cell>
          <cell r="I1144" t="e">
            <v>#REF!</v>
          </cell>
          <cell r="J1144" t="e">
            <v>#REF!</v>
          </cell>
          <cell r="K1144" t="e">
            <v>#REF!</v>
          </cell>
          <cell r="L1144" t="e">
            <v>#REF!</v>
          </cell>
          <cell r="M1144" t="e">
            <v>#REF!</v>
          </cell>
          <cell r="N1144" t="e">
            <v>#REF!</v>
          </cell>
          <cell r="O1144" t="e">
            <v>#REF!</v>
          </cell>
          <cell r="P1144" t="e">
            <v>#REF!</v>
          </cell>
          <cell r="Q1144" t="e">
            <v>#REF!</v>
          </cell>
          <cell r="R1144" t="e">
            <v>#REF!</v>
          </cell>
        </row>
        <row r="1145">
          <cell r="A1145" t="e">
            <v>#REF!</v>
          </cell>
          <cell r="B1145" t="e">
            <v>#REF!</v>
          </cell>
          <cell r="C1145" t="e">
            <v>#REF!</v>
          </cell>
          <cell r="D1145" t="e">
            <v>#REF!</v>
          </cell>
          <cell r="E1145" t="e">
            <v>#REF!</v>
          </cell>
          <cell r="F1145" t="e">
            <v>#REF!</v>
          </cell>
          <cell r="G1145" t="e">
            <v>#REF!</v>
          </cell>
          <cell r="H1145" t="e">
            <v>#REF!</v>
          </cell>
          <cell r="I1145" t="e">
            <v>#REF!</v>
          </cell>
          <cell r="J1145" t="e">
            <v>#REF!</v>
          </cell>
          <cell r="K1145" t="e">
            <v>#REF!</v>
          </cell>
          <cell r="L1145" t="e">
            <v>#REF!</v>
          </cell>
          <cell r="M1145" t="e">
            <v>#REF!</v>
          </cell>
          <cell r="N1145" t="e">
            <v>#REF!</v>
          </cell>
          <cell r="O1145" t="e">
            <v>#REF!</v>
          </cell>
          <cell r="P1145" t="e">
            <v>#REF!</v>
          </cell>
          <cell r="Q1145" t="e">
            <v>#REF!</v>
          </cell>
          <cell r="R1145" t="e">
            <v>#REF!</v>
          </cell>
        </row>
        <row r="1146">
          <cell r="A1146" t="e">
            <v>#REF!</v>
          </cell>
          <cell r="B1146" t="e">
            <v>#REF!</v>
          </cell>
          <cell r="C1146" t="e">
            <v>#REF!</v>
          </cell>
          <cell r="D1146" t="e">
            <v>#REF!</v>
          </cell>
          <cell r="E1146" t="e">
            <v>#REF!</v>
          </cell>
          <cell r="F1146" t="e">
            <v>#REF!</v>
          </cell>
          <cell r="G1146" t="e">
            <v>#REF!</v>
          </cell>
          <cell r="H1146" t="e">
            <v>#REF!</v>
          </cell>
          <cell r="I1146" t="e">
            <v>#REF!</v>
          </cell>
          <cell r="J1146" t="e">
            <v>#REF!</v>
          </cell>
          <cell r="K1146" t="e">
            <v>#REF!</v>
          </cell>
          <cell r="L1146" t="e">
            <v>#REF!</v>
          </cell>
          <cell r="M1146" t="e">
            <v>#REF!</v>
          </cell>
          <cell r="N1146" t="e">
            <v>#REF!</v>
          </cell>
          <cell r="O1146" t="e">
            <v>#REF!</v>
          </cell>
          <cell r="P1146" t="e">
            <v>#REF!</v>
          </cell>
          <cell r="Q1146" t="e">
            <v>#REF!</v>
          </cell>
          <cell r="R1146" t="e">
            <v>#REF!</v>
          </cell>
        </row>
        <row r="1147">
          <cell r="A1147" t="e">
            <v>#REF!</v>
          </cell>
          <cell r="B1147" t="e">
            <v>#REF!</v>
          </cell>
          <cell r="C1147" t="e">
            <v>#REF!</v>
          </cell>
          <cell r="D1147" t="e">
            <v>#REF!</v>
          </cell>
          <cell r="E1147" t="e">
            <v>#REF!</v>
          </cell>
          <cell r="F1147" t="e">
            <v>#REF!</v>
          </cell>
          <cell r="G1147" t="e">
            <v>#REF!</v>
          </cell>
          <cell r="H1147" t="e">
            <v>#REF!</v>
          </cell>
          <cell r="I1147" t="e">
            <v>#REF!</v>
          </cell>
          <cell r="J1147" t="e">
            <v>#REF!</v>
          </cell>
          <cell r="K1147" t="e">
            <v>#REF!</v>
          </cell>
          <cell r="L1147" t="e">
            <v>#REF!</v>
          </cell>
          <cell r="M1147" t="e">
            <v>#REF!</v>
          </cell>
          <cell r="N1147" t="e">
            <v>#REF!</v>
          </cell>
          <cell r="O1147" t="e">
            <v>#REF!</v>
          </cell>
          <cell r="P1147" t="e">
            <v>#REF!</v>
          </cell>
          <cell r="Q1147" t="e">
            <v>#REF!</v>
          </cell>
          <cell r="R1147" t="e">
            <v>#REF!</v>
          </cell>
        </row>
        <row r="1148">
          <cell r="A1148" t="e">
            <v>#REF!</v>
          </cell>
          <cell r="B1148" t="e">
            <v>#REF!</v>
          </cell>
          <cell r="C1148" t="e">
            <v>#REF!</v>
          </cell>
          <cell r="D1148" t="e">
            <v>#REF!</v>
          </cell>
          <cell r="E1148" t="e">
            <v>#REF!</v>
          </cell>
          <cell r="F1148" t="e">
            <v>#REF!</v>
          </cell>
          <cell r="G1148" t="e">
            <v>#REF!</v>
          </cell>
          <cell r="H1148" t="e">
            <v>#REF!</v>
          </cell>
          <cell r="I1148" t="e">
            <v>#REF!</v>
          </cell>
          <cell r="J1148" t="e">
            <v>#REF!</v>
          </cell>
          <cell r="K1148" t="e">
            <v>#REF!</v>
          </cell>
          <cell r="L1148" t="e">
            <v>#REF!</v>
          </cell>
          <cell r="M1148" t="e">
            <v>#REF!</v>
          </cell>
          <cell r="N1148" t="e">
            <v>#REF!</v>
          </cell>
          <cell r="O1148" t="e">
            <v>#REF!</v>
          </cell>
          <cell r="P1148" t="e">
            <v>#REF!</v>
          </cell>
          <cell r="Q1148" t="e">
            <v>#REF!</v>
          </cell>
          <cell r="R1148" t="e">
            <v>#REF!</v>
          </cell>
        </row>
        <row r="1149">
          <cell r="A1149" t="e">
            <v>#REF!</v>
          </cell>
          <cell r="B1149" t="e">
            <v>#REF!</v>
          </cell>
          <cell r="C1149" t="e">
            <v>#REF!</v>
          </cell>
          <cell r="D1149" t="e">
            <v>#REF!</v>
          </cell>
          <cell r="E1149" t="e">
            <v>#REF!</v>
          </cell>
          <cell r="F1149" t="e">
            <v>#REF!</v>
          </cell>
          <cell r="G1149" t="e">
            <v>#REF!</v>
          </cell>
          <cell r="H1149" t="e">
            <v>#REF!</v>
          </cell>
          <cell r="I1149" t="e">
            <v>#REF!</v>
          </cell>
          <cell r="J1149" t="e">
            <v>#REF!</v>
          </cell>
          <cell r="K1149" t="e">
            <v>#REF!</v>
          </cell>
          <cell r="L1149" t="e">
            <v>#REF!</v>
          </cell>
          <cell r="M1149" t="e">
            <v>#REF!</v>
          </cell>
          <cell r="N1149" t="e">
            <v>#REF!</v>
          </cell>
          <cell r="O1149" t="e">
            <v>#REF!</v>
          </cell>
          <cell r="P1149" t="e">
            <v>#REF!</v>
          </cell>
          <cell r="Q1149" t="e">
            <v>#REF!</v>
          </cell>
          <cell r="R1149" t="e">
            <v>#REF!</v>
          </cell>
        </row>
        <row r="1150">
          <cell r="A1150" t="e">
            <v>#REF!</v>
          </cell>
          <cell r="B1150" t="e">
            <v>#REF!</v>
          </cell>
          <cell r="C1150" t="e">
            <v>#REF!</v>
          </cell>
          <cell r="D1150" t="e">
            <v>#REF!</v>
          </cell>
          <cell r="E1150" t="e">
            <v>#REF!</v>
          </cell>
          <cell r="F1150" t="e">
            <v>#REF!</v>
          </cell>
          <cell r="G1150" t="e">
            <v>#REF!</v>
          </cell>
          <cell r="H1150" t="e">
            <v>#REF!</v>
          </cell>
          <cell r="I1150" t="e">
            <v>#REF!</v>
          </cell>
          <cell r="J1150" t="e">
            <v>#REF!</v>
          </cell>
          <cell r="K1150" t="e">
            <v>#REF!</v>
          </cell>
          <cell r="L1150" t="e">
            <v>#REF!</v>
          </cell>
          <cell r="M1150" t="e">
            <v>#REF!</v>
          </cell>
          <cell r="N1150" t="e">
            <v>#REF!</v>
          </cell>
          <cell r="O1150" t="e">
            <v>#REF!</v>
          </cell>
          <cell r="P1150" t="e">
            <v>#REF!</v>
          </cell>
          <cell r="Q1150" t="e">
            <v>#REF!</v>
          </cell>
          <cell r="R1150" t="e">
            <v>#REF!</v>
          </cell>
        </row>
        <row r="1151">
          <cell r="A1151" t="e">
            <v>#REF!</v>
          </cell>
          <cell r="B1151" t="e">
            <v>#REF!</v>
          </cell>
          <cell r="C1151" t="e">
            <v>#REF!</v>
          </cell>
          <cell r="D1151" t="e">
            <v>#REF!</v>
          </cell>
          <cell r="E1151" t="e">
            <v>#REF!</v>
          </cell>
          <cell r="F1151" t="e">
            <v>#REF!</v>
          </cell>
          <cell r="G1151" t="e">
            <v>#REF!</v>
          </cell>
          <cell r="H1151" t="e">
            <v>#REF!</v>
          </cell>
          <cell r="I1151" t="e">
            <v>#REF!</v>
          </cell>
          <cell r="J1151" t="e">
            <v>#REF!</v>
          </cell>
          <cell r="K1151" t="e">
            <v>#REF!</v>
          </cell>
          <cell r="L1151" t="e">
            <v>#REF!</v>
          </cell>
          <cell r="M1151" t="e">
            <v>#REF!</v>
          </cell>
          <cell r="N1151" t="e">
            <v>#REF!</v>
          </cell>
          <cell r="O1151" t="e">
            <v>#REF!</v>
          </cell>
          <cell r="P1151" t="e">
            <v>#REF!</v>
          </cell>
          <cell r="Q1151" t="e">
            <v>#REF!</v>
          </cell>
          <cell r="R1151" t="e">
            <v>#REF!</v>
          </cell>
        </row>
        <row r="1152">
          <cell r="A1152" t="e">
            <v>#REF!</v>
          </cell>
          <cell r="B1152" t="e">
            <v>#REF!</v>
          </cell>
          <cell r="C1152" t="e">
            <v>#REF!</v>
          </cell>
          <cell r="D1152" t="e">
            <v>#REF!</v>
          </cell>
          <cell r="E1152" t="e">
            <v>#REF!</v>
          </cell>
          <cell r="F1152" t="e">
            <v>#REF!</v>
          </cell>
          <cell r="G1152" t="e">
            <v>#REF!</v>
          </cell>
          <cell r="H1152" t="e">
            <v>#REF!</v>
          </cell>
          <cell r="I1152" t="e">
            <v>#REF!</v>
          </cell>
          <cell r="J1152" t="e">
            <v>#REF!</v>
          </cell>
          <cell r="K1152" t="e">
            <v>#REF!</v>
          </cell>
          <cell r="L1152" t="e">
            <v>#REF!</v>
          </cell>
          <cell r="M1152" t="e">
            <v>#REF!</v>
          </cell>
          <cell r="N1152" t="e">
            <v>#REF!</v>
          </cell>
          <cell r="O1152" t="e">
            <v>#REF!</v>
          </cell>
          <cell r="P1152" t="e">
            <v>#REF!</v>
          </cell>
          <cell r="Q1152" t="e">
            <v>#REF!</v>
          </cell>
          <cell r="R1152" t="e">
            <v>#REF!</v>
          </cell>
        </row>
        <row r="1153">
          <cell r="A1153" t="e">
            <v>#REF!</v>
          </cell>
          <cell r="B1153" t="e">
            <v>#REF!</v>
          </cell>
          <cell r="C1153" t="e">
            <v>#REF!</v>
          </cell>
          <cell r="D1153" t="e">
            <v>#REF!</v>
          </cell>
          <cell r="E1153" t="e">
            <v>#REF!</v>
          </cell>
          <cell r="F1153" t="e">
            <v>#REF!</v>
          </cell>
          <cell r="G1153" t="e">
            <v>#REF!</v>
          </cell>
          <cell r="H1153" t="e">
            <v>#REF!</v>
          </cell>
          <cell r="I1153" t="e">
            <v>#REF!</v>
          </cell>
          <cell r="J1153" t="e">
            <v>#REF!</v>
          </cell>
          <cell r="K1153" t="e">
            <v>#REF!</v>
          </cell>
          <cell r="L1153" t="e">
            <v>#REF!</v>
          </cell>
          <cell r="M1153" t="e">
            <v>#REF!</v>
          </cell>
          <cell r="N1153" t="e">
            <v>#REF!</v>
          </cell>
          <cell r="O1153" t="e">
            <v>#REF!</v>
          </cell>
          <cell r="P1153" t="e">
            <v>#REF!</v>
          </cell>
          <cell r="Q1153" t="e">
            <v>#REF!</v>
          </cell>
          <cell r="R1153" t="e">
            <v>#REF!</v>
          </cell>
        </row>
        <row r="1154">
          <cell r="A1154" t="e">
            <v>#REF!</v>
          </cell>
          <cell r="B1154" t="e">
            <v>#REF!</v>
          </cell>
          <cell r="C1154" t="e">
            <v>#REF!</v>
          </cell>
          <cell r="D1154" t="e">
            <v>#REF!</v>
          </cell>
          <cell r="E1154" t="e">
            <v>#REF!</v>
          </cell>
          <cell r="F1154" t="e">
            <v>#REF!</v>
          </cell>
          <cell r="G1154" t="e">
            <v>#REF!</v>
          </cell>
          <cell r="H1154" t="e">
            <v>#REF!</v>
          </cell>
          <cell r="I1154" t="e">
            <v>#REF!</v>
          </cell>
          <cell r="J1154" t="e">
            <v>#REF!</v>
          </cell>
          <cell r="K1154" t="e">
            <v>#REF!</v>
          </cell>
          <cell r="L1154" t="e">
            <v>#REF!</v>
          </cell>
          <cell r="M1154" t="e">
            <v>#REF!</v>
          </cell>
          <cell r="N1154" t="e">
            <v>#REF!</v>
          </cell>
          <cell r="O1154" t="e">
            <v>#REF!</v>
          </cell>
          <cell r="P1154" t="e">
            <v>#REF!</v>
          </cell>
          <cell r="Q1154" t="e">
            <v>#REF!</v>
          </cell>
          <cell r="R1154" t="e">
            <v>#REF!</v>
          </cell>
        </row>
        <row r="1155">
          <cell r="A1155" t="e">
            <v>#REF!</v>
          </cell>
          <cell r="B1155" t="e">
            <v>#REF!</v>
          </cell>
          <cell r="C1155" t="e">
            <v>#REF!</v>
          </cell>
          <cell r="D1155" t="e">
            <v>#REF!</v>
          </cell>
          <cell r="E1155" t="e">
            <v>#REF!</v>
          </cell>
          <cell r="F1155" t="e">
            <v>#REF!</v>
          </cell>
          <cell r="G1155" t="e">
            <v>#REF!</v>
          </cell>
          <cell r="H1155" t="e">
            <v>#REF!</v>
          </cell>
          <cell r="I1155" t="e">
            <v>#REF!</v>
          </cell>
          <cell r="J1155" t="e">
            <v>#REF!</v>
          </cell>
          <cell r="K1155" t="e">
            <v>#REF!</v>
          </cell>
          <cell r="L1155" t="e">
            <v>#REF!</v>
          </cell>
          <cell r="M1155" t="e">
            <v>#REF!</v>
          </cell>
          <cell r="N1155" t="e">
            <v>#REF!</v>
          </cell>
          <cell r="O1155" t="e">
            <v>#REF!</v>
          </cell>
          <cell r="P1155" t="e">
            <v>#REF!</v>
          </cell>
          <cell r="Q1155" t="e">
            <v>#REF!</v>
          </cell>
          <cell r="R1155" t="e">
            <v>#REF!</v>
          </cell>
        </row>
        <row r="1156">
          <cell r="A1156" t="e">
            <v>#REF!</v>
          </cell>
          <cell r="B1156" t="e">
            <v>#REF!</v>
          </cell>
          <cell r="C1156" t="e">
            <v>#REF!</v>
          </cell>
          <cell r="D1156" t="e">
            <v>#REF!</v>
          </cell>
          <cell r="E1156" t="e">
            <v>#REF!</v>
          </cell>
          <cell r="F1156" t="e">
            <v>#REF!</v>
          </cell>
          <cell r="G1156" t="e">
            <v>#REF!</v>
          </cell>
          <cell r="H1156" t="e">
            <v>#REF!</v>
          </cell>
          <cell r="I1156" t="e">
            <v>#REF!</v>
          </cell>
          <cell r="J1156" t="e">
            <v>#REF!</v>
          </cell>
          <cell r="K1156" t="e">
            <v>#REF!</v>
          </cell>
          <cell r="L1156" t="e">
            <v>#REF!</v>
          </cell>
          <cell r="M1156" t="e">
            <v>#REF!</v>
          </cell>
          <cell r="N1156" t="e">
            <v>#REF!</v>
          </cell>
          <cell r="O1156" t="e">
            <v>#REF!</v>
          </cell>
          <cell r="P1156" t="e">
            <v>#REF!</v>
          </cell>
          <cell r="Q1156" t="e">
            <v>#REF!</v>
          </cell>
          <cell r="R1156" t="e">
            <v>#REF!</v>
          </cell>
        </row>
        <row r="1157">
          <cell r="A1157" t="e">
            <v>#REF!</v>
          </cell>
          <cell r="B1157" t="e">
            <v>#REF!</v>
          </cell>
          <cell r="C1157" t="e">
            <v>#REF!</v>
          </cell>
          <cell r="D1157" t="e">
            <v>#REF!</v>
          </cell>
          <cell r="E1157" t="e">
            <v>#REF!</v>
          </cell>
          <cell r="F1157" t="e">
            <v>#REF!</v>
          </cell>
          <cell r="G1157" t="e">
            <v>#REF!</v>
          </cell>
          <cell r="H1157" t="e">
            <v>#REF!</v>
          </cell>
          <cell r="I1157" t="e">
            <v>#REF!</v>
          </cell>
          <cell r="J1157" t="e">
            <v>#REF!</v>
          </cell>
          <cell r="K1157" t="e">
            <v>#REF!</v>
          </cell>
          <cell r="L1157" t="e">
            <v>#REF!</v>
          </cell>
          <cell r="M1157" t="e">
            <v>#REF!</v>
          </cell>
          <cell r="N1157" t="e">
            <v>#REF!</v>
          </cell>
          <cell r="O1157" t="e">
            <v>#REF!</v>
          </cell>
          <cell r="P1157" t="e">
            <v>#REF!</v>
          </cell>
          <cell r="Q1157" t="e">
            <v>#REF!</v>
          </cell>
          <cell r="R1157" t="e">
            <v>#REF!</v>
          </cell>
        </row>
        <row r="1158">
          <cell r="A1158" t="e">
            <v>#REF!</v>
          </cell>
          <cell r="B1158" t="e">
            <v>#REF!</v>
          </cell>
          <cell r="C1158" t="e">
            <v>#REF!</v>
          </cell>
          <cell r="D1158" t="e">
            <v>#REF!</v>
          </cell>
          <cell r="E1158" t="e">
            <v>#REF!</v>
          </cell>
          <cell r="F1158" t="e">
            <v>#REF!</v>
          </cell>
          <cell r="G1158" t="e">
            <v>#REF!</v>
          </cell>
          <cell r="H1158" t="e">
            <v>#REF!</v>
          </cell>
          <cell r="I1158" t="e">
            <v>#REF!</v>
          </cell>
          <cell r="J1158" t="e">
            <v>#REF!</v>
          </cell>
          <cell r="K1158" t="e">
            <v>#REF!</v>
          </cell>
          <cell r="L1158" t="e">
            <v>#REF!</v>
          </cell>
          <cell r="M1158" t="e">
            <v>#REF!</v>
          </cell>
          <cell r="N1158" t="e">
            <v>#REF!</v>
          </cell>
          <cell r="O1158" t="e">
            <v>#REF!</v>
          </cell>
          <cell r="P1158" t="e">
            <v>#REF!</v>
          </cell>
          <cell r="Q1158" t="e">
            <v>#REF!</v>
          </cell>
          <cell r="R1158" t="e">
            <v>#REF!</v>
          </cell>
        </row>
        <row r="1159">
          <cell r="A1159" t="e">
            <v>#REF!</v>
          </cell>
          <cell r="B1159" t="e">
            <v>#REF!</v>
          </cell>
          <cell r="C1159" t="e">
            <v>#REF!</v>
          </cell>
          <cell r="D1159" t="e">
            <v>#REF!</v>
          </cell>
          <cell r="E1159" t="e">
            <v>#REF!</v>
          </cell>
          <cell r="F1159" t="e">
            <v>#REF!</v>
          </cell>
          <cell r="G1159" t="e">
            <v>#REF!</v>
          </cell>
          <cell r="H1159" t="e">
            <v>#REF!</v>
          </cell>
          <cell r="I1159" t="e">
            <v>#REF!</v>
          </cell>
          <cell r="J1159" t="e">
            <v>#REF!</v>
          </cell>
          <cell r="K1159" t="e">
            <v>#REF!</v>
          </cell>
          <cell r="L1159" t="e">
            <v>#REF!</v>
          </cell>
          <cell r="M1159" t="e">
            <v>#REF!</v>
          </cell>
          <cell r="N1159" t="e">
            <v>#REF!</v>
          </cell>
          <cell r="O1159" t="e">
            <v>#REF!</v>
          </cell>
          <cell r="P1159" t="e">
            <v>#REF!</v>
          </cell>
          <cell r="Q1159" t="e">
            <v>#REF!</v>
          </cell>
          <cell r="R1159" t="e">
            <v>#REF!</v>
          </cell>
        </row>
        <row r="1160">
          <cell r="A1160" t="e">
            <v>#REF!</v>
          </cell>
          <cell r="B1160" t="e">
            <v>#REF!</v>
          </cell>
          <cell r="C1160" t="e">
            <v>#REF!</v>
          </cell>
          <cell r="D1160" t="e">
            <v>#REF!</v>
          </cell>
          <cell r="E1160" t="e">
            <v>#REF!</v>
          </cell>
          <cell r="F1160" t="e">
            <v>#REF!</v>
          </cell>
          <cell r="G1160" t="e">
            <v>#REF!</v>
          </cell>
          <cell r="H1160" t="e">
            <v>#REF!</v>
          </cell>
          <cell r="I1160" t="e">
            <v>#REF!</v>
          </cell>
          <cell r="J1160" t="e">
            <v>#REF!</v>
          </cell>
          <cell r="K1160" t="e">
            <v>#REF!</v>
          </cell>
          <cell r="L1160" t="e">
            <v>#REF!</v>
          </cell>
          <cell r="M1160" t="e">
            <v>#REF!</v>
          </cell>
          <cell r="N1160" t="e">
            <v>#REF!</v>
          </cell>
          <cell r="O1160" t="e">
            <v>#REF!</v>
          </cell>
          <cell r="P1160" t="e">
            <v>#REF!</v>
          </cell>
          <cell r="Q1160" t="e">
            <v>#REF!</v>
          </cell>
          <cell r="R1160" t="e">
            <v>#REF!</v>
          </cell>
        </row>
        <row r="1161">
          <cell r="A1161" t="e">
            <v>#REF!</v>
          </cell>
          <cell r="B1161" t="e">
            <v>#REF!</v>
          </cell>
          <cell r="C1161" t="e">
            <v>#REF!</v>
          </cell>
          <cell r="D1161" t="e">
            <v>#REF!</v>
          </cell>
          <cell r="E1161" t="e">
            <v>#REF!</v>
          </cell>
          <cell r="F1161" t="e">
            <v>#REF!</v>
          </cell>
          <cell r="G1161" t="e">
            <v>#REF!</v>
          </cell>
          <cell r="H1161" t="e">
            <v>#REF!</v>
          </cell>
          <cell r="I1161" t="e">
            <v>#REF!</v>
          </cell>
          <cell r="J1161" t="e">
            <v>#REF!</v>
          </cell>
          <cell r="K1161" t="e">
            <v>#REF!</v>
          </cell>
          <cell r="L1161" t="e">
            <v>#REF!</v>
          </cell>
          <cell r="M1161" t="e">
            <v>#REF!</v>
          </cell>
          <cell r="N1161" t="e">
            <v>#REF!</v>
          </cell>
          <cell r="O1161" t="e">
            <v>#REF!</v>
          </cell>
          <cell r="P1161" t="e">
            <v>#REF!</v>
          </cell>
          <cell r="Q1161" t="e">
            <v>#REF!</v>
          </cell>
          <cell r="R1161" t="e">
            <v>#REF!</v>
          </cell>
        </row>
        <row r="1162">
          <cell r="A1162" t="e">
            <v>#REF!</v>
          </cell>
          <cell r="B1162" t="e">
            <v>#REF!</v>
          </cell>
          <cell r="C1162" t="e">
            <v>#REF!</v>
          </cell>
          <cell r="D1162" t="e">
            <v>#REF!</v>
          </cell>
          <cell r="E1162" t="e">
            <v>#REF!</v>
          </cell>
          <cell r="F1162" t="e">
            <v>#REF!</v>
          </cell>
          <cell r="G1162" t="e">
            <v>#REF!</v>
          </cell>
          <cell r="H1162" t="e">
            <v>#REF!</v>
          </cell>
          <cell r="I1162" t="e">
            <v>#REF!</v>
          </cell>
          <cell r="J1162" t="e">
            <v>#REF!</v>
          </cell>
          <cell r="K1162" t="e">
            <v>#REF!</v>
          </cell>
          <cell r="L1162" t="e">
            <v>#REF!</v>
          </cell>
          <cell r="M1162" t="e">
            <v>#REF!</v>
          </cell>
          <cell r="N1162" t="e">
            <v>#REF!</v>
          </cell>
          <cell r="O1162" t="e">
            <v>#REF!</v>
          </cell>
          <cell r="P1162" t="e">
            <v>#REF!</v>
          </cell>
          <cell r="Q1162" t="e">
            <v>#REF!</v>
          </cell>
          <cell r="R1162" t="e">
            <v>#REF!</v>
          </cell>
        </row>
        <row r="1163">
          <cell r="A1163" t="e">
            <v>#REF!</v>
          </cell>
          <cell r="B1163" t="e">
            <v>#REF!</v>
          </cell>
          <cell r="C1163" t="e">
            <v>#REF!</v>
          </cell>
          <cell r="D1163" t="e">
            <v>#REF!</v>
          </cell>
          <cell r="E1163" t="e">
            <v>#REF!</v>
          </cell>
          <cell r="F1163" t="e">
            <v>#REF!</v>
          </cell>
          <cell r="G1163" t="e">
            <v>#REF!</v>
          </cell>
          <cell r="H1163" t="e">
            <v>#REF!</v>
          </cell>
          <cell r="I1163" t="e">
            <v>#REF!</v>
          </cell>
          <cell r="J1163" t="e">
            <v>#REF!</v>
          </cell>
          <cell r="K1163" t="e">
            <v>#REF!</v>
          </cell>
          <cell r="L1163" t="e">
            <v>#REF!</v>
          </cell>
          <cell r="M1163" t="e">
            <v>#REF!</v>
          </cell>
          <cell r="N1163" t="e">
            <v>#REF!</v>
          </cell>
          <cell r="O1163" t="e">
            <v>#REF!</v>
          </cell>
          <cell r="P1163" t="e">
            <v>#REF!</v>
          </cell>
          <cell r="Q1163" t="e">
            <v>#REF!</v>
          </cell>
          <cell r="R1163" t="e">
            <v>#REF!</v>
          </cell>
        </row>
        <row r="1164">
          <cell r="A1164" t="e">
            <v>#REF!</v>
          </cell>
          <cell r="B1164" t="e">
            <v>#REF!</v>
          </cell>
          <cell r="C1164" t="e">
            <v>#REF!</v>
          </cell>
          <cell r="D1164" t="e">
            <v>#REF!</v>
          </cell>
          <cell r="E1164" t="e">
            <v>#REF!</v>
          </cell>
          <cell r="F1164" t="e">
            <v>#REF!</v>
          </cell>
          <cell r="G1164" t="e">
            <v>#REF!</v>
          </cell>
          <cell r="H1164" t="e">
            <v>#REF!</v>
          </cell>
          <cell r="I1164" t="e">
            <v>#REF!</v>
          </cell>
          <cell r="J1164" t="e">
            <v>#REF!</v>
          </cell>
          <cell r="K1164" t="e">
            <v>#REF!</v>
          </cell>
          <cell r="L1164" t="e">
            <v>#REF!</v>
          </cell>
          <cell r="M1164" t="e">
            <v>#REF!</v>
          </cell>
          <cell r="N1164" t="e">
            <v>#REF!</v>
          </cell>
          <cell r="O1164" t="e">
            <v>#REF!</v>
          </cell>
          <cell r="P1164" t="e">
            <v>#REF!</v>
          </cell>
          <cell r="Q1164" t="e">
            <v>#REF!</v>
          </cell>
          <cell r="R1164" t="e">
            <v>#REF!</v>
          </cell>
        </row>
        <row r="1165">
          <cell r="A1165" t="e">
            <v>#REF!</v>
          </cell>
          <cell r="B1165" t="e">
            <v>#REF!</v>
          </cell>
          <cell r="C1165" t="e">
            <v>#REF!</v>
          </cell>
          <cell r="D1165" t="e">
            <v>#REF!</v>
          </cell>
          <cell r="E1165" t="e">
            <v>#REF!</v>
          </cell>
          <cell r="F1165" t="e">
            <v>#REF!</v>
          </cell>
          <cell r="G1165" t="e">
            <v>#REF!</v>
          </cell>
          <cell r="H1165" t="e">
            <v>#REF!</v>
          </cell>
          <cell r="I1165" t="e">
            <v>#REF!</v>
          </cell>
          <cell r="J1165" t="e">
            <v>#REF!</v>
          </cell>
          <cell r="K1165" t="e">
            <v>#REF!</v>
          </cell>
          <cell r="L1165" t="e">
            <v>#REF!</v>
          </cell>
          <cell r="M1165" t="e">
            <v>#REF!</v>
          </cell>
          <cell r="N1165" t="e">
            <v>#REF!</v>
          </cell>
          <cell r="O1165" t="e">
            <v>#REF!</v>
          </cell>
          <cell r="P1165" t="e">
            <v>#REF!</v>
          </cell>
          <cell r="Q1165" t="e">
            <v>#REF!</v>
          </cell>
          <cell r="R1165" t="e">
            <v>#REF!</v>
          </cell>
        </row>
        <row r="1166">
          <cell r="A1166" t="e">
            <v>#REF!</v>
          </cell>
          <cell r="B1166" t="e">
            <v>#REF!</v>
          </cell>
          <cell r="C1166" t="e">
            <v>#REF!</v>
          </cell>
          <cell r="D1166" t="e">
            <v>#REF!</v>
          </cell>
          <cell r="E1166" t="e">
            <v>#REF!</v>
          </cell>
          <cell r="F1166" t="e">
            <v>#REF!</v>
          </cell>
          <cell r="G1166" t="e">
            <v>#REF!</v>
          </cell>
          <cell r="H1166" t="e">
            <v>#REF!</v>
          </cell>
          <cell r="I1166" t="e">
            <v>#REF!</v>
          </cell>
          <cell r="J1166" t="e">
            <v>#REF!</v>
          </cell>
          <cell r="K1166" t="e">
            <v>#REF!</v>
          </cell>
          <cell r="L1166" t="e">
            <v>#REF!</v>
          </cell>
          <cell r="M1166" t="e">
            <v>#REF!</v>
          </cell>
          <cell r="N1166" t="e">
            <v>#REF!</v>
          </cell>
          <cell r="O1166" t="e">
            <v>#REF!</v>
          </cell>
          <cell r="P1166" t="e">
            <v>#REF!</v>
          </cell>
          <cell r="Q1166" t="e">
            <v>#REF!</v>
          </cell>
          <cell r="R1166" t="e">
            <v>#REF!</v>
          </cell>
        </row>
        <row r="1167">
          <cell r="A1167" t="e">
            <v>#REF!</v>
          </cell>
          <cell r="B1167" t="e">
            <v>#REF!</v>
          </cell>
          <cell r="C1167" t="e">
            <v>#REF!</v>
          </cell>
          <cell r="D1167" t="e">
            <v>#REF!</v>
          </cell>
          <cell r="E1167" t="e">
            <v>#REF!</v>
          </cell>
          <cell r="F1167" t="e">
            <v>#REF!</v>
          </cell>
          <cell r="G1167" t="e">
            <v>#REF!</v>
          </cell>
          <cell r="H1167" t="e">
            <v>#REF!</v>
          </cell>
          <cell r="I1167" t="e">
            <v>#REF!</v>
          </cell>
          <cell r="J1167" t="e">
            <v>#REF!</v>
          </cell>
          <cell r="K1167" t="e">
            <v>#REF!</v>
          </cell>
          <cell r="L1167" t="e">
            <v>#REF!</v>
          </cell>
          <cell r="M1167" t="e">
            <v>#REF!</v>
          </cell>
          <cell r="N1167" t="e">
            <v>#REF!</v>
          </cell>
          <cell r="O1167" t="e">
            <v>#REF!</v>
          </cell>
          <cell r="P1167" t="e">
            <v>#REF!</v>
          </cell>
          <cell r="Q1167" t="e">
            <v>#REF!</v>
          </cell>
          <cell r="R1167" t="e">
            <v>#REF!</v>
          </cell>
        </row>
        <row r="1168">
          <cell r="A1168" t="e">
            <v>#REF!</v>
          </cell>
          <cell r="B1168" t="e">
            <v>#REF!</v>
          </cell>
          <cell r="C1168" t="e">
            <v>#REF!</v>
          </cell>
          <cell r="D1168" t="e">
            <v>#REF!</v>
          </cell>
          <cell r="E1168" t="e">
            <v>#REF!</v>
          </cell>
          <cell r="F1168" t="e">
            <v>#REF!</v>
          </cell>
          <cell r="G1168" t="e">
            <v>#REF!</v>
          </cell>
          <cell r="H1168" t="e">
            <v>#REF!</v>
          </cell>
          <cell r="I1168" t="e">
            <v>#REF!</v>
          </cell>
          <cell r="J1168" t="e">
            <v>#REF!</v>
          </cell>
          <cell r="K1168" t="e">
            <v>#REF!</v>
          </cell>
          <cell r="L1168" t="e">
            <v>#REF!</v>
          </cell>
          <cell r="M1168" t="e">
            <v>#REF!</v>
          </cell>
          <cell r="N1168" t="e">
            <v>#REF!</v>
          </cell>
          <cell r="O1168" t="e">
            <v>#REF!</v>
          </cell>
          <cell r="P1168" t="e">
            <v>#REF!</v>
          </cell>
          <cell r="Q1168" t="e">
            <v>#REF!</v>
          </cell>
          <cell r="R1168" t="e">
            <v>#REF!</v>
          </cell>
        </row>
        <row r="1169">
          <cell r="A1169" t="e">
            <v>#REF!</v>
          </cell>
          <cell r="B1169" t="e">
            <v>#REF!</v>
          </cell>
          <cell r="C1169" t="e">
            <v>#REF!</v>
          </cell>
          <cell r="D1169" t="e">
            <v>#REF!</v>
          </cell>
          <cell r="E1169" t="e">
            <v>#REF!</v>
          </cell>
          <cell r="F1169" t="e">
            <v>#REF!</v>
          </cell>
          <cell r="G1169" t="e">
            <v>#REF!</v>
          </cell>
          <cell r="H1169" t="e">
            <v>#REF!</v>
          </cell>
          <cell r="I1169" t="e">
            <v>#REF!</v>
          </cell>
          <cell r="J1169" t="e">
            <v>#REF!</v>
          </cell>
          <cell r="K1169" t="e">
            <v>#REF!</v>
          </cell>
          <cell r="L1169" t="e">
            <v>#REF!</v>
          </cell>
          <cell r="M1169" t="e">
            <v>#REF!</v>
          </cell>
          <cell r="N1169" t="e">
            <v>#REF!</v>
          </cell>
          <cell r="O1169" t="e">
            <v>#REF!</v>
          </cell>
          <cell r="P1169" t="e">
            <v>#REF!</v>
          </cell>
          <cell r="Q1169" t="e">
            <v>#REF!</v>
          </cell>
          <cell r="R1169" t="e">
            <v>#REF!</v>
          </cell>
        </row>
        <row r="1170">
          <cell r="A1170" t="e">
            <v>#REF!</v>
          </cell>
          <cell r="B1170" t="e">
            <v>#REF!</v>
          </cell>
          <cell r="C1170" t="e">
            <v>#REF!</v>
          </cell>
          <cell r="D1170" t="e">
            <v>#REF!</v>
          </cell>
          <cell r="E1170" t="e">
            <v>#REF!</v>
          </cell>
          <cell r="F1170" t="e">
            <v>#REF!</v>
          </cell>
          <cell r="G1170" t="e">
            <v>#REF!</v>
          </cell>
          <cell r="H1170" t="e">
            <v>#REF!</v>
          </cell>
          <cell r="I1170" t="e">
            <v>#REF!</v>
          </cell>
          <cell r="J1170" t="e">
            <v>#REF!</v>
          </cell>
          <cell r="K1170" t="e">
            <v>#REF!</v>
          </cell>
          <cell r="L1170" t="e">
            <v>#REF!</v>
          </cell>
          <cell r="M1170" t="e">
            <v>#REF!</v>
          </cell>
          <cell r="N1170" t="e">
            <v>#REF!</v>
          </cell>
          <cell r="O1170" t="e">
            <v>#REF!</v>
          </cell>
          <cell r="P1170" t="e">
            <v>#REF!</v>
          </cell>
          <cell r="Q1170" t="e">
            <v>#REF!</v>
          </cell>
          <cell r="R1170" t="e">
            <v>#REF!</v>
          </cell>
        </row>
        <row r="1171">
          <cell r="A1171" t="e">
            <v>#REF!</v>
          </cell>
          <cell r="B1171" t="e">
            <v>#REF!</v>
          </cell>
          <cell r="C1171" t="e">
            <v>#REF!</v>
          </cell>
          <cell r="D1171" t="e">
            <v>#REF!</v>
          </cell>
          <cell r="E1171" t="e">
            <v>#REF!</v>
          </cell>
          <cell r="F1171" t="e">
            <v>#REF!</v>
          </cell>
          <cell r="G1171" t="e">
            <v>#REF!</v>
          </cell>
          <cell r="H1171" t="e">
            <v>#REF!</v>
          </cell>
          <cell r="I1171" t="e">
            <v>#REF!</v>
          </cell>
          <cell r="J1171" t="e">
            <v>#REF!</v>
          </cell>
          <cell r="K1171" t="e">
            <v>#REF!</v>
          </cell>
          <cell r="L1171" t="e">
            <v>#REF!</v>
          </cell>
          <cell r="M1171" t="e">
            <v>#REF!</v>
          </cell>
          <cell r="N1171" t="e">
            <v>#REF!</v>
          </cell>
          <cell r="O1171" t="e">
            <v>#REF!</v>
          </cell>
          <cell r="P1171" t="e">
            <v>#REF!</v>
          </cell>
          <cell r="Q1171" t="e">
            <v>#REF!</v>
          </cell>
          <cell r="R1171" t="e">
            <v>#REF!</v>
          </cell>
        </row>
        <row r="1172">
          <cell r="A1172" t="e">
            <v>#REF!</v>
          </cell>
          <cell r="B1172" t="e">
            <v>#REF!</v>
          </cell>
          <cell r="C1172" t="e">
            <v>#REF!</v>
          </cell>
          <cell r="D1172" t="e">
            <v>#REF!</v>
          </cell>
          <cell r="E1172" t="e">
            <v>#REF!</v>
          </cell>
          <cell r="F1172" t="e">
            <v>#REF!</v>
          </cell>
          <cell r="G1172" t="e">
            <v>#REF!</v>
          </cell>
          <cell r="H1172" t="e">
            <v>#REF!</v>
          </cell>
          <cell r="I1172" t="e">
            <v>#REF!</v>
          </cell>
          <cell r="J1172" t="e">
            <v>#REF!</v>
          </cell>
          <cell r="K1172" t="e">
            <v>#REF!</v>
          </cell>
          <cell r="L1172" t="e">
            <v>#REF!</v>
          </cell>
          <cell r="M1172" t="e">
            <v>#REF!</v>
          </cell>
          <cell r="N1172" t="e">
            <v>#REF!</v>
          </cell>
          <cell r="O1172" t="e">
            <v>#REF!</v>
          </cell>
          <cell r="P1172" t="e">
            <v>#REF!</v>
          </cell>
          <cell r="Q1172" t="e">
            <v>#REF!</v>
          </cell>
          <cell r="R1172" t="e">
            <v>#REF!</v>
          </cell>
        </row>
      </sheetData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 refreshError="1"/>
      <sheetData sheetId="541" refreshError="1"/>
      <sheetData sheetId="542" refreshError="1"/>
      <sheetData sheetId="543"/>
      <sheetData sheetId="544" refreshError="1"/>
      <sheetData sheetId="545" refreshError="1"/>
      <sheetData sheetId="546" refreshError="1"/>
      <sheetData sheetId="547"/>
      <sheetData sheetId="548"/>
      <sheetData sheetId="549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 refreshError="1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 refreshError="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 refreshError="1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 refreshError="1"/>
      <sheetData sheetId="1652" refreshError="1"/>
      <sheetData sheetId="1653"/>
      <sheetData sheetId="1654"/>
      <sheetData sheetId="1655">
        <row r="1077">
          <cell r="A1077">
            <v>0</v>
          </cell>
        </row>
      </sheetData>
      <sheetData sheetId="1656">
        <row r="1077">
          <cell r="A1077">
            <v>0</v>
          </cell>
        </row>
      </sheetData>
      <sheetData sheetId="1657">
        <row r="1144">
          <cell r="A1144">
            <v>0</v>
          </cell>
        </row>
      </sheetData>
      <sheetData sheetId="1658">
        <row r="1144">
          <cell r="A1144">
            <v>0</v>
          </cell>
        </row>
      </sheetData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/>
      <sheetData sheetId="1711" refreshError="1"/>
      <sheetData sheetId="1712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>
        <row r="1077">
          <cell r="A1077">
            <v>0</v>
          </cell>
        </row>
      </sheetData>
      <sheetData sheetId="1958">
        <row r="1077">
          <cell r="A1077">
            <v>0</v>
          </cell>
        </row>
      </sheetData>
      <sheetData sheetId="1959">
        <row r="1077">
          <cell r="A1077">
            <v>0</v>
          </cell>
        </row>
      </sheetData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/>
      <sheetData sheetId="2030">
        <row r="1077">
          <cell r="A1077"/>
        </row>
      </sheetData>
      <sheetData sheetId="2031">
        <row r="1077">
          <cell r="A1077"/>
        </row>
      </sheetData>
      <sheetData sheetId="2032">
        <row r="1077">
          <cell r="A1077"/>
        </row>
      </sheetData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>
        <row r="1077">
          <cell r="A1077"/>
        </row>
      </sheetData>
      <sheetData sheetId="2097">
        <row r="1077">
          <cell r="A1077"/>
        </row>
      </sheetData>
      <sheetData sheetId="2098">
        <row r="1077">
          <cell r="A1077"/>
        </row>
      </sheetData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 refreshError="1"/>
      <sheetData sheetId="2295"/>
      <sheetData sheetId="2296"/>
      <sheetData sheetId="2297"/>
      <sheetData sheetId="2298"/>
      <sheetData sheetId="2299"/>
      <sheetData sheetId="2300"/>
      <sheetData sheetId="2301"/>
      <sheetData sheetId="2302" refreshError="1"/>
      <sheetData sheetId="2303" refreshError="1"/>
      <sheetData sheetId="2304" refreshError="1"/>
      <sheetData sheetId="2305" refreshError="1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>
        <row r="1077">
          <cell r="A1077">
            <v>0</v>
          </cell>
        </row>
      </sheetData>
      <sheetData sheetId="2529">
        <row r="1077">
          <cell r="A1077">
            <v>0</v>
          </cell>
        </row>
      </sheetData>
      <sheetData sheetId="2530">
        <row r="1077">
          <cell r="A1077">
            <v>0</v>
          </cell>
        </row>
      </sheetData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>
        <row r="1077">
          <cell r="A1077">
            <v>0</v>
          </cell>
        </row>
      </sheetData>
      <sheetData sheetId="2595">
        <row r="1077">
          <cell r="A1077">
            <v>0</v>
          </cell>
        </row>
      </sheetData>
      <sheetData sheetId="2596">
        <row r="1077">
          <cell r="A1077">
            <v>0</v>
          </cell>
        </row>
      </sheetData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>
        <row r="1077">
          <cell r="A1077"/>
        </row>
      </sheetData>
      <sheetData sheetId="2664">
        <row r="1077">
          <cell r="A1077"/>
        </row>
      </sheetData>
      <sheetData sheetId="2665">
        <row r="1077">
          <cell r="A1077"/>
        </row>
      </sheetData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/>
      <sheetData sheetId="2817"/>
      <sheetData sheetId="2818"/>
      <sheetData sheetId="2819"/>
      <sheetData sheetId="2820"/>
      <sheetData sheetId="2821"/>
      <sheetData sheetId="2822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 refreshError="1"/>
      <sheetData sheetId="2919" refreshError="1"/>
      <sheetData sheetId="2920"/>
      <sheetData sheetId="2921"/>
      <sheetData sheetId="2922">
        <row r="1077">
          <cell r="A1077">
            <v>0</v>
          </cell>
        </row>
      </sheetData>
      <sheetData sheetId="2923">
        <row r="1077">
          <cell r="A1077">
            <v>0</v>
          </cell>
        </row>
      </sheetData>
      <sheetData sheetId="2924">
        <row r="1077">
          <cell r="A1077">
            <v>0</v>
          </cell>
        </row>
      </sheetData>
      <sheetData sheetId="2925">
        <row r="1077">
          <cell r="A1077">
            <v>0</v>
          </cell>
        </row>
      </sheetData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>
        <row r="1077">
          <cell r="A1077"/>
        </row>
      </sheetData>
      <sheetData sheetId="3049">
        <row r="1077">
          <cell r="A1077"/>
        </row>
      </sheetData>
      <sheetData sheetId="3050">
        <row r="1077">
          <cell r="A1077"/>
        </row>
      </sheetData>
      <sheetData sheetId="3051"/>
      <sheetData sheetId="3052"/>
      <sheetData sheetId="3053">
        <row r="1077">
          <cell r="A1077">
            <v>0</v>
          </cell>
        </row>
      </sheetData>
      <sheetData sheetId="3054">
        <row r="1077">
          <cell r="A1077">
            <v>0</v>
          </cell>
        </row>
      </sheetData>
      <sheetData sheetId="3055">
        <row r="1077">
          <cell r="A1077">
            <v>0</v>
          </cell>
        </row>
      </sheetData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>
        <row r="1077">
          <cell r="A1077"/>
        </row>
      </sheetData>
      <sheetData sheetId="3105">
        <row r="1077">
          <cell r="A1077"/>
        </row>
      </sheetData>
      <sheetData sheetId="3106">
        <row r="1077">
          <cell r="A1077"/>
        </row>
      </sheetData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>
        <row r="1077">
          <cell r="A1077">
            <v>0</v>
          </cell>
        </row>
      </sheetData>
      <sheetData sheetId="3132">
        <row r="1077">
          <cell r="A1077">
            <v>0</v>
          </cell>
        </row>
      </sheetData>
      <sheetData sheetId="3133">
        <row r="1077">
          <cell r="A1077">
            <v>0</v>
          </cell>
        </row>
      </sheetData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>
        <row r="1077">
          <cell r="A1077"/>
        </row>
      </sheetData>
      <sheetData sheetId="3161">
        <row r="1077">
          <cell r="A1077"/>
        </row>
      </sheetData>
      <sheetData sheetId="3162">
        <row r="1077">
          <cell r="A1077"/>
        </row>
      </sheetData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/>
      <sheetData sheetId="3220"/>
      <sheetData sheetId="3221"/>
      <sheetData sheetId="3222"/>
      <sheetData sheetId="3223">
        <row r="1077">
          <cell r="A1077"/>
        </row>
      </sheetData>
      <sheetData sheetId="3224">
        <row r="1077">
          <cell r="A1077"/>
        </row>
      </sheetData>
      <sheetData sheetId="3225">
        <row r="1077">
          <cell r="A1077"/>
        </row>
      </sheetData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>
        <row r="1077">
          <cell r="A1077">
            <v>0</v>
          </cell>
        </row>
      </sheetData>
      <sheetData sheetId="3242">
        <row r="1077">
          <cell r="A1077">
            <v>0</v>
          </cell>
        </row>
      </sheetData>
      <sheetData sheetId="3243">
        <row r="1077">
          <cell r="A1077">
            <v>0</v>
          </cell>
        </row>
      </sheetData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>
        <row r="1077">
          <cell r="A1077">
            <v>0</v>
          </cell>
        </row>
      </sheetData>
      <sheetData sheetId="3311">
        <row r="1077">
          <cell r="A1077">
            <v>0</v>
          </cell>
        </row>
      </sheetData>
      <sheetData sheetId="3312">
        <row r="1077">
          <cell r="A1077">
            <v>0</v>
          </cell>
        </row>
      </sheetData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>
        <row r="1077">
          <cell r="A1077">
            <v>0</v>
          </cell>
        </row>
      </sheetData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>
        <row r="1077">
          <cell r="A1077"/>
        </row>
      </sheetData>
      <sheetData sheetId="3385">
        <row r="1077">
          <cell r="A1077"/>
        </row>
      </sheetData>
      <sheetData sheetId="3386">
        <row r="1077">
          <cell r="A1077"/>
        </row>
      </sheetData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>
        <row r="1077">
          <cell r="A1077">
            <v>0</v>
          </cell>
        </row>
      </sheetData>
      <sheetData sheetId="3439">
        <row r="1077">
          <cell r="A1077">
            <v>0</v>
          </cell>
        </row>
      </sheetData>
      <sheetData sheetId="3440">
        <row r="1077">
          <cell r="A1077">
            <v>0</v>
          </cell>
        </row>
      </sheetData>
      <sheetData sheetId="3441"/>
      <sheetData sheetId="3442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/>
      <sheetData sheetId="3516"/>
      <sheetData sheetId="3517"/>
      <sheetData sheetId="3518">
        <row r="1077">
          <cell r="A1077"/>
        </row>
      </sheetData>
      <sheetData sheetId="3519">
        <row r="1077">
          <cell r="A1077"/>
        </row>
      </sheetData>
      <sheetData sheetId="3520">
        <row r="1077">
          <cell r="A1077"/>
        </row>
      </sheetData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>
        <row r="1077">
          <cell r="A1077"/>
        </row>
      </sheetData>
      <sheetData sheetId="3609">
        <row r="1077">
          <cell r="A1077"/>
        </row>
      </sheetData>
      <sheetData sheetId="3610">
        <row r="1077">
          <cell r="A1077"/>
        </row>
      </sheetData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>
        <row r="1077">
          <cell r="A1077">
            <v>0</v>
          </cell>
        </row>
      </sheetData>
      <sheetData sheetId="3667">
        <row r="1077">
          <cell r="A1077">
            <v>0</v>
          </cell>
        </row>
      </sheetData>
      <sheetData sheetId="3668">
        <row r="1077">
          <cell r="A1077">
            <v>0</v>
          </cell>
        </row>
      </sheetData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>
        <row r="1077">
          <cell r="A1077">
            <v>0</v>
          </cell>
        </row>
      </sheetData>
      <sheetData sheetId="3755">
        <row r="1077">
          <cell r="A1077">
            <v>0</v>
          </cell>
        </row>
      </sheetData>
      <sheetData sheetId="3756">
        <row r="1077">
          <cell r="A1077">
            <v>0</v>
          </cell>
        </row>
      </sheetData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>
        <row r="1077">
          <cell r="A1077"/>
        </row>
      </sheetData>
      <sheetData sheetId="3767">
        <row r="1077">
          <cell r="A1077"/>
        </row>
      </sheetData>
      <sheetData sheetId="3768">
        <row r="1077">
          <cell r="A1077"/>
        </row>
      </sheetData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>
        <row r="1077">
          <cell r="A1077">
            <v>0</v>
          </cell>
        </row>
      </sheetData>
      <sheetData sheetId="3876">
        <row r="1077">
          <cell r="A1077">
            <v>0</v>
          </cell>
        </row>
      </sheetData>
      <sheetData sheetId="3877">
        <row r="1077">
          <cell r="A1077">
            <v>0</v>
          </cell>
        </row>
      </sheetData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 refreshError="1"/>
      <sheetData sheetId="3922" refreshError="1"/>
      <sheetData sheetId="3923" refreshError="1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>
        <row r="1077">
          <cell r="A1077">
            <v>0</v>
          </cell>
        </row>
      </sheetData>
      <sheetData sheetId="3997">
        <row r="1077">
          <cell r="A1077">
            <v>0</v>
          </cell>
        </row>
      </sheetData>
      <sheetData sheetId="3998">
        <row r="1077">
          <cell r="A1077">
            <v>0</v>
          </cell>
        </row>
      </sheetData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>
        <row r="1077">
          <cell r="A1077"/>
        </row>
      </sheetData>
      <sheetData sheetId="4035">
        <row r="1077">
          <cell r="A1077"/>
        </row>
      </sheetData>
      <sheetData sheetId="4036">
        <row r="1077">
          <cell r="A1077"/>
        </row>
      </sheetData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>
        <row r="1077">
          <cell r="A1077"/>
        </row>
      </sheetData>
      <sheetData sheetId="4123">
        <row r="1077">
          <cell r="A1077"/>
        </row>
      </sheetData>
      <sheetData sheetId="4124">
        <row r="1077">
          <cell r="A1077"/>
        </row>
      </sheetData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>
        <row r="1077">
          <cell r="A1077">
            <v>0</v>
          </cell>
        </row>
      </sheetData>
      <sheetData sheetId="4414">
        <row r="1077">
          <cell r="A1077">
            <v>0</v>
          </cell>
        </row>
      </sheetData>
      <sheetData sheetId="4415">
        <row r="1077">
          <cell r="A1077">
            <v>0</v>
          </cell>
        </row>
      </sheetData>
      <sheetData sheetId="4416"/>
      <sheetData sheetId="4417"/>
      <sheetData sheetId="4418">
        <row r="1077">
          <cell r="A1077">
            <v>0</v>
          </cell>
        </row>
      </sheetData>
      <sheetData sheetId="4419">
        <row r="1077">
          <cell r="A1077">
            <v>0</v>
          </cell>
        </row>
      </sheetData>
      <sheetData sheetId="4420">
        <row r="1077">
          <cell r="A1077">
            <v>0</v>
          </cell>
        </row>
      </sheetData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>
        <row r="1077">
          <cell r="A1077">
            <v>0</v>
          </cell>
        </row>
      </sheetData>
      <sheetData sheetId="4515">
        <row r="1077">
          <cell r="A1077">
            <v>0</v>
          </cell>
        </row>
      </sheetData>
      <sheetData sheetId="4516">
        <row r="1077">
          <cell r="A1077">
            <v>0</v>
          </cell>
        </row>
      </sheetData>
      <sheetData sheetId="4517"/>
      <sheetData sheetId="4518"/>
      <sheetData sheetId="4519">
        <row r="1077">
          <cell r="A1077">
            <v>0</v>
          </cell>
        </row>
      </sheetData>
      <sheetData sheetId="4520">
        <row r="1077">
          <cell r="A1077">
            <v>0</v>
          </cell>
        </row>
      </sheetData>
      <sheetData sheetId="4521">
        <row r="1077">
          <cell r="A1077">
            <v>0</v>
          </cell>
        </row>
      </sheetData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>
        <row r="1077">
          <cell r="A1077">
            <v>0</v>
          </cell>
        </row>
      </sheetData>
      <sheetData sheetId="4571">
        <row r="1077">
          <cell r="A1077">
            <v>0</v>
          </cell>
        </row>
      </sheetData>
      <sheetData sheetId="4572">
        <row r="1077">
          <cell r="A1077">
            <v>0</v>
          </cell>
        </row>
      </sheetData>
      <sheetData sheetId="4573"/>
      <sheetData sheetId="4574"/>
      <sheetData sheetId="4575">
        <row r="1077">
          <cell r="A1077">
            <v>0</v>
          </cell>
        </row>
      </sheetData>
      <sheetData sheetId="4576">
        <row r="1077">
          <cell r="A1077">
            <v>0</v>
          </cell>
        </row>
      </sheetData>
      <sheetData sheetId="4577">
        <row r="1077">
          <cell r="A1077">
            <v>0</v>
          </cell>
        </row>
      </sheetData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>
        <row r="1077">
          <cell r="A1077">
            <v>0</v>
          </cell>
        </row>
      </sheetData>
      <sheetData sheetId="4779">
        <row r="1077">
          <cell r="A1077">
            <v>0</v>
          </cell>
        </row>
      </sheetData>
      <sheetData sheetId="4780">
        <row r="1077">
          <cell r="A1077">
            <v>0</v>
          </cell>
        </row>
      </sheetData>
      <sheetData sheetId="4781"/>
      <sheetData sheetId="4782"/>
      <sheetData sheetId="4783">
        <row r="1077">
          <cell r="A1077"/>
        </row>
      </sheetData>
      <sheetData sheetId="4784">
        <row r="1077">
          <cell r="A1077"/>
        </row>
      </sheetData>
      <sheetData sheetId="4785">
        <row r="1077">
          <cell r="A1077"/>
        </row>
      </sheetData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>
        <row r="1077">
          <cell r="A1077">
            <v>0</v>
          </cell>
        </row>
      </sheetData>
      <sheetData sheetId="4885">
        <row r="1077">
          <cell r="A1077">
            <v>0</v>
          </cell>
        </row>
      </sheetData>
      <sheetData sheetId="4886">
        <row r="1077">
          <cell r="A1077">
            <v>0</v>
          </cell>
        </row>
      </sheetData>
      <sheetData sheetId="4887"/>
      <sheetData sheetId="4888"/>
      <sheetData sheetId="4889">
        <row r="1077">
          <cell r="A1077"/>
        </row>
      </sheetData>
      <sheetData sheetId="4890">
        <row r="1077">
          <cell r="A1077"/>
        </row>
      </sheetData>
      <sheetData sheetId="4891">
        <row r="1077">
          <cell r="A1077"/>
        </row>
      </sheetData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>
        <row r="1077">
          <cell r="A1077">
            <v>0</v>
          </cell>
        </row>
      </sheetData>
      <sheetData sheetId="5002">
        <row r="1077">
          <cell r="A1077">
            <v>0</v>
          </cell>
        </row>
      </sheetData>
      <sheetData sheetId="5003">
        <row r="1077">
          <cell r="A1077">
            <v>0</v>
          </cell>
        </row>
      </sheetData>
      <sheetData sheetId="5004"/>
      <sheetData sheetId="5005"/>
      <sheetData sheetId="5006">
        <row r="1077">
          <cell r="A1077"/>
        </row>
      </sheetData>
      <sheetData sheetId="5007">
        <row r="1077">
          <cell r="A1077"/>
        </row>
      </sheetData>
      <sheetData sheetId="5008">
        <row r="1077">
          <cell r="A1077"/>
        </row>
      </sheetData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>
        <row r="1077">
          <cell r="A1077">
            <v>0</v>
          </cell>
        </row>
      </sheetData>
      <sheetData sheetId="5109">
        <row r="1077">
          <cell r="A1077">
            <v>0</v>
          </cell>
        </row>
      </sheetData>
      <sheetData sheetId="5110">
        <row r="1077">
          <cell r="A1077">
            <v>0</v>
          </cell>
        </row>
      </sheetData>
      <sheetData sheetId="5111"/>
      <sheetData sheetId="5112"/>
      <sheetData sheetId="5113">
        <row r="1077">
          <cell r="A1077"/>
        </row>
      </sheetData>
      <sheetData sheetId="5114">
        <row r="1077">
          <cell r="A1077"/>
        </row>
      </sheetData>
      <sheetData sheetId="5115">
        <row r="1077">
          <cell r="A1077"/>
        </row>
      </sheetData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 refreshError="1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cycle"/>
      <sheetName val="Opening TB"/>
      <sheetName val="Closing TB"/>
      <sheetName val="result at a glance"/>
      <sheetName val="Bsheet and PL"/>
      <sheetName val="Notes"/>
      <sheetName val="Cashflow"/>
      <sheetName val="vadded"/>
      <sheetName val="GL BSheet"/>
      <sheetName val="GL PnL"/>
      <sheetName val="Journal"/>
      <sheetName val="FCMB253_2008"/>
      <sheetName val="FCMB018_2008"/>
      <sheetName val="FCMB480_2008"/>
      <sheetName val="Other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cycle"/>
      <sheetName val="Opening TB"/>
      <sheetName val="Closing TB"/>
      <sheetName val="result at a glance"/>
      <sheetName val="Bsheet and PL"/>
      <sheetName val="Notes"/>
      <sheetName val="Cashflow"/>
      <sheetName val="vadded"/>
      <sheetName val="GL BSheet"/>
      <sheetName val="GL PnL"/>
      <sheetName val="Journal"/>
      <sheetName val="FCMB253_2008"/>
      <sheetName val="FCMB018_2008"/>
      <sheetName val="FCMB480_2008"/>
      <sheetName val="Other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cycle"/>
      <sheetName val="Opening TB"/>
      <sheetName val="Closing TB"/>
      <sheetName val="result at a glance"/>
      <sheetName val="Bsheet and PL"/>
      <sheetName val="Notes"/>
      <sheetName val="Cashflow"/>
      <sheetName val="vadded"/>
      <sheetName val="GL BSheet"/>
      <sheetName val="GL PnL"/>
      <sheetName val="Journal"/>
      <sheetName val="FCMB253_2008"/>
      <sheetName val="FCMB018_2008"/>
      <sheetName val="FCMB480_2008"/>
      <sheetName val="Other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ner"/>
      <sheetName val="N-Client Information"/>
      <sheetName val="N-Lead"/>
      <sheetName val="N03-cut-off"/>
      <sheetName val="N04 Sear. Un. Liab."/>
    </sheetNames>
    <sheetDataSet>
      <sheetData sheetId="0"/>
      <sheetData sheetId="1">
        <row r="7">
          <cell r="D7" t="str">
            <v>GRUPPO INVESTMENT NIG LTD</v>
          </cell>
        </row>
        <row r="8">
          <cell r="D8" t="str">
            <v>31/12/2011</v>
          </cell>
        </row>
        <row r="9">
          <cell r="D9" t="str">
            <v>NAIRA/ DOLLARS</v>
          </cell>
        </row>
      </sheetData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ner"/>
      <sheetName val="N-Client Information"/>
      <sheetName val="N-Lead"/>
      <sheetName val="N03-cut-off"/>
      <sheetName val="N04 Sear. Un. Liab."/>
    </sheetNames>
    <sheetDataSet>
      <sheetData sheetId="0"/>
      <sheetData sheetId="1">
        <row r="7">
          <cell r="D7" t="str">
            <v>GRUPPO INVESTMENT NIG LTD</v>
          </cell>
        </row>
        <row r="8">
          <cell r="D8" t="str">
            <v>31/12/2011</v>
          </cell>
        </row>
        <row r="9">
          <cell r="D9" t="str">
            <v>NAIRA/ DOLLARS</v>
          </cell>
        </row>
      </sheetData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($)"/>
      <sheetName val="Cash-Summary"/>
      <sheetName val="TB"/>
      <sheetName val="P&amp;L-2010"/>
      <sheetName val="2010-P&amp;L-Summary"/>
      <sheetName val="2010-BL"/>
      <sheetName val="CFlow"/>
      <sheetName val="Fixed Assets Schedule"/>
      <sheetName val="Incomes-Schedules"/>
      <sheetName val="SubContracted"/>
      <sheetName val="Staff-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($)"/>
      <sheetName val="Cash-Summary"/>
      <sheetName val="TB"/>
      <sheetName val="P&amp;L-2010"/>
      <sheetName val="2010-P&amp;L-Summary"/>
      <sheetName val="2010-BL"/>
      <sheetName val="CFlow"/>
      <sheetName val="Fixed Assets Schedule"/>
      <sheetName val="Incomes-Schedules"/>
      <sheetName val="SubContracted"/>
      <sheetName val="Staff-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($)"/>
      <sheetName val="Cash-Summary"/>
      <sheetName val="TB"/>
      <sheetName val="P&amp;L-2010"/>
      <sheetName val="2010-P&amp;L-Summary"/>
      <sheetName val="2010-BL"/>
      <sheetName val="CFlow"/>
      <sheetName val="Fixed Assets Schedule"/>
      <sheetName val="Incomes-Schedules"/>
      <sheetName val="SubContracted"/>
      <sheetName val="Staff-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flow ($)"/>
      <sheetName val="Cash-Summary"/>
      <sheetName val="TB"/>
      <sheetName val="P&amp;L-2010"/>
      <sheetName val="2010-P&amp;L-Summary"/>
      <sheetName val="2010-BL"/>
      <sheetName val="CFlow"/>
      <sheetName val="Fixed Assets Schedule"/>
      <sheetName val="Incomes-Schedules"/>
      <sheetName val="SubContracted"/>
      <sheetName val="Staff-Cos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cycle_existing client"/>
      <sheetName val="FCMB NGN (1)"/>
      <sheetName val="FCMB Cash NGN(2)"/>
      <sheetName val="FCMB Cash USD(1)"/>
      <sheetName val="FCMB Cash USD (2)"/>
      <sheetName val="FCMB EURO"/>
      <sheetName val="FCMB GBP&gt;"/>
      <sheetName val="GTB NGN Cash "/>
      <sheetName val="Service charge for 2010"/>
      <sheetName val="Opening trial balance "/>
      <sheetName val="Notes"/>
      <sheetName val="GTB Call AC"/>
      <sheetName val="det bsheet"/>
      <sheetName val="Closing trial balance"/>
      <sheetName val="det income"/>
      <sheetName val="Bsheet and PL"/>
      <sheetName val="Journal"/>
      <sheetName val="Cashflow"/>
      <sheetName val="CITI 2 account"/>
      <sheetName val="DBN"/>
      <sheetName val="FIN B"/>
      <sheetName val="FIN "/>
      <sheetName val="ACCESS"/>
      <sheetName val="INTER BANK"/>
      <sheetName val="Finbank"/>
      <sheetName val="STERLING"/>
      <sheetName val="Eco"/>
      <sheetName val="FCMB"/>
      <sheetName val="WEMA"/>
      <sheetName val="AFRI BANK"/>
      <sheetName val="iss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cycle_existing client"/>
      <sheetName val="FCMB NGN (1)"/>
      <sheetName val="FCMB Cash NGN(2)"/>
      <sheetName val="FCMB Cash USD(1)"/>
      <sheetName val="FCMB Cash USD (2)"/>
      <sheetName val="FCMB EURO"/>
      <sheetName val="FCMB GBP&gt;"/>
      <sheetName val="GTB NGN Cash "/>
      <sheetName val="Service charge for 2010"/>
      <sheetName val="Opening trial balance "/>
      <sheetName val="Notes"/>
      <sheetName val="GTB Call AC"/>
      <sheetName val="det bsheet"/>
      <sheetName val="Closing trial balance"/>
      <sheetName val="det income"/>
      <sheetName val="Bsheet and PL"/>
      <sheetName val="Journal"/>
      <sheetName val="Cashflow"/>
      <sheetName val="CITI 2 account"/>
      <sheetName val="DBN"/>
      <sheetName val="FIN B"/>
      <sheetName val="FIN "/>
      <sheetName val="ACCESS"/>
      <sheetName val="INTER BANK"/>
      <sheetName val="Finbank"/>
      <sheetName val="STERLING"/>
      <sheetName val="Eco"/>
      <sheetName val="FCMB"/>
      <sheetName val="WEMA"/>
      <sheetName val="AFRI BANK"/>
      <sheetName val="iss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cycle_existing client"/>
      <sheetName val="FCMB NGN (1)"/>
      <sheetName val="FCMB Cash NGN(2)"/>
      <sheetName val="FCMB Cash USD(1)"/>
      <sheetName val="FCMB Cash USD (2)"/>
      <sheetName val="FCMB EURO"/>
      <sheetName val="FCMB GBP&gt;"/>
      <sheetName val="GTB NGN Cash "/>
      <sheetName val="Service charge for 2010"/>
      <sheetName val="Opening trial balance "/>
      <sheetName val="Notes"/>
      <sheetName val="GTB Call AC"/>
      <sheetName val="det bsheet"/>
      <sheetName val="Closing trial balance"/>
      <sheetName val="det income"/>
      <sheetName val="Bsheet and PL"/>
      <sheetName val="Journal"/>
      <sheetName val="Cashflow"/>
      <sheetName val="CITI 2 account"/>
      <sheetName val="DBN"/>
      <sheetName val="FIN B"/>
      <sheetName val="FIN "/>
      <sheetName val="ACCESS"/>
      <sheetName val="INTER BANK"/>
      <sheetName val="Finbank"/>
      <sheetName val="STERLING"/>
      <sheetName val="Eco"/>
      <sheetName val="FCMB"/>
      <sheetName val="WEMA"/>
      <sheetName val="AFRI BANK"/>
      <sheetName val="iss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dit cycle_existing client"/>
      <sheetName val="FCMB NGN (1)"/>
      <sheetName val="FCMB Cash NGN(2)"/>
      <sheetName val="FCMB Cash USD(1)"/>
      <sheetName val="FCMB Cash USD (2)"/>
      <sheetName val="FCMB EURO"/>
      <sheetName val="FCMB GBP&gt;"/>
      <sheetName val="GTB NGN Cash "/>
      <sheetName val="Service charge for 2010"/>
      <sheetName val="Opening trial balance "/>
      <sheetName val="Notes"/>
      <sheetName val="GTB Call AC"/>
      <sheetName val="det bsheet"/>
      <sheetName val="Closing trial balance"/>
      <sheetName val="det income"/>
      <sheetName val="Bsheet and PL"/>
      <sheetName val="Journal"/>
      <sheetName val="Cashflow"/>
      <sheetName val="CITI 2 account"/>
      <sheetName val="DBN"/>
      <sheetName val="FIN B"/>
      <sheetName val="FIN "/>
      <sheetName val="ACCESS"/>
      <sheetName val="INTER BANK"/>
      <sheetName val="Finbank"/>
      <sheetName val="STERLING"/>
      <sheetName val="Eco"/>
      <sheetName val="FCMB"/>
      <sheetName val="WEMA"/>
      <sheetName val="AFRI BANK"/>
      <sheetName val="issu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/>
      <sheetData sheetId="15" refreshError="1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1630338.43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-150000</v>
          </cell>
        </row>
        <row r="6">
          <cell r="F6">
            <v>906001.55</v>
          </cell>
          <cell r="H6">
            <v>0</v>
          </cell>
          <cell r="I6">
            <v>906001.55</v>
          </cell>
          <cell r="J6">
            <v>0</v>
          </cell>
          <cell r="K6">
            <v>906001.55</v>
          </cell>
          <cell r="M6">
            <v>0</v>
          </cell>
        </row>
        <row r="7">
          <cell r="F7">
            <v>-398141.5</v>
          </cell>
          <cell r="H7">
            <v>0</v>
          </cell>
          <cell r="I7">
            <v>-398141.5</v>
          </cell>
          <cell r="J7">
            <v>0</v>
          </cell>
          <cell r="K7">
            <v>-398141.5</v>
          </cell>
          <cell r="M7">
            <v>0</v>
          </cell>
        </row>
        <row r="8">
          <cell r="F8">
            <v>-3052858.28</v>
          </cell>
          <cell r="H8">
            <v>0</v>
          </cell>
          <cell r="I8">
            <v>-3052858.28</v>
          </cell>
          <cell r="J8">
            <v>0</v>
          </cell>
          <cell r="K8">
            <v>-3052858.28</v>
          </cell>
          <cell r="M8">
            <v>0</v>
          </cell>
        </row>
        <row r="9">
          <cell r="F9">
            <v>437914.87</v>
          </cell>
          <cell r="H9">
            <v>0</v>
          </cell>
          <cell r="I9">
            <v>437914.87</v>
          </cell>
          <cell r="J9">
            <v>0</v>
          </cell>
          <cell r="K9">
            <v>437914.87</v>
          </cell>
          <cell r="M9">
            <v>0</v>
          </cell>
        </row>
        <row r="10">
          <cell r="F10">
            <v>816090.12</v>
          </cell>
          <cell r="H10">
            <v>0</v>
          </cell>
          <cell r="I10">
            <v>816090.12</v>
          </cell>
          <cell r="J10">
            <v>0</v>
          </cell>
          <cell r="K10">
            <v>816090.12</v>
          </cell>
          <cell r="M10">
            <v>0</v>
          </cell>
        </row>
        <row r="11">
          <cell r="F11">
            <v>-1290993.2399999993</v>
          </cell>
          <cell r="H11">
            <v>0</v>
          </cell>
          <cell r="I11">
            <v>-1290993.2399999993</v>
          </cell>
          <cell r="J11">
            <v>0</v>
          </cell>
          <cell r="K11">
            <v>-1290993.2399999993</v>
          </cell>
          <cell r="M11">
            <v>1480338.43</v>
          </cell>
        </row>
        <row r="13"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30070.91</v>
          </cell>
        </row>
        <row r="14">
          <cell r="F14">
            <v>4583.4399999999996</v>
          </cell>
          <cell r="H14">
            <v>0</v>
          </cell>
          <cell r="I14">
            <v>4583.4399999999996</v>
          </cell>
          <cell r="J14">
            <v>0</v>
          </cell>
          <cell r="K14">
            <v>4583.4399999999996</v>
          </cell>
          <cell r="M14">
            <v>4583.4399999999996</v>
          </cell>
        </row>
        <row r="15">
          <cell r="F15">
            <v>20045.36</v>
          </cell>
          <cell r="H15">
            <v>0</v>
          </cell>
          <cell r="I15">
            <v>20045.36</v>
          </cell>
          <cell r="J15">
            <v>0</v>
          </cell>
          <cell r="K15">
            <v>20045.36</v>
          </cell>
          <cell r="M15">
            <v>20045.36</v>
          </cell>
        </row>
        <row r="16">
          <cell r="F16">
            <v>15193.26</v>
          </cell>
          <cell r="H16">
            <v>0</v>
          </cell>
          <cell r="I16">
            <v>15193.26</v>
          </cell>
          <cell r="J16">
            <v>0</v>
          </cell>
          <cell r="K16">
            <v>15193.26</v>
          </cell>
          <cell r="M16">
            <v>15193.26</v>
          </cell>
        </row>
        <row r="17">
          <cell r="F17">
            <v>37442.83</v>
          </cell>
          <cell r="H17">
            <v>0</v>
          </cell>
          <cell r="I17">
            <v>37442.83</v>
          </cell>
          <cell r="J17">
            <v>0</v>
          </cell>
          <cell r="K17">
            <v>37442.83</v>
          </cell>
          <cell r="M17">
            <v>37442.83</v>
          </cell>
        </row>
        <row r="18">
          <cell r="F18">
            <v>7023.25</v>
          </cell>
          <cell r="H18">
            <v>0</v>
          </cell>
          <cell r="I18">
            <v>7023.25</v>
          </cell>
          <cell r="J18">
            <v>0</v>
          </cell>
          <cell r="K18">
            <v>7023.25</v>
          </cell>
          <cell r="M18">
            <v>7023.25</v>
          </cell>
        </row>
        <row r="19">
          <cell r="F19">
            <v>13111.14</v>
          </cell>
          <cell r="H19">
            <v>787827.28</v>
          </cell>
          <cell r="I19">
            <v>800938.42</v>
          </cell>
          <cell r="J19">
            <v>0</v>
          </cell>
          <cell r="K19">
            <v>800938.42</v>
          </cell>
          <cell r="M19">
            <v>384836.44</v>
          </cell>
        </row>
        <row r="20">
          <cell r="F20">
            <v>1027256.59</v>
          </cell>
          <cell r="H20">
            <v>0</v>
          </cell>
          <cell r="I20">
            <v>1027256.59</v>
          </cell>
          <cell r="J20">
            <v>0</v>
          </cell>
          <cell r="K20">
            <v>1027256.59</v>
          </cell>
          <cell r="M20">
            <v>2663240.08</v>
          </cell>
        </row>
        <row r="21">
          <cell r="F21">
            <v>41811.81</v>
          </cell>
          <cell r="H21">
            <v>0</v>
          </cell>
          <cell r="I21">
            <v>41811.81</v>
          </cell>
          <cell r="J21">
            <v>0</v>
          </cell>
          <cell r="K21">
            <v>41811.81</v>
          </cell>
          <cell r="M21">
            <v>909742.38</v>
          </cell>
        </row>
        <row r="22">
          <cell r="F22">
            <v>-52188.12</v>
          </cell>
          <cell r="H22">
            <v>-37443</v>
          </cell>
          <cell r="I22">
            <v>-89631.12</v>
          </cell>
          <cell r="J22">
            <v>0</v>
          </cell>
          <cell r="K22">
            <v>-89631.12</v>
          </cell>
          <cell r="M22">
            <v>-76916.22</v>
          </cell>
        </row>
        <row r="23">
          <cell r="F23">
            <v>8121129.4500000002</v>
          </cell>
          <cell r="H23">
            <v>-4228108.2699999996</v>
          </cell>
          <cell r="I23">
            <v>3893021.18</v>
          </cell>
          <cell r="J23">
            <v>0</v>
          </cell>
          <cell r="K23">
            <v>3893021.18</v>
          </cell>
          <cell r="M23">
            <v>0</v>
          </cell>
        </row>
        <row r="24">
          <cell r="F24">
            <v>4340380.37</v>
          </cell>
          <cell r="H24">
            <v>-77665.179999999993</v>
          </cell>
          <cell r="I24">
            <v>4262715.1900000004</v>
          </cell>
          <cell r="J24">
            <v>0</v>
          </cell>
          <cell r="K24">
            <v>4262715.1900000004</v>
          </cell>
          <cell r="M24">
            <v>0</v>
          </cell>
        </row>
        <row r="25">
          <cell r="F25">
            <v>67018</v>
          </cell>
          <cell r="H25">
            <v>0</v>
          </cell>
          <cell r="I25">
            <v>67018</v>
          </cell>
          <cell r="J25">
            <v>0</v>
          </cell>
          <cell r="K25">
            <v>67018</v>
          </cell>
          <cell r="M25">
            <v>0</v>
          </cell>
        </row>
        <row r="26">
          <cell r="F26">
            <v>871269.69</v>
          </cell>
          <cell r="H26">
            <v>0</v>
          </cell>
          <cell r="I26">
            <v>871269.69</v>
          </cell>
          <cell r="J26">
            <v>0</v>
          </cell>
          <cell r="K26">
            <v>871269.69</v>
          </cell>
          <cell r="M26">
            <v>0</v>
          </cell>
        </row>
        <row r="27">
          <cell r="F27">
            <v>4419443.5</v>
          </cell>
          <cell r="H27">
            <v>0</v>
          </cell>
          <cell r="I27">
            <v>4419443.5</v>
          </cell>
          <cell r="J27">
            <v>0</v>
          </cell>
          <cell r="K27">
            <v>4419443.5</v>
          </cell>
          <cell r="M27">
            <v>0</v>
          </cell>
        </row>
        <row r="28">
          <cell r="F28">
            <v>-6660031.3899999997</v>
          </cell>
          <cell r="H28">
            <v>0</v>
          </cell>
          <cell r="I28">
            <v>-6660031.3899999997</v>
          </cell>
          <cell r="J28">
            <v>0</v>
          </cell>
          <cell r="K28">
            <v>-6660031.3899999997</v>
          </cell>
          <cell r="M28">
            <v>0</v>
          </cell>
        </row>
        <row r="29">
          <cell r="F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55798.559999999998</v>
          </cell>
        </row>
        <row r="30"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445432.77</v>
          </cell>
        </row>
        <row r="31"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23941.62</v>
          </cell>
        </row>
        <row r="32">
          <cell r="F32">
            <v>12273489.18</v>
          </cell>
          <cell r="H32">
            <v>-3555389.1699999995</v>
          </cell>
          <cell r="I32">
            <v>8718100.0100000016</v>
          </cell>
          <cell r="J32">
            <v>0</v>
          </cell>
          <cell r="K32">
            <v>8718100.0100000016</v>
          </cell>
          <cell r="M32">
            <v>4520434.6800000006</v>
          </cell>
        </row>
        <row r="34">
          <cell r="F34">
            <v>-110262.39999999999</v>
          </cell>
          <cell r="H34">
            <v>0</v>
          </cell>
          <cell r="I34">
            <v>-110262.39999999999</v>
          </cell>
          <cell r="J34">
            <v>0</v>
          </cell>
          <cell r="K34">
            <v>-110262.39999999999</v>
          </cell>
          <cell r="M34">
            <v>0</v>
          </cell>
        </row>
        <row r="35">
          <cell r="F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-164672.07999999999</v>
          </cell>
        </row>
        <row r="36"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-5607225.3099999996</v>
          </cell>
        </row>
        <row r="37">
          <cell r="F37">
            <v>49040.85</v>
          </cell>
          <cell r="H37">
            <v>-291116</v>
          </cell>
          <cell r="I37">
            <v>-242075.15</v>
          </cell>
          <cell r="J37">
            <v>0</v>
          </cell>
          <cell r="K37">
            <v>-242075.15</v>
          </cell>
          <cell r="M37">
            <v>0</v>
          </cell>
        </row>
        <row r="38">
          <cell r="F38">
            <v>5342.81</v>
          </cell>
          <cell r="H38">
            <v>-150791.82999999999</v>
          </cell>
          <cell r="I38">
            <v>-145449.01999999999</v>
          </cell>
          <cell r="J38">
            <v>0</v>
          </cell>
          <cell r="K38">
            <v>-145449.01999999999</v>
          </cell>
          <cell r="M38">
            <v>0</v>
          </cell>
        </row>
        <row r="39">
          <cell r="F39">
            <v>-135242.46</v>
          </cell>
          <cell r="H39">
            <v>-2700177.39</v>
          </cell>
          <cell r="I39">
            <v>-2835419.85</v>
          </cell>
          <cell r="J39">
            <v>0</v>
          </cell>
          <cell r="K39">
            <v>-2835419.85</v>
          </cell>
          <cell r="M39">
            <v>0</v>
          </cell>
        </row>
        <row r="40">
          <cell r="F40">
            <v>-191121.19999999998</v>
          </cell>
          <cell r="H40">
            <v>-3142085.22</v>
          </cell>
          <cell r="I40">
            <v>-3333206.42</v>
          </cell>
          <cell r="J40">
            <v>0</v>
          </cell>
          <cell r="K40">
            <v>-3333206.42</v>
          </cell>
          <cell r="M40">
            <v>-5771897.3899999997</v>
          </cell>
        </row>
        <row r="42">
          <cell r="F42">
            <v>220985322.03</v>
          </cell>
          <cell r="H42">
            <v>0</v>
          </cell>
          <cell r="I42">
            <v>220985322.03</v>
          </cell>
          <cell r="J42">
            <v>0</v>
          </cell>
          <cell r="K42">
            <v>220985322.03</v>
          </cell>
          <cell r="M42">
            <v>133071260.63</v>
          </cell>
        </row>
        <row r="43">
          <cell r="F43">
            <v>-36348967.299999997</v>
          </cell>
          <cell r="H43">
            <v>-46894969.759999998</v>
          </cell>
          <cell r="I43">
            <v>-83243937.060000002</v>
          </cell>
          <cell r="J43">
            <v>0</v>
          </cell>
          <cell r="K43">
            <v>-83243937.060000002</v>
          </cell>
          <cell r="M43">
            <v>0</v>
          </cell>
        </row>
        <row r="44">
          <cell r="F44">
            <v>184636354.73000002</v>
          </cell>
          <cell r="H44">
            <v>-46894969.759999998</v>
          </cell>
          <cell r="I44">
            <v>137741384.97</v>
          </cell>
          <cell r="J44">
            <v>0</v>
          </cell>
          <cell r="K44">
            <v>137741384.97</v>
          </cell>
          <cell r="M44">
            <v>133071260.63</v>
          </cell>
        </row>
        <row r="46"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3475147.96</v>
          </cell>
        </row>
        <row r="47">
          <cell r="F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M47">
            <v>0</v>
          </cell>
        </row>
        <row r="48"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M48">
            <v>0</v>
          </cell>
        </row>
        <row r="49">
          <cell r="F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M49">
            <v>0</v>
          </cell>
        </row>
        <row r="50">
          <cell r="F50">
            <v>3414335.67</v>
          </cell>
          <cell r="H50">
            <v>0</v>
          </cell>
          <cell r="I50">
            <v>3414335.67</v>
          </cell>
          <cell r="J50">
            <v>0</v>
          </cell>
          <cell r="K50">
            <v>3414335.67</v>
          </cell>
          <cell r="M50">
            <v>0</v>
          </cell>
        </row>
        <row r="51">
          <cell r="F51">
            <v>4388588.43</v>
          </cell>
          <cell r="H51">
            <v>0</v>
          </cell>
          <cell r="I51">
            <v>4388588.43</v>
          </cell>
          <cell r="J51">
            <v>0</v>
          </cell>
          <cell r="K51">
            <v>4388588.43</v>
          </cell>
          <cell r="M51">
            <v>0</v>
          </cell>
        </row>
        <row r="52">
          <cell r="F52">
            <v>-366522.97</v>
          </cell>
          <cell r="H52">
            <v>0</v>
          </cell>
          <cell r="I52">
            <v>-366522.97</v>
          </cell>
          <cell r="J52">
            <v>0</v>
          </cell>
          <cell r="K52">
            <v>-366522.97</v>
          </cell>
          <cell r="M52">
            <v>0</v>
          </cell>
        </row>
        <row r="53">
          <cell r="F53">
            <v>0</v>
          </cell>
          <cell r="H53">
            <v>-4388588</v>
          </cell>
          <cell r="I53">
            <v>-4388588</v>
          </cell>
          <cell r="J53">
            <v>0</v>
          </cell>
          <cell r="K53">
            <v>-4388588</v>
          </cell>
          <cell r="M53">
            <v>0</v>
          </cell>
        </row>
        <row r="54">
          <cell r="F54">
            <v>7436401.1299999999</v>
          </cell>
          <cell r="H54">
            <v>-4388588</v>
          </cell>
          <cell r="I54">
            <v>3047813.13</v>
          </cell>
          <cell r="J54">
            <v>0</v>
          </cell>
          <cell r="K54">
            <v>3047813.13</v>
          </cell>
          <cell r="M54">
            <v>3475147.96</v>
          </cell>
        </row>
        <row r="56"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788153.67</v>
          </cell>
        </row>
        <row r="57">
          <cell r="F57">
            <v>173450468.78</v>
          </cell>
          <cell r="H57">
            <v>0</v>
          </cell>
          <cell r="I57">
            <v>173450468.78</v>
          </cell>
          <cell r="J57">
            <v>0</v>
          </cell>
          <cell r="K57">
            <v>173450468.78</v>
          </cell>
          <cell r="M57">
            <v>0</v>
          </cell>
        </row>
        <row r="58">
          <cell r="F58">
            <v>-171340529.44999999</v>
          </cell>
          <cell r="H58">
            <v>0</v>
          </cell>
          <cell r="I58">
            <v>-171340529.44999999</v>
          </cell>
          <cell r="J58">
            <v>0</v>
          </cell>
          <cell r="K58">
            <v>-171340529.44999999</v>
          </cell>
          <cell r="M58">
            <v>0</v>
          </cell>
        </row>
        <row r="59">
          <cell r="F59">
            <v>24250</v>
          </cell>
          <cell r="H59">
            <v>0</v>
          </cell>
          <cell r="I59">
            <v>24250</v>
          </cell>
          <cell r="J59">
            <v>0</v>
          </cell>
          <cell r="K59">
            <v>24250</v>
          </cell>
          <cell r="M59">
            <v>0</v>
          </cell>
        </row>
        <row r="60">
          <cell r="F60">
            <v>-358340</v>
          </cell>
          <cell r="H60">
            <v>0</v>
          </cell>
          <cell r="I60">
            <v>-358340</v>
          </cell>
          <cell r="J60">
            <v>0</v>
          </cell>
          <cell r="K60">
            <v>-358340</v>
          </cell>
          <cell r="M60">
            <v>0</v>
          </cell>
        </row>
        <row r="61">
          <cell r="F61">
            <v>2563933.5499999998</v>
          </cell>
          <cell r="H61">
            <v>0</v>
          </cell>
          <cell r="I61">
            <v>2563933.5499999998</v>
          </cell>
          <cell r="J61">
            <v>0</v>
          </cell>
          <cell r="K61">
            <v>2563933.5499999998</v>
          </cell>
          <cell r="M61">
            <v>0</v>
          </cell>
        </row>
        <row r="62">
          <cell r="F62">
            <v>0</v>
          </cell>
          <cell r="H62">
            <v>-4339782.88</v>
          </cell>
          <cell r="I62">
            <v>-4339782.88</v>
          </cell>
          <cell r="J62">
            <v>0</v>
          </cell>
          <cell r="K62">
            <v>-4339782.88</v>
          </cell>
          <cell r="M62">
            <v>0</v>
          </cell>
        </row>
        <row r="63">
          <cell r="F63">
            <v>4339782.8800000129</v>
          </cell>
          <cell r="H63">
            <v>-4339782.88</v>
          </cell>
          <cell r="I63">
            <v>1.3038516044616699E-8</v>
          </cell>
          <cell r="J63">
            <v>0</v>
          </cell>
          <cell r="K63">
            <v>1.3038516044616699E-8</v>
          </cell>
          <cell r="M63">
            <v>788153.67</v>
          </cell>
        </row>
        <row r="65">
          <cell r="F65">
            <v>2235668.41</v>
          </cell>
          <cell r="H65">
            <v>0</v>
          </cell>
          <cell r="I65">
            <v>2235668.41</v>
          </cell>
          <cell r="J65">
            <v>0</v>
          </cell>
          <cell r="K65">
            <v>2235668.41</v>
          </cell>
          <cell r="M65">
            <v>2028000</v>
          </cell>
        </row>
        <row r="66">
          <cell r="F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M66">
            <v>595041.57999999996</v>
          </cell>
        </row>
        <row r="67">
          <cell r="F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>
            <v>387168.22</v>
          </cell>
        </row>
        <row r="68">
          <cell r="F68">
            <v>2502916.67</v>
          </cell>
          <cell r="H68">
            <v>0</v>
          </cell>
          <cell r="I68">
            <v>2502916.67</v>
          </cell>
          <cell r="J68">
            <v>0</v>
          </cell>
          <cell r="K68">
            <v>2502916.67</v>
          </cell>
          <cell r="M68">
            <v>4966416.67</v>
          </cell>
        </row>
        <row r="69">
          <cell r="F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</row>
        <row r="70">
          <cell r="F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0</v>
          </cell>
        </row>
        <row r="71">
          <cell r="F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403333.34</v>
          </cell>
        </row>
        <row r="72">
          <cell r="F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-0.02</v>
          </cell>
        </row>
        <row r="73">
          <cell r="F73">
            <v>11629128.789999999</v>
          </cell>
          <cell r="H73">
            <v>0</v>
          </cell>
          <cell r="I73">
            <v>11629128.789999999</v>
          </cell>
          <cell r="J73">
            <v>0</v>
          </cell>
          <cell r="K73">
            <v>11629128.789999999</v>
          </cell>
          <cell r="M73">
            <v>15804069.1</v>
          </cell>
        </row>
        <row r="74">
          <cell r="F74">
            <v>62313511.909999996</v>
          </cell>
          <cell r="H74">
            <v>-20316012.890000001</v>
          </cell>
          <cell r="I74">
            <v>41997499.020000003</v>
          </cell>
          <cell r="J74">
            <v>0</v>
          </cell>
          <cell r="K74">
            <v>41997499.020000003</v>
          </cell>
          <cell r="M74">
            <v>0</v>
          </cell>
        </row>
        <row r="75">
          <cell r="F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20322.810000000001</v>
          </cell>
        </row>
        <row r="76">
          <cell r="F76">
            <v>10231550.189999999</v>
          </cell>
          <cell r="H76">
            <v>-137238.09</v>
          </cell>
          <cell r="I76">
            <v>10094312.1</v>
          </cell>
          <cell r="J76">
            <v>0</v>
          </cell>
          <cell r="K76">
            <v>10094312.1</v>
          </cell>
          <cell r="M76">
            <v>3450858.6</v>
          </cell>
        </row>
        <row r="77">
          <cell r="F77">
            <v>-1030532.61</v>
          </cell>
          <cell r="H77">
            <v>0</v>
          </cell>
          <cell r="I77">
            <v>-1030532.61</v>
          </cell>
          <cell r="J77">
            <v>0</v>
          </cell>
          <cell r="K77">
            <v>-1030532.61</v>
          </cell>
          <cell r="M77">
            <v>-1030532.61</v>
          </cell>
        </row>
        <row r="78">
          <cell r="F78">
            <v>87882243.359999999</v>
          </cell>
          <cell r="H78">
            <v>-20453250.98</v>
          </cell>
          <cell r="I78">
            <v>67428992.379999995</v>
          </cell>
          <cell r="J78">
            <v>0</v>
          </cell>
          <cell r="K78">
            <v>67428992.379999995</v>
          </cell>
          <cell r="M78">
            <v>26624677.690000001</v>
          </cell>
        </row>
        <row r="80">
          <cell r="F80">
            <v>6472669.1100000003</v>
          </cell>
          <cell r="H80">
            <v>0</v>
          </cell>
          <cell r="I80">
            <v>6472669.1100000003</v>
          </cell>
          <cell r="J80">
            <v>0</v>
          </cell>
          <cell r="K80">
            <v>6472669.1100000003</v>
          </cell>
          <cell r="M80">
            <v>4218119.1100000003</v>
          </cell>
        </row>
        <row r="81">
          <cell r="F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152550</v>
          </cell>
        </row>
        <row r="82">
          <cell r="F82">
            <v>-1046405.09</v>
          </cell>
          <cell r="H82">
            <v>-574670.21</v>
          </cell>
          <cell r="I82">
            <v>-1621075.3</v>
          </cell>
          <cell r="J82">
            <v>0</v>
          </cell>
          <cell r="K82">
            <v>-1621075.3</v>
          </cell>
          <cell r="M82">
            <v>-888923.33</v>
          </cell>
        </row>
        <row r="83">
          <cell r="F83">
            <v>5426264.0200000005</v>
          </cell>
          <cell r="H83">
            <v>-574670.21</v>
          </cell>
          <cell r="I83">
            <v>4851593.8100000005</v>
          </cell>
          <cell r="J83">
            <v>0</v>
          </cell>
          <cell r="K83">
            <v>4851593.8100000005</v>
          </cell>
          <cell r="M83">
            <v>3481745.7800000003</v>
          </cell>
        </row>
        <row r="85">
          <cell r="F85">
            <v>83154062.629999995</v>
          </cell>
          <cell r="H85">
            <v>0</v>
          </cell>
          <cell r="I85">
            <v>83154062.629999995</v>
          </cell>
          <cell r="J85">
            <v>0</v>
          </cell>
          <cell r="K85">
            <v>83154062.629999995</v>
          </cell>
          <cell r="M85">
            <v>274171804</v>
          </cell>
        </row>
        <row r="86">
          <cell r="F86">
            <v>-38553485.700000003</v>
          </cell>
          <cell r="H86">
            <v>0</v>
          </cell>
          <cell r="I86">
            <v>-38553485.700000003</v>
          </cell>
          <cell r="J86">
            <v>0</v>
          </cell>
          <cell r="K86">
            <v>-38553485.700000003</v>
          </cell>
          <cell r="M86">
            <v>-148144192</v>
          </cell>
        </row>
        <row r="87">
          <cell r="F87">
            <v>44600576.929999992</v>
          </cell>
          <cell r="H87">
            <v>0</v>
          </cell>
          <cell r="I87">
            <v>44600576.929999992</v>
          </cell>
          <cell r="J87">
            <v>0</v>
          </cell>
          <cell r="K87">
            <v>44600576.929999992</v>
          </cell>
          <cell r="M87">
            <v>126027612</v>
          </cell>
        </row>
        <row r="89">
          <cell r="F89">
            <v>8813469.7100000009</v>
          </cell>
          <cell r="H89">
            <v>0</v>
          </cell>
          <cell r="I89">
            <v>8813469.7100000009</v>
          </cell>
          <cell r="J89">
            <v>0</v>
          </cell>
          <cell r="K89">
            <v>8813469.7100000009</v>
          </cell>
          <cell r="M89">
            <v>9336959.1600000001</v>
          </cell>
        </row>
        <row r="90">
          <cell r="F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M90">
            <v>129.55000000000001</v>
          </cell>
        </row>
        <row r="91">
          <cell r="F91">
            <v>-4804885.2</v>
          </cell>
          <cell r="H91">
            <v>-722807.59</v>
          </cell>
          <cell r="I91">
            <v>-5527692.79</v>
          </cell>
          <cell r="J91">
            <v>0</v>
          </cell>
          <cell r="K91">
            <v>-5527692.79</v>
          </cell>
          <cell r="M91">
            <v>-3788306</v>
          </cell>
        </row>
        <row r="92"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</row>
        <row r="93">
          <cell r="F93">
            <v>4008584.5100000007</v>
          </cell>
          <cell r="H93">
            <v>-722807.59</v>
          </cell>
          <cell r="I93">
            <v>3285776.9200000009</v>
          </cell>
          <cell r="J93">
            <v>0</v>
          </cell>
          <cell r="K93">
            <v>3285776.9200000009</v>
          </cell>
          <cell r="M93">
            <v>5548782.7100000009</v>
          </cell>
        </row>
        <row r="95">
          <cell r="F95">
            <v>0</v>
          </cell>
          <cell r="H95">
            <v>0</v>
          </cell>
          <cell r="I95">
            <v>0</v>
          </cell>
          <cell r="J95">
            <v>2956218</v>
          </cell>
          <cell r="K95">
            <v>2956218</v>
          </cell>
          <cell r="M95">
            <v>2093618.23</v>
          </cell>
        </row>
        <row r="96">
          <cell r="F96">
            <v>0</v>
          </cell>
          <cell r="H96">
            <v>-546505</v>
          </cell>
          <cell r="I96">
            <v>-546505</v>
          </cell>
          <cell r="J96">
            <v>-661050</v>
          </cell>
          <cell r="K96">
            <v>-1207555</v>
          </cell>
          <cell r="M96">
            <v>-661050</v>
          </cell>
        </row>
        <row r="97">
          <cell r="F97">
            <v>0</v>
          </cell>
          <cell r="H97">
            <v>-546505</v>
          </cell>
          <cell r="I97">
            <v>-546505</v>
          </cell>
          <cell r="J97">
            <v>2295168</v>
          </cell>
          <cell r="K97">
            <v>1748663</v>
          </cell>
          <cell r="M97">
            <v>1432568.23</v>
          </cell>
        </row>
        <row r="99">
          <cell r="F99">
            <v>5988526.2300000004</v>
          </cell>
          <cell r="H99">
            <v>0</v>
          </cell>
          <cell r="I99">
            <v>5988526.2300000004</v>
          </cell>
          <cell r="J99">
            <v>-2993174.8</v>
          </cell>
          <cell r="K99">
            <v>2995351.43</v>
          </cell>
          <cell r="M99">
            <v>2915321.25</v>
          </cell>
        </row>
        <row r="100"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M100">
            <v>53179.95</v>
          </cell>
        </row>
        <row r="101">
          <cell r="F101">
            <v>-1863349.64</v>
          </cell>
          <cell r="H101">
            <v>-234081.56</v>
          </cell>
          <cell r="I101">
            <v>-2097431.2000000002</v>
          </cell>
          <cell r="J101">
            <v>661050</v>
          </cell>
          <cell r="K101">
            <v>-1436381.2</v>
          </cell>
          <cell r="M101">
            <v>-823118.3</v>
          </cell>
        </row>
        <row r="102">
          <cell r="F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M102">
            <v>-25179.63</v>
          </cell>
        </row>
        <row r="103">
          <cell r="F103">
            <v>4125176.5900000008</v>
          </cell>
          <cell r="H103">
            <v>-234081.56</v>
          </cell>
          <cell r="I103">
            <v>3891095.0300000003</v>
          </cell>
          <cell r="J103">
            <v>-2332124.7999999998</v>
          </cell>
          <cell r="K103">
            <v>1558970.2300000002</v>
          </cell>
          <cell r="M103">
            <v>2120203.2700000005</v>
          </cell>
        </row>
        <row r="105">
          <cell r="F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M105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M106">
            <v>0</v>
          </cell>
        </row>
        <row r="108">
          <cell r="F108">
            <v>-31642274.210000001</v>
          </cell>
          <cell r="H108">
            <v>0</v>
          </cell>
          <cell r="I108">
            <v>-31642274.210000001</v>
          </cell>
          <cell r="J108">
            <v>805995</v>
          </cell>
          <cell r="K108">
            <v>-30836279.210000001</v>
          </cell>
          <cell r="M108">
            <v>-34963742.710000001</v>
          </cell>
        </row>
        <row r="109">
          <cell r="F109">
            <v>-31642274.210000001</v>
          </cell>
          <cell r="H109">
            <v>0</v>
          </cell>
          <cell r="I109">
            <v>-31642274.210000001</v>
          </cell>
          <cell r="J109">
            <v>805995</v>
          </cell>
          <cell r="K109">
            <v>-30836279.210000001</v>
          </cell>
          <cell r="M109">
            <v>-34963742.710000001</v>
          </cell>
        </row>
        <row r="111">
          <cell r="F111">
            <v>-20628556.949999999</v>
          </cell>
          <cell r="H111">
            <v>0</v>
          </cell>
          <cell r="I111">
            <v>-20628556.949999999</v>
          </cell>
          <cell r="J111">
            <v>0</v>
          </cell>
          <cell r="K111">
            <v>-20628556.949999999</v>
          </cell>
          <cell r="M111">
            <v>-8086593.9500000002</v>
          </cell>
        </row>
        <row r="112">
          <cell r="F112">
            <v>47105.42</v>
          </cell>
          <cell r="H112">
            <v>-47105.42</v>
          </cell>
          <cell r="I112">
            <v>0</v>
          </cell>
          <cell r="J112">
            <v>0</v>
          </cell>
          <cell r="K112">
            <v>0</v>
          </cell>
          <cell r="M112">
            <v>-106845.02</v>
          </cell>
        </row>
        <row r="113">
          <cell r="F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M113">
            <v>-118066.76</v>
          </cell>
        </row>
        <row r="114"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M114">
            <v>-24930.01</v>
          </cell>
        </row>
        <row r="115">
          <cell r="F115">
            <v>6620453.3799999999</v>
          </cell>
          <cell r="H115">
            <v>-6620453.3799999999</v>
          </cell>
          <cell r="I115">
            <v>0</v>
          </cell>
          <cell r="J115">
            <v>0</v>
          </cell>
          <cell r="K115">
            <v>0</v>
          </cell>
          <cell r="M115">
            <v>-3733596.56</v>
          </cell>
        </row>
        <row r="116">
          <cell r="F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-715542.09</v>
          </cell>
        </row>
        <row r="117">
          <cell r="F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M117">
            <v>-1218082.01</v>
          </cell>
        </row>
        <row r="118"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M118">
            <v>-149005.29999999999</v>
          </cell>
        </row>
        <row r="119"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M119">
            <v>-968017.33</v>
          </cell>
        </row>
        <row r="120">
          <cell r="F120">
            <v>-5720722.8600000003</v>
          </cell>
          <cell r="H120">
            <v>0</v>
          </cell>
          <cell r="I120">
            <v>-5720722.8600000003</v>
          </cell>
          <cell r="J120">
            <v>0</v>
          </cell>
          <cell r="K120">
            <v>-5720722.8600000003</v>
          </cell>
          <cell r="M120">
            <v>0</v>
          </cell>
        </row>
        <row r="121">
          <cell r="F121">
            <v>-200603</v>
          </cell>
          <cell r="H121">
            <v>0</v>
          </cell>
          <cell r="I121">
            <v>-200603</v>
          </cell>
          <cell r="J121">
            <v>0</v>
          </cell>
          <cell r="K121">
            <v>-200603</v>
          </cell>
          <cell r="M121">
            <v>0</v>
          </cell>
        </row>
        <row r="122">
          <cell r="F122">
            <v>-3075979.64</v>
          </cell>
          <cell r="H122">
            <v>0</v>
          </cell>
          <cell r="I122">
            <v>-3075979.64</v>
          </cell>
          <cell r="J122">
            <v>0</v>
          </cell>
          <cell r="K122">
            <v>-3075979.64</v>
          </cell>
          <cell r="M122">
            <v>0</v>
          </cell>
        </row>
        <row r="123">
          <cell r="F123">
            <v>-1400000</v>
          </cell>
          <cell r="H123">
            <v>0</v>
          </cell>
          <cell r="I123">
            <v>-1400000</v>
          </cell>
          <cell r="J123">
            <v>0</v>
          </cell>
          <cell r="K123">
            <v>-1400000</v>
          </cell>
          <cell r="M123">
            <v>0</v>
          </cell>
        </row>
        <row r="124">
          <cell r="F124">
            <v>-308839.28000000003</v>
          </cell>
          <cell r="H124">
            <v>0</v>
          </cell>
          <cell r="I124">
            <v>-308839.28000000003</v>
          </cell>
          <cell r="J124">
            <v>0</v>
          </cell>
          <cell r="K124">
            <v>-308839.28000000003</v>
          </cell>
          <cell r="M124">
            <v>0</v>
          </cell>
        </row>
        <row r="125">
          <cell r="F125">
            <v>-24667142.93</v>
          </cell>
          <cell r="H125">
            <v>-6667558.7999999998</v>
          </cell>
          <cell r="I125">
            <v>-31334701.73</v>
          </cell>
          <cell r="J125">
            <v>0</v>
          </cell>
          <cell r="K125">
            <v>-31334701.73</v>
          </cell>
          <cell r="M125">
            <v>-15120679.029999999</v>
          </cell>
        </row>
        <row r="127">
          <cell r="F127">
            <v>-18902488.809999999</v>
          </cell>
          <cell r="H127">
            <v>0</v>
          </cell>
          <cell r="I127">
            <v>-18902488.809999999</v>
          </cell>
          <cell r="J127">
            <v>0</v>
          </cell>
          <cell r="K127">
            <v>-18902488.809999999</v>
          </cell>
          <cell r="M127">
            <v>-4952562.58</v>
          </cell>
        </row>
        <row r="128">
          <cell r="F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M128">
            <v>-940471.24</v>
          </cell>
        </row>
        <row r="129">
          <cell r="F129">
            <v>-4038011.81</v>
          </cell>
          <cell r="H129">
            <v>0</v>
          </cell>
          <cell r="I129">
            <v>-4038011.81</v>
          </cell>
          <cell r="J129">
            <v>0</v>
          </cell>
          <cell r="K129">
            <v>-4038011.81</v>
          </cell>
          <cell r="M129">
            <v>-3592360.72</v>
          </cell>
        </row>
        <row r="130">
          <cell r="F130">
            <v>1466164.53</v>
          </cell>
          <cell r="H130">
            <v>0</v>
          </cell>
          <cell r="I130">
            <v>1466164.53</v>
          </cell>
          <cell r="J130">
            <v>0</v>
          </cell>
          <cell r="K130">
            <v>1466164.53</v>
          </cell>
          <cell r="M130">
            <v>0</v>
          </cell>
        </row>
        <row r="131">
          <cell r="F131">
            <v>-573769.77</v>
          </cell>
          <cell r="H131">
            <v>0</v>
          </cell>
          <cell r="I131">
            <v>-573769.77</v>
          </cell>
          <cell r="J131">
            <v>0</v>
          </cell>
          <cell r="K131">
            <v>-573769.77</v>
          </cell>
          <cell r="M131">
            <v>0</v>
          </cell>
        </row>
        <row r="132">
          <cell r="F132">
            <v>-5.05</v>
          </cell>
          <cell r="H132">
            <v>5.05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</row>
        <row r="133">
          <cell r="F133">
            <v>-22048110.909999996</v>
          </cell>
          <cell r="H133">
            <v>5.05</v>
          </cell>
          <cell r="I133">
            <v>-22048105.859999996</v>
          </cell>
          <cell r="J133">
            <v>0</v>
          </cell>
          <cell r="K133">
            <v>-22048105.859999996</v>
          </cell>
          <cell r="M133">
            <v>-9485394.540000001</v>
          </cell>
        </row>
        <row r="135">
          <cell r="F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M135">
            <v>-901435.23</v>
          </cell>
        </row>
        <row r="136"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M136">
            <v>-901435.23</v>
          </cell>
        </row>
        <row r="138">
          <cell r="F138">
            <v>-25693133.649999999</v>
          </cell>
          <cell r="H138">
            <v>-5930318.5</v>
          </cell>
          <cell r="I138">
            <v>-31623452.149999999</v>
          </cell>
          <cell r="J138">
            <v>0</v>
          </cell>
          <cell r="K138">
            <v>-31623452.149999999</v>
          </cell>
          <cell r="M138">
            <v>-16356721.07</v>
          </cell>
        </row>
        <row r="139">
          <cell r="F139">
            <v>-25693133.649999999</v>
          </cell>
          <cell r="H139">
            <v>-5930318.5</v>
          </cell>
          <cell r="I139">
            <v>-31623452.149999999</v>
          </cell>
          <cell r="J139">
            <v>0</v>
          </cell>
          <cell r="K139">
            <v>-31623452.149999999</v>
          </cell>
          <cell r="M139">
            <v>-16356721.07</v>
          </cell>
        </row>
        <row r="141"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M141">
            <v>-50480.480000000003</v>
          </cell>
        </row>
        <row r="142"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M142">
            <v>-65555.62</v>
          </cell>
        </row>
        <row r="143">
          <cell r="F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M143">
            <v>-116036.1</v>
          </cell>
        </row>
        <row r="145">
          <cell r="F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M145">
            <v>0</v>
          </cell>
        </row>
        <row r="147">
          <cell r="F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M147">
            <v>0</v>
          </cell>
        </row>
        <row r="149">
          <cell r="F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M149">
            <v>0</v>
          </cell>
        </row>
        <row r="151">
          <cell r="F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M151">
            <v>0</v>
          </cell>
        </row>
        <row r="152">
          <cell r="F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M152">
            <v>0</v>
          </cell>
        </row>
        <row r="154">
          <cell r="F154">
            <v>-8727898.9600000009</v>
          </cell>
          <cell r="H154">
            <v>81443.199999999997</v>
          </cell>
          <cell r="I154">
            <v>-8646455.7599999998</v>
          </cell>
          <cell r="J154">
            <v>0</v>
          </cell>
          <cell r="K154">
            <v>-8646455.7599999998</v>
          </cell>
          <cell r="M154">
            <v>-7490000</v>
          </cell>
        </row>
        <row r="155">
          <cell r="F155">
            <v>-49472304.369999997</v>
          </cell>
          <cell r="H155">
            <v>-891274.46</v>
          </cell>
          <cell r="I155">
            <v>-50363578.829999998</v>
          </cell>
          <cell r="J155">
            <v>0</v>
          </cell>
          <cell r="K155">
            <v>-50363578.829999998</v>
          </cell>
          <cell r="M155">
            <v>-43804065</v>
          </cell>
        </row>
        <row r="156">
          <cell r="F156">
            <v>-58200203.329999998</v>
          </cell>
          <cell r="H156">
            <v>-809831.26</v>
          </cell>
          <cell r="I156">
            <v>-59010034.589999996</v>
          </cell>
          <cell r="J156">
            <v>0</v>
          </cell>
          <cell r="K156">
            <v>-59010034.589999996</v>
          </cell>
          <cell r="M156">
            <v>-51294065</v>
          </cell>
        </row>
        <row r="158">
          <cell r="F158">
            <v>25045663.989999998</v>
          </cell>
          <cell r="H158">
            <v>0</v>
          </cell>
          <cell r="I158">
            <v>25045663.989999998</v>
          </cell>
          <cell r="J158">
            <v>-805995</v>
          </cell>
          <cell r="K158">
            <v>24239668.989999998</v>
          </cell>
          <cell r="M158">
            <v>171515074.30000001</v>
          </cell>
        </row>
        <row r="159">
          <cell r="F159">
            <v>128125820.12</v>
          </cell>
          <cell r="H159">
            <v>0</v>
          </cell>
          <cell r="I159">
            <v>128125820.12</v>
          </cell>
          <cell r="J159">
            <v>0</v>
          </cell>
          <cell r="K159">
            <v>128125820.12</v>
          </cell>
          <cell r="M159">
            <v>-4205437.79</v>
          </cell>
        </row>
        <row r="160">
          <cell r="F160">
            <v>153171484.11000001</v>
          </cell>
          <cell r="H160">
            <v>0</v>
          </cell>
          <cell r="I160">
            <v>153171484.11000001</v>
          </cell>
          <cell r="J160">
            <v>-805995</v>
          </cell>
          <cell r="K160">
            <v>152365489.11000001</v>
          </cell>
          <cell r="M160">
            <v>167309636.51000002</v>
          </cell>
        </row>
        <row r="162">
          <cell r="F162">
            <v>-22200000</v>
          </cell>
          <cell r="H162">
            <v>0</v>
          </cell>
          <cell r="I162">
            <v>-22200000</v>
          </cell>
          <cell r="J162">
            <v>0</v>
          </cell>
          <cell r="K162">
            <v>-22200000</v>
          </cell>
          <cell r="M162">
            <v>0</v>
          </cell>
        </row>
        <row r="163">
          <cell r="F163">
            <v>-22200000</v>
          </cell>
          <cell r="H163">
            <v>0</v>
          </cell>
          <cell r="I163">
            <v>-22200000</v>
          </cell>
          <cell r="J163">
            <v>0</v>
          </cell>
          <cell r="K163">
            <v>-22200000</v>
          </cell>
          <cell r="M163">
            <v>0</v>
          </cell>
        </row>
        <row r="165">
          <cell r="F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M165">
            <v>-23160.12</v>
          </cell>
        </row>
        <row r="166">
          <cell r="F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M166">
            <v>4607.2</v>
          </cell>
        </row>
        <row r="167">
          <cell r="F167">
            <v>-25067055.66</v>
          </cell>
          <cell r="H167">
            <v>-6896854.0800000001</v>
          </cell>
          <cell r="I167">
            <v>-31963909.739999998</v>
          </cell>
          <cell r="J167">
            <v>0</v>
          </cell>
          <cell r="K167">
            <v>-31963909.739999998</v>
          </cell>
          <cell r="M167">
            <v>-44176168.009999998</v>
          </cell>
        </row>
        <row r="168">
          <cell r="F168">
            <v>11903.75</v>
          </cell>
          <cell r="H168">
            <v>-11903.75</v>
          </cell>
          <cell r="I168">
            <v>0</v>
          </cell>
          <cell r="J168">
            <v>0</v>
          </cell>
          <cell r="K168">
            <v>0</v>
          </cell>
          <cell r="M168">
            <v>0</v>
          </cell>
        </row>
        <row r="169">
          <cell r="F169">
            <v>-25055151.91</v>
          </cell>
          <cell r="H169">
            <v>-6908757.8300000001</v>
          </cell>
          <cell r="I169">
            <v>-31963909.739999998</v>
          </cell>
          <cell r="J169">
            <v>0</v>
          </cell>
          <cell r="K169">
            <v>-31963909.739999998</v>
          </cell>
          <cell r="M169">
            <v>-44194720.93</v>
          </cell>
        </row>
        <row r="171">
          <cell r="F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M171">
            <v>0</v>
          </cell>
        </row>
        <row r="173">
          <cell r="F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M173">
            <v>0</v>
          </cell>
        </row>
        <row r="175">
          <cell r="F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M175">
            <v>0</v>
          </cell>
        </row>
        <row r="177">
          <cell r="F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M177">
            <v>0</v>
          </cell>
        </row>
        <row r="179">
          <cell r="F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</row>
        <row r="181">
          <cell r="F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M181">
            <v>0</v>
          </cell>
        </row>
        <row r="183">
          <cell r="F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M183">
            <v>0</v>
          </cell>
        </row>
        <row r="185"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M185">
            <v>0</v>
          </cell>
        </row>
        <row r="187">
          <cell r="F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M187">
            <v>-13779844.460000001</v>
          </cell>
        </row>
        <row r="188">
          <cell r="F188">
            <v>-6766111.8499999996</v>
          </cell>
          <cell r="H188">
            <v>0</v>
          </cell>
          <cell r="I188">
            <v>-6766111.8499999996</v>
          </cell>
          <cell r="J188">
            <v>0</v>
          </cell>
          <cell r="K188">
            <v>-6766111.8499999996</v>
          </cell>
          <cell r="M188">
            <v>-1557517.03</v>
          </cell>
        </row>
        <row r="189">
          <cell r="F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-24166494.719999999</v>
          </cell>
        </row>
        <row r="190">
          <cell r="F190">
            <v>-16732637.300000001</v>
          </cell>
          <cell r="H190">
            <v>0</v>
          </cell>
          <cell r="I190">
            <v>-16732637.300000001</v>
          </cell>
          <cell r="J190">
            <v>0</v>
          </cell>
          <cell r="K190">
            <v>-16732637.300000001</v>
          </cell>
          <cell r="M190">
            <v>-2605724.96</v>
          </cell>
        </row>
        <row r="191">
          <cell r="F191">
            <v>-6873185.4100000001</v>
          </cell>
          <cell r="H191">
            <v>0</v>
          </cell>
          <cell r="I191">
            <v>-6873185.4100000001</v>
          </cell>
          <cell r="J191">
            <v>0</v>
          </cell>
          <cell r="K191">
            <v>-6873185.4100000001</v>
          </cell>
          <cell r="M191">
            <v>-23660126.219999999</v>
          </cell>
        </row>
        <row r="192">
          <cell r="F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M192">
            <v>-3703329.9</v>
          </cell>
        </row>
        <row r="193">
          <cell r="F193">
            <v>-12370875.369999999</v>
          </cell>
          <cell r="H193">
            <v>0</v>
          </cell>
          <cell r="I193">
            <v>-12370875.369999999</v>
          </cell>
          <cell r="J193">
            <v>0</v>
          </cell>
          <cell r="K193">
            <v>-12370875.369999999</v>
          </cell>
          <cell r="M193">
            <v>-9773243.1500000004</v>
          </cell>
        </row>
        <row r="194">
          <cell r="F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M194">
            <v>-1972886.29</v>
          </cell>
        </row>
        <row r="195">
          <cell r="F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M195">
            <v>-11417958.439999999</v>
          </cell>
        </row>
        <row r="196">
          <cell r="F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M196">
            <v>-2448999.94</v>
          </cell>
        </row>
        <row r="197">
          <cell r="F197">
            <v>-1760510.79</v>
          </cell>
          <cell r="H197">
            <v>0</v>
          </cell>
          <cell r="I197">
            <v>-1760510.79</v>
          </cell>
          <cell r="J197">
            <v>0</v>
          </cell>
          <cell r="K197">
            <v>-1760510.79</v>
          </cell>
          <cell r="M197">
            <v>-3971578.97</v>
          </cell>
        </row>
        <row r="198">
          <cell r="F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M198">
            <v>-831857.85</v>
          </cell>
        </row>
        <row r="199">
          <cell r="F199">
            <v>-6639946.0599999996</v>
          </cell>
          <cell r="H199">
            <v>0</v>
          </cell>
          <cell r="I199">
            <v>-6639946.0599999996</v>
          </cell>
          <cell r="J199">
            <v>0</v>
          </cell>
          <cell r="K199">
            <v>-6639946.0599999996</v>
          </cell>
          <cell r="M199">
            <v>-14316028.359999999</v>
          </cell>
        </row>
        <row r="200">
          <cell r="F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M200">
            <v>-2889919.55</v>
          </cell>
        </row>
        <row r="201">
          <cell r="F201">
            <v>-3227660.96</v>
          </cell>
          <cell r="H201">
            <v>0</v>
          </cell>
          <cell r="I201">
            <v>-3227660.96</v>
          </cell>
          <cell r="J201">
            <v>0</v>
          </cell>
          <cell r="K201">
            <v>-3227660.96</v>
          </cell>
          <cell r="M201">
            <v>-4103253.4</v>
          </cell>
        </row>
        <row r="202">
          <cell r="F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M202">
            <v>-828307.72</v>
          </cell>
        </row>
        <row r="203">
          <cell r="F203">
            <v>-8360223.3499999996</v>
          </cell>
          <cell r="H203">
            <v>0</v>
          </cell>
          <cell r="I203">
            <v>-8360223.3499999996</v>
          </cell>
          <cell r="J203">
            <v>0</v>
          </cell>
          <cell r="K203">
            <v>-8360223.3499999996</v>
          </cell>
          <cell r="M203">
            <v>-10001769.17</v>
          </cell>
        </row>
        <row r="204">
          <cell r="F204">
            <v>-19043598.210000001</v>
          </cell>
          <cell r="H204">
            <v>0</v>
          </cell>
          <cell r="I204">
            <v>-19043598.210000001</v>
          </cell>
          <cell r="J204">
            <v>0</v>
          </cell>
          <cell r="K204">
            <v>-19043598.210000001</v>
          </cell>
          <cell r="M204">
            <v>-7467388.4699999997</v>
          </cell>
        </row>
        <row r="205">
          <cell r="F205">
            <v>-81774749.300000012</v>
          </cell>
          <cell r="H205">
            <v>0</v>
          </cell>
          <cell r="I205">
            <v>-81774749.300000012</v>
          </cell>
          <cell r="J205">
            <v>0</v>
          </cell>
          <cell r="K205">
            <v>-81774749.300000012</v>
          </cell>
          <cell r="M205">
            <v>-139496228.60000002</v>
          </cell>
        </row>
        <row r="207">
          <cell r="F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</row>
        <row r="209">
          <cell r="F209">
            <v>-20000000</v>
          </cell>
          <cell r="H209">
            <v>0</v>
          </cell>
          <cell r="I209">
            <v>-20000000</v>
          </cell>
          <cell r="J209">
            <v>0</v>
          </cell>
          <cell r="K209">
            <v>-20000000</v>
          </cell>
          <cell r="M209">
            <v>-20000000</v>
          </cell>
        </row>
        <row r="210">
          <cell r="F210">
            <v>30.22</v>
          </cell>
          <cell r="H210">
            <v>-30.22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</row>
        <row r="211">
          <cell r="F211">
            <v>-19999969.780000001</v>
          </cell>
          <cell r="H211">
            <v>-30.22</v>
          </cell>
          <cell r="I211">
            <v>-20000000</v>
          </cell>
          <cell r="J211">
            <v>0</v>
          </cell>
          <cell r="K211">
            <v>-20000000</v>
          </cell>
          <cell r="M211">
            <v>-20000000</v>
          </cell>
        </row>
        <row r="213">
          <cell r="F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</row>
        <row r="215">
          <cell r="F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M215">
            <v>0</v>
          </cell>
        </row>
        <row r="217">
          <cell r="F217">
            <v>-207000000</v>
          </cell>
          <cell r="H217">
            <v>0</v>
          </cell>
          <cell r="I217">
            <v>-207000000</v>
          </cell>
          <cell r="J217">
            <v>0</v>
          </cell>
          <cell r="K217">
            <v>-207000000</v>
          </cell>
          <cell r="M217">
            <v>-207000000</v>
          </cell>
        </row>
        <row r="218">
          <cell r="F218">
            <v>-207000000</v>
          </cell>
          <cell r="H218">
            <v>0</v>
          </cell>
          <cell r="I218">
            <v>-207000000</v>
          </cell>
          <cell r="J218">
            <v>0</v>
          </cell>
          <cell r="K218">
            <v>-207000000</v>
          </cell>
          <cell r="M218">
            <v>-207000000</v>
          </cell>
        </row>
        <row r="220">
          <cell r="F220">
            <v>68962345.599999994</v>
          </cell>
          <cell r="H220">
            <v>0</v>
          </cell>
          <cell r="I220">
            <v>68962345.599999994</v>
          </cell>
          <cell r="J220">
            <v>0</v>
          </cell>
          <cell r="K220">
            <v>68962345.599999994</v>
          </cell>
          <cell r="M220">
            <v>0</v>
          </cell>
        </row>
        <row r="221">
          <cell r="F221">
            <v>-142051.56</v>
          </cell>
          <cell r="H221">
            <v>0</v>
          </cell>
          <cell r="I221">
            <v>-142051.56</v>
          </cell>
          <cell r="J221">
            <v>0</v>
          </cell>
          <cell r="K221">
            <v>-142051.56</v>
          </cell>
          <cell r="M221">
            <v>0</v>
          </cell>
        </row>
        <row r="222">
          <cell r="F222">
            <v>68820294.039999992</v>
          </cell>
          <cell r="H222">
            <v>0</v>
          </cell>
          <cell r="I222">
            <v>68820294.039999992</v>
          </cell>
          <cell r="J222">
            <v>0</v>
          </cell>
          <cell r="K222">
            <v>68820294.039999992</v>
          </cell>
          <cell r="M222">
            <v>0</v>
          </cell>
        </row>
        <row r="224">
          <cell r="F224">
            <v>0</v>
          </cell>
          <cell r="H224">
            <v>-47151385.920000002</v>
          </cell>
          <cell r="I224">
            <v>-47151385.920000002</v>
          </cell>
          <cell r="J224">
            <v>0</v>
          </cell>
          <cell r="K224">
            <v>-47151385.920000002</v>
          </cell>
          <cell r="M224">
            <v>0</v>
          </cell>
        </row>
        <row r="225">
          <cell r="F225">
            <v>0</v>
          </cell>
          <cell r="H225">
            <v>-47151385.920000002</v>
          </cell>
          <cell r="I225">
            <v>-47151385.920000002</v>
          </cell>
          <cell r="J225">
            <v>0</v>
          </cell>
          <cell r="K225">
            <v>-47151385.920000002</v>
          </cell>
          <cell r="M225">
            <v>0</v>
          </cell>
        </row>
        <row r="227">
          <cell r="F227">
            <v>142051.56</v>
          </cell>
          <cell r="H227">
            <v>-142052</v>
          </cell>
          <cell r="I227">
            <v>-0.44</v>
          </cell>
          <cell r="J227">
            <v>0</v>
          </cell>
          <cell r="K227">
            <v>-0.44</v>
          </cell>
          <cell r="M227">
            <v>-142051.56</v>
          </cell>
        </row>
        <row r="228">
          <cell r="F228">
            <v>-22702308</v>
          </cell>
          <cell r="H228">
            <v>0</v>
          </cell>
          <cell r="I228">
            <v>-22702308</v>
          </cell>
          <cell r="J228">
            <v>0</v>
          </cell>
          <cell r="K228">
            <v>-22702308</v>
          </cell>
          <cell r="M228">
            <v>0</v>
          </cell>
        </row>
        <row r="229">
          <cell r="F229">
            <v>-61509084.710000001</v>
          </cell>
          <cell r="H229">
            <v>0</v>
          </cell>
          <cell r="I229">
            <v>-61509084.710000001</v>
          </cell>
          <cell r="J229">
            <v>0</v>
          </cell>
          <cell r="K229">
            <v>-61509084.710000001</v>
          </cell>
          <cell r="M229">
            <v>0</v>
          </cell>
        </row>
        <row r="230">
          <cell r="F230">
            <v>-385004490.89999998</v>
          </cell>
          <cell r="H230">
            <v>0</v>
          </cell>
          <cell r="I230">
            <v>-385004490.89999998</v>
          </cell>
          <cell r="J230">
            <v>0</v>
          </cell>
          <cell r="K230">
            <v>-385004490.89999998</v>
          </cell>
          <cell r="M230">
            <v>-690878662.38999999</v>
          </cell>
        </row>
        <row r="231">
          <cell r="F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-41216134.359999999</v>
          </cell>
        </row>
        <row r="232">
          <cell r="F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M232">
            <v>-581049</v>
          </cell>
        </row>
        <row r="233">
          <cell r="F233">
            <v>-34326418.729999997</v>
          </cell>
          <cell r="H233">
            <v>67467398.810000002</v>
          </cell>
          <cell r="I233">
            <v>33140980.079999998</v>
          </cell>
          <cell r="J233">
            <v>0</v>
          </cell>
          <cell r="K233">
            <v>33140980.079999998</v>
          </cell>
          <cell r="M233">
            <v>-4000</v>
          </cell>
        </row>
        <row r="234">
          <cell r="F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M234">
            <v>3885740.9</v>
          </cell>
        </row>
        <row r="235">
          <cell r="F235">
            <v>-503400250.77999997</v>
          </cell>
          <cell r="H235">
            <v>67325346.810000002</v>
          </cell>
          <cell r="I235">
            <v>-436074903.96999997</v>
          </cell>
          <cell r="J235">
            <v>0</v>
          </cell>
          <cell r="K235">
            <v>-436074903.96999997</v>
          </cell>
          <cell r="M235">
            <v>-728936156.40999997</v>
          </cell>
        </row>
        <row r="237">
          <cell r="F237">
            <v>27050572.800000001</v>
          </cell>
          <cell r="H237">
            <v>0</v>
          </cell>
          <cell r="I237">
            <v>27050572.800000001</v>
          </cell>
          <cell r="J237">
            <v>0</v>
          </cell>
          <cell r="K237">
            <v>27050572.800000001</v>
          </cell>
          <cell r="M237">
            <v>0</v>
          </cell>
        </row>
        <row r="238">
          <cell r="F238">
            <v>186365477.12</v>
          </cell>
          <cell r="H238">
            <v>28797.96</v>
          </cell>
          <cell r="I238">
            <v>186394275.08000001</v>
          </cell>
          <cell r="J238">
            <v>0</v>
          </cell>
          <cell r="K238">
            <v>186394275.08000001</v>
          </cell>
          <cell r="M238">
            <v>0</v>
          </cell>
        </row>
        <row r="239">
          <cell r="F239">
            <v>-14257490.449999999</v>
          </cell>
          <cell r="H239">
            <v>0</v>
          </cell>
          <cell r="I239">
            <v>-14257490.449999999</v>
          </cell>
          <cell r="J239">
            <v>0</v>
          </cell>
          <cell r="K239">
            <v>-14257490.449999999</v>
          </cell>
          <cell r="M239">
            <v>0</v>
          </cell>
        </row>
        <row r="240">
          <cell r="F240">
            <v>4418751.7699999996</v>
          </cell>
          <cell r="H240">
            <v>0</v>
          </cell>
          <cell r="I240">
            <v>4418751.7699999996</v>
          </cell>
          <cell r="J240">
            <v>0</v>
          </cell>
          <cell r="K240">
            <v>4418751.7699999996</v>
          </cell>
          <cell r="M240">
            <v>7872585.75</v>
          </cell>
        </row>
        <row r="241">
          <cell r="F241">
            <v>203577311.24000004</v>
          </cell>
          <cell r="H241">
            <v>28797.96</v>
          </cell>
          <cell r="I241">
            <v>203606109.20000005</v>
          </cell>
          <cell r="J241">
            <v>0</v>
          </cell>
          <cell r="K241">
            <v>203606109.20000005</v>
          </cell>
          <cell r="M241">
            <v>7872585.75</v>
          </cell>
        </row>
        <row r="243">
          <cell r="F243">
            <v>5990818.2300000004</v>
          </cell>
          <cell r="H243">
            <v>1343278</v>
          </cell>
          <cell r="I243">
            <v>7334096.2300000004</v>
          </cell>
          <cell r="J243">
            <v>0</v>
          </cell>
          <cell r="K243">
            <v>7334096.2300000004</v>
          </cell>
          <cell r="M243">
            <v>0</v>
          </cell>
        </row>
        <row r="244">
          <cell r="F244">
            <v>4963149.05</v>
          </cell>
          <cell r="H244">
            <v>74500</v>
          </cell>
          <cell r="I244">
            <v>5037649.05</v>
          </cell>
          <cell r="J244">
            <v>0</v>
          </cell>
          <cell r="K244">
            <v>5037649.05</v>
          </cell>
          <cell r="M244">
            <v>0</v>
          </cell>
        </row>
        <row r="245">
          <cell r="F245">
            <v>3882656.13</v>
          </cell>
          <cell r="H245">
            <v>0</v>
          </cell>
          <cell r="I245">
            <v>3882656.13</v>
          </cell>
          <cell r="J245">
            <v>0</v>
          </cell>
          <cell r="K245">
            <v>3882656.13</v>
          </cell>
          <cell r="M245">
            <v>0</v>
          </cell>
        </row>
        <row r="246">
          <cell r="F246">
            <v>435000</v>
          </cell>
          <cell r="H246">
            <v>0</v>
          </cell>
          <cell r="I246">
            <v>435000</v>
          </cell>
          <cell r="J246">
            <v>0</v>
          </cell>
          <cell r="K246">
            <v>435000</v>
          </cell>
          <cell r="M246">
            <v>0</v>
          </cell>
        </row>
        <row r="247">
          <cell r="F247">
            <v>0</v>
          </cell>
          <cell r="H247">
            <v>4388588</v>
          </cell>
          <cell r="I247">
            <v>4388588</v>
          </cell>
          <cell r="J247">
            <v>0</v>
          </cell>
          <cell r="K247">
            <v>4388588</v>
          </cell>
          <cell r="M247">
            <v>0</v>
          </cell>
        </row>
        <row r="248">
          <cell r="F248">
            <v>-25000</v>
          </cell>
          <cell r="H248">
            <v>0</v>
          </cell>
          <cell r="I248">
            <v>-25000</v>
          </cell>
          <cell r="J248">
            <v>0</v>
          </cell>
          <cell r="K248">
            <v>-25000</v>
          </cell>
          <cell r="M248">
            <v>-200000</v>
          </cell>
        </row>
        <row r="249">
          <cell r="F249">
            <v>3000</v>
          </cell>
          <cell r="H249">
            <v>0</v>
          </cell>
          <cell r="I249">
            <v>3000</v>
          </cell>
          <cell r="J249">
            <v>0</v>
          </cell>
          <cell r="K249">
            <v>3000</v>
          </cell>
          <cell r="M249">
            <v>97500</v>
          </cell>
        </row>
        <row r="250">
          <cell r="F250">
            <v>63410</v>
          </cell>
          <cell r="H250">
            <v>0</v>
          </cell>
          <cell r="I250">
            <v>63410</v>
          </cell>
          <cell r="J250">
            <v>0</v>
          </cell>
          <cell r="K250">
            <v>63410</v>
          </cell>
          <cell r="M250">
            <v>-208164.23</v>
          </cell>
        </row>
        <row r="251">
          <cell r="F251">
            <v>15313033.41</v>
          </cell>
          <cell r="H251">
            <v>5806366</v>
          </cell>
          <cell r="I251">
            <v>21119399.41</v>
          </cell>
          <cell r="J251">
            <v>0</v>
          </cell>
          <cell r="K251">
            <v>21119399.41</v>
          </cell>
          <cell r="M251">
            <v>-310664.23</v>
          </cell>
        </row>
        <row r="253">
          <cell r="F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M253">
            <v>34163838.840000004</v>
          </cell>
        </row>
        <row r="254">
          <cell r="F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M254">
            <v>34163838.840000004</v>
          </cell>
        </row>
        <row r="256">
          <cell r="F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M256">
            <v>35807139.490000002</v>
          </cell>
        </row>
        <row r="257">
          <cell r="F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M257">
            <v>35807139.490000002</v>
          </cell>
        </row>
        <row r="259">
          <cell r="F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M259">
            <v>26412257.710000001</v>
          </cell>
        </row>
        <row r="260">
          <cell r="F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M260">
            <v>4997894.54</v>
          </cell>
        </row>
        <row r="261">
          <cell r="F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M261">
            <v>671100.96</v>
          </cell>
        </row>
        <row r="262">
          <cell r="F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M262">
            <v>32081253.210000001</v>
          </cell>
        </row>
        <row r="264">
          <cell r="F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</row>
        <row r="266">
          <cell r="F266">
            <v>5000</v>
          </cell>
          <cell r="H266">
            <v>0</v>
          </cell>
          <cell r="I266">
            <v>5000</v>
          </cell>
          <cell r="J266">
            <v>0</v>
          </cell>
          <cell r="K266">
            <v>5000</v>
          </cell>
          <cell r="M266">
            <v>0</v>
          </cell>
        </row>
        <row r="267">
          <cell r="F267">
            <v>10645.13</v>
          </cell>
          <cell r="H267">
            <v>0</v>
          </cell>
          <cell r="I267">
            <v>10645.13</v>
          </cell>
          <cell r="J267">
            <v>0</v>
          </cell>
          <cell r="K267">
            <v>10645.13</v>
          </cell>
          <cell r="M267">
            <v>0</v>
          </cell>
        </row>
        <row r="268">
          <cell r="F268">
            <v>55643056.140000001</v>
          </cell>
          <cell r="H268">
            <v>0</v>
          </cell>
          <cell r="I268">
            <v>55643056.140000001</v>
          </cell>
          <cell r="J268">
            <v>0</v>
          </cell>
          <cell r="K268">
            <v>55643056.140000001</v>
          </cell>
          <cell r="M268">
            <v>102462959.5</v>
          </cell>
        </row>
        <row r="269">
          <cell r="F269">
            <v>35000</v>
          </cell>
          <cell r="H269">
            <v>0</v>
          </cell>
          <cell r="I269">
            <v>35000</v>
          </cell>
          <cell r="J269">
            <v>0</v>
          </cell>
          <cell r="K269">
            <v>35000</v>
          </cell>
          <cell r="M269">
            <v>2904946.43</v>
          </cell>
        </row>
        <row r="270">
          <cell r="F270">
            <v>55693701.270000003</v>
          </cell>
          <cell r="H270">
            <v>0</v>
          </cell>
          <cell r="I270">
            <v>55693701.270000003</v>
          </cell>
          <cell r="J270">
            <v>0</v>
          </cell>
          <cell r="K270">
            <v>55693701.270000003</v>
          </cell>
          <cell r="M270">
            <v>105367905.93000001</v>
          </cell>
        </row>
        <row r="272">
          <cell r="F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</row>
        <row r="274">
          <cell r="F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</row>
        <row r="276">
          <cell r="F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M276">
            <v>83353621.709999993</v>
          </cell>
        </row>
        <row r="277">
          <cell r="F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M277">
            <v>83353621.709999993</v>
          </cell>
        </row>
        <row r="279">
          <cell r="F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M279">
            <v>0</v>
          </cell>
        </row>
        <row r="281">
          <cell r="F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M281">
            <v>0</v>
          </cell>
        </row>
        <row r="283">
          <cell r="F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M283">
            <v>48110.41</v>
          </cell>
        </row>
        <row r="284">
          <cell r="F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M284">
            <v>30908</v>
          </cell>
        </row>
        <row r="285">
          <cell r="F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M285">
            <v>79018.41</v>
          </cell>
        </row>
        <row r="287">
          <cell r="F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M287">
            <v>152846182</v>
          </cell>
        </row>
        <row r="288">
          <cell r="F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M288">
            <v>152846182</v>
          </cell>
        </row>
        <row r="290">
          <cell r="F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M290">
            <v>0</v>
          </cell>
        </row>
        <row r="292">
          <cell r="F292">
            <v>1523353.32</v>
          </cell>
          <cell r="H292">
            <v>0</v>
          </cell>
          <cell r="I292">
            <v>1523353.32</v>
          </cell>
          <cell r="J292">
            <v>0</v>
          </cell>
          <cell r="K292">
            <v>1523353.32</v>
          </cell>
          <cell r="M292">
            <v>17385504.210000001</v>
          </cell>
        </row>
        <row r="293">
          <cell r="F293">
            <v>1523353.32</v>
          </cell>
          <cell r="H293">
            <v>0</v>
          </cell>
          <cell r="I293">
            <v>1523353.32</v>
          </cell>
          <cell r="J293">
            <v>0</v>
          </cell>
          <cell r="K293">
            <v>1523353.32</v>
          </cell>
          <cell r="M293">
            <v>17385504.210000001</v>
          </cell>
        </row>
        <row r="295">
          <cell r="F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M295">
            <v>0</v>
          </cell>
        </row>
        <row r="297">
          <cell r="F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M297">
            <v>0</v>
          </cell>
        </row>
        <row r="299">
          <cell r="F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M299">
            <v>64374415.280000001</v>
          </cell>
        </row>
        <row r="300">
          <cell r="F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M300">
            <v>431100</v>
          </cell>
        </row>
        <row r="301">
          <cell r="F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M301">
            <v>64805515.280000001</v>
          </cell>
        </row>
        <row r="303">
          <cell r="F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</row>
        <row r="305">
          <cell r="F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M305">
            <v>0</v>
          </cell>
        </row>
        <row r="307">
          <cell r="F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M307">
            <v>0</v>
          </cell>
        </row>
        <row r="309">
          <cell r="F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M309">
            <v>0</v>
          </cell>
        </row>
        <row r="311">
          <cell r="F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M311">
            <v>0</v>
          </cell>
        </row>
        <row r="313">
          <cell r="F313">
            <v>553070</v>
          </cell>
          <cell r="H313">
            <v>0</v>
          </cell>
          <cell r="I313">
            <v>553070</v>
          </cell>
          <cell r="J313">
            <v>0</v>
          </cell>
          <cell r="K313">
            <v>553070</v>
          </cell>
          <cell r="M313">
            <v>3000</v>
          </cell>
        </row>
        <row r="314">
          <cell r="F314">
            <v>319654</v>
          </cell>
          <cell r="H314">
            <v>0</v>
          </cell>
          <cell r="I314">
            <v>319654</v>
          </cell>
          <cell r="J314">
            <v>0</v>
          </cell>
          <cell r="K314">
            <v>319654</v>
          </cell>
          <cell r="M314">
            <v>498840</v>
          </cell>
        </row>
        <row r="315">
          <cell r="F315">
            <v>432801.91</v>
          </cell>
          <cell r="H315">
            <v>0</v>
          </cell>
          <cell r="I315">
            <v>432801.91</v>
          </cell>
          <cell r="J315">
            <v>0</v>
          </cell>
          <cell r="K315">
            <v>432801.91</v>
          </cell>
          <cell r="M315">
            <v>214595.18</v>
          </cell>
        </row>
        <row r="316">
          <cell r="F316">
            <v>1305525.9099999999</v>
          </cell>
          <cell r="H316">
            <v>0</v>
          </cell>
          <cell r="I316">
            <v>1305525.9099999999</v>
          </cell>
          <cell r="J316">
            <v>0</v>
          </cell>
          <cell r="K316">
            <v>1305525.9099999999</v>
          </cell>
          <cell r="M316">
            <v>716435.17999999993</v>
          </cell>
        </row>
        <row r="318">
          <cell r="F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</row>
        <row r="320">
          <cell r="F320">
            <v>3082759.15</v>
          </cell>
          <cell r="H320">
            <v>138189.99</v>
          </cell>
          <cell r="I320">
            <v>3220949.14</v>
          </cell>
          <cell r="J320">
            <v>0</v>
          </cell>
          <cell r="K320">
            <v>3220949.14</v>
          </cell>
          <cell r="M320">
            <v>0</v>
          </cell>
        </row>
        <row r="321">
          <cell r="F321">
            <v>1035252.23</v>
          </cell>
          <cell r="H321">
            <v>0</v>
          </cell>
          <cell r="I321">
            <v>1035252.23</v>
          </cell>
          <cell r="J321">
            <v>0</v>
          </cell>
          <cell r="K321">
            <v>1035252.23</v>
          </cell>
          <cell r="M321">
            <v>0</v>
          </cell>
        </row>
        <row r="322">
          <cell r="F322">
            <v>177500</v>
          </cell>
          <cell r="H322">
            <v>0</v>
          </cell>
          <cell r="I322">
            <v>177500</v>
          </cell>
          <cell r="J322">
            <v>0</v>
          </cell>
          <cell r="K322">
            <v>177500</v>
          </cell>
          <cell r="M322">
            <v>0</v>
          </cell>
        </row>
        <row r="323">
          <cell r="F323">
            <v>113314.92</v>
          </cell>
          <cell r="H323">
            <v>0</v>
          </cell>
          <cell r="I323">
            <v>113314.92</v>
          </cell>
          <cell r="J323">
            <v>0</v>
          </cell>
          <cell r="K323">
            <v>113314.92</v>
          </cell>
          <cell r="M323">
            <v>117345</v>
          </cell>
        </row>
        <row r="324">
          <cell r="F324">
            <v>4408826.3</v>
          </cell>
          <cell r="H324">
            <v>138189.99</v>
          </cell>
          <cell r="I324">
            <v>4547016.29</v>
          </cell>
          <cell r="J324">
            <v>0</v>
          </cell>
          <cell r="K324">
            <v>4547016.29</v>
          </cell>
          <cell r="M324">
            <v>117345</v>
          </cell>
        </row>
        <row r="326">
          <cell r="F326">
            <v>26171787.899999999</v>
          </cell>
          <cell r="H326">
            <v>0</v>
          </cell>
          <cell r="I326">
            <v>26171787.899999999</v>
          </cell>
          <cell r="J326">
            <v>0</v>
          </cell>
          <cell r="K326">
            <v>26171787.899999999</v>
          </cell>
          <cell r="M326">
            <v>0</v>
          </cell>
        </row>
        <row r="327">
          <cell r="F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M327">
            <v>6851823.21</v>
          </cell>
        </row>
        <row r="328">
          <cell r="F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8635329.4499999993</v>
          </cell>
        </row>
        <row r="329">
          <cell r="F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M329">
            <v>547850</v>
          </cell>
        </row>
        <row r="330">
          <cell r="F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M330">
            <v>530300</v>
          </cell>
        </row>
        <row r="331">
          <cell r="F331">
            <v>2936852.06</v>
          </cell>
          <cell r="H331">
            <v>0</v>
          </cell>
          <cell r="I331">
            <v>2936852.06</v>
          </cell>
          <cell r="J331">
            <v>0</v>
          </cell>
          <cell r="K331">
            <v>2936852.06</v>
          </cell>
          <cell r="M331">
            <v>1500812.19</v>
          </cell>
        </row>
        <row r="332">
          <cell r="F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M332">
            <v>8039403.3799999999</v>
          </cell>
        </row>
        <row r="333">
          <cell r="F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M333">
            <v>866002.11</v>
          </cell>
        </row>
        <row r="334">
          <cell r="F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M334">
            <v>3414788.15</v>
          </cell>
        </row>
        <row r="335">
          <cell r="F335">
            <v>3808953.25</v>
          </cell>
          <cell r="H335">
            <v>0</v>
          </cell>
          <cell r="I335">
            <v>3808953.25</v>
          </cell>
          <cell r="J335">
            <v>11000</v>
          </cell>
          <cell r="K335">
            <v>3819953.25</v>
          </cell>
          <cell r="M335">
            <v>1511332.62</v>
          </cell>
        </row>
        <row r="336">
          <cell r="F336">
            <v>2210715.92</v>
          </cell>
          <cell r="H336">
            <v>0</v>
          </cell>
          <cell r="I336">
            <v>2210715.92</v>
          </cell>
          <cell r="J336">
            <v>0</v>
          </cell>
          <cell r="K336">
            <v>2210715.92</v>
          </cell>
          <cell r="M336">
            <v>978355.95</v>
          </cell>
        </row>
        <row r="337">
          <cell r="F337">
            <v>2381313.73</v>
          </cell>
          <cell r="H337">
            <v>0</v>
          </cell>
          <cell r="I337">
            <v>2381313.73</v>
          </cell>
          <cell r="J337">
            <v>0</v>
          </cell>
          <cell r="K337">
            <v>2381313.73</v>
          </cell>
          <cell r="M337">
            <v>459140</v>
          </cell>
        </row>
        <row r="338">
          <cell r="F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M338">
            <v>30772.49</v>
          </cell>
        </row>
        <row r="339">
          <cell r="F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M339">
            <v>41000</v>
          </cell>
        </row>
        <row r="340">
          <cell r="F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M340">
            <v>300739.73</v>
          </cell>
        </row>
        <row r="341">
          <cell r="F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M341">
            <v>8239039.9100000001</v>
          </cell>
        </row>
        <row r="342">
          <cell r="F342">
            <v>7852572.6299999999</v>
          </cell>
          <cell r="H342">
            <v>0</v>
          </cell>
          <cell r="I342">
            <v>7852572.6299999999</v>
          </cell>
          <cell r="J342">
            <v>0</v>
          </cell>
          <cell r="K342">
            <v>7852572.6299999999</v>
          </cell>
          <cell r="M342">
            <v>5657493.7599999998</v>
          </cell>
        </row>
        <row r="343">
          <cell r="F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M343">
            <v>1728500</v>
          </cell>
        </row>
        <row r="344">
          <cell r="F344">
            <v>12814129.57</v>
          </cell>
          <cell r="H344">
            <v>0</v>
          </cell>
          <cell r="I344">
            <v>12814129.57</v>
          </cell>
          <cell r="J344">
            <v>0</v>
          </cell>
          <cell r="K344">
            <v>12814129.57</v>
          </cell>
          <cell r="M344">
            <v>4614055.43</v>
          </cell>
        </row>
        <row r="345">
          <cell r="F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M345">
            <v>2216800.04</v>
          </cell>
        </row>
        <row r="346">
          <cell r="F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M346">
            <v>608480.47</v>
          </cell>
        </row>
        <row r="347">
          <cell r="F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452313.32</v>
          </cell>
        </row>
        <row r="348">
          <cell r="F348">
            <v>90781.68</v>
          </cell>
          <cell r="H348">
            <v>0</v>
          </cell>
          <cell r="I348">
            <v>90781.68</v>
          </cell>
          <cell r="J348">
            <v>0</v>
          </cell>
          <cell r="K348">
            <v>90781.68</v>
          </cell>
          <cell r="M348">
            <v>181500</v>
          </cell>
        </row>
        <row r="349">
          <cell r="F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M349">
            <v>350230</v>
          </cell>
        </row>
        <row r="350">
          <cell r="F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M350">
            <v>655317.35</v>
          </cell>
        </row>
        <row r="351">
          <cell r="F351">
            <v>58267106.739999995</v>
          </cell>
          <cell r="H351">
            <v>0</v>
          </cell>
          <cell r="I351">
            <v>58267106.739999995</v>
          </cell>
          <cell r="J351">
            <v>11000</v>
          </cell>
          <cell r="K351">
            <v>58278106.739999995</v>
          </cell>
          <cell r="M351">
            <v>58411379.559999995</v>
          </cell>
        </row>
        <row r="353">
          <cell r="F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M353">
            <v>0</v>
          </cell>
        </row>
        <row r="355">
          <cell r="F355">
            <v>330203.63</v>
          </cell>
          <cell r="H355">
            <v>0</v>
          </cell>
          <cell r="I355">
            <v>330203.63</v>
          </cell>
          <cell r="J355">
            <v>0</v>
          </cell>
          <cell r="K355">
            <v>330203.63</v>
          </cell>
          <cell r="M355">
            <v>115697.64</v>
          </cell>
        </row>
        <row r="356">
          <cell r="F356">
            <v>0</v>
          </cell>
          <cell r="H356">
            <v>6896854.0800000001</v>
          </cell>
          <cell r="I356">
            <v>6896854.0800000001</v>
          </cell>
          <cell r="J356">
            <v>0</v>
          </cell>
          <cell r="K356">
            <v>6896854.0800000001</v>
          </cell>
          <cell r="M356">
            <v>79981.61</v>
          </cell>
        </row>
        <row r="357">
          <cell r="F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M357">
            <v>595979.18000000005</v>
          </cell>
        </row>
        <row r="358">
          <cell r="F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M358">
            <v>320.74</v>
          </cell>
        </row>
        <row r="359">
          <cell r="F359">
            <v>330203.63</v>
          </cell>
          <cell r="H359">
            <v>6896854.0800000001</v>
          </cell>
          <cell r="I359">
            <v>7227057.71</v>
          </cell>
          <cell r="J359">
            <v>0</v>
          </cell>
          <cell r="K359">
            <v>7227057.71</v>
          </cell>
          <cell r="M359">
            <v>791979.17</v>
          </cell>
        </row>
        <row r="361">
          <cell r="F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M361">
            <v>123700</v>
          </cell>
        </row>
        <row r="362">
          <cell r="F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M362">
            <v>8000</v>
          </cell>
        </row>
        <row r="363">
          <cell r="F363">
            <v>2416840</v>
          </cell>
          <cell r="H363">
            <v>142052</v>
          </cell>
          <cell r="I363">
            <v>2558892</v>
          </cell>
          <cell r="J363">
            <v>0</v>
          </cell>
          <cell r="K363">
            <v>2558892</v>
          </cell>
          <cell r="M363">
            <v>6459076</v>
          </cell>
        </row>
        <row r="364">
          <cell r="F364">
            <v>2416840</v>
          </cell>
          <cell r="H364">
            <v>142052</v>
          </cell>
          <cell r="I364">
            <v>2558892</v>
          </cell>
          <cell r="J364">
            <v>0</v>
          </cell>
          <cell r="K364">
            <v>2558892</v>
          </cell>
          <cell r="M364">
            <v>6590776</v>
          </cell>
        </row>
        <row r="366">
          <cell r="F366">
            <v>5918755.5899999999</v>
          </cell>
          <cell r="H366">
            <v>0</v>
          </cell>
          <cell r="I366">
            <v>5918755.5899999999</v>
          </cell>
          <cell r="J366">
            <v>0</v>
          </cell>
          <cell r="K366">
            <v>5918755.5899999999</v>
          </cell>
          <cell r="M366">
            <v>5388064.9299999997</v>
          </cell>
        </row>
        <row r="367">
          <cell r="F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M367">
            <v>231250</v>
          </cell>
        </row>
        <row r="368">
          <cell r="F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M368">
            <v>3902963.95</v>
          </cell>
        </row>
        <row r="369">
          <cell r="F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M369">
            <v>41970</v>
          </cell>
        </row>
        <row r="370">
          <cell r="F370">
            <v>412000</v>
          </cell>
          <cell r="H370">
            <v>0</v>
          </cell>
          <cell r="I370">
            <v>412000</v>
          </cell>
          <cell r="J370">
            <v>0</v>
          </cell>
          <cell r="K370">
            <v>412000</v>
          </cell>
          <cell r="M370">
            <v>1290975</v>
          </cell>
        </row>
        <row r="371">
          <cell r="F371">
            <v>737770</v>
          </cell>
          <cell r="H371">
            <v>0</v>
          </cell>
          <cell r="I371">
            <v>737770</v>
          </cell>
          <cell r="J371">
            <v>0</v>
          </cell>
          <cell r="K371">
            <v>737770</v>
          </cell>
          <cell r="M371">
            <v>1246777</v>
          </cell>
        </row>
        <row r="372">
          <cell r="F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M372">
            <v>200040</v>
          </cell>
        </row>
        <row r="373">
          <cell r="F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M373">
            <v>817480.5</v>
          </cell>
        </row>
        <row r="374">
          <cell r="F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M374">
            <v>1500</v>
          </cell>
        </row>
        <row r="375">
          <cell r="F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M375">
            <v>416758.95</v>
          </cell>
        </row>
        <row r="376">
          <cell r="F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M376">
            <v>493740</v>
          </cell>
        </row>
        <row r="377">
          <cell r="F377">
            <v>14540</v>
          </cell>
          <cell r="H377">
            <v>0</v>
          </cell>
          <cell r="I377">
            <v>14540</v>
          </cell>
          <cell r="J377">
            <v>0</v>
          </cell>
          <cell r="K377">
            <v>14540</v>
          </cell>
          <cell r="M377">
            <v>232300</v>
          </cell>
        </row>
        <row r="378"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338950</v>
          </cell>
        </row>
        <row r="379">
          <cell r="F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M379">
            <v>24500</v>
          </cell>
        </row>
        <row r="380">
          <cell r="F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M380">
            <v>184079.67</v>
          </cell>
        </row>
        <row r="381">
          <cell r="F381">
            <v>7083065.5899999999</v>
          </cell>
          <cell r="H381">
            <v>0</v>
          </cell>
          <cell r="I381">
            <v>7083065.5899999999</v>
          </cell>
          <cell r="J381">
            <v>0</v>
          </cell>
          <cell r="K381">
            <v>7083065.5899999999</v>
          </cell>
          <cell r="M381">
            <v>14811349.999999998</v>
          </cell>
        </row>
        <row r="383">
          <cell r="F383">
            <v>2334602.5</v>
          </cell>
          <cell r="H383">
            <v>0</v>
          </cell>
          <cell r="I383">
            <v>2334602.5</v>
          </cell>
          <cell r="J383">
            <v>0</v>
          </cell>
          <cell r="K383">
            <v>2334602.5</v>
          </cell>
          <cell r="M383">
            <v>0</v>
          </cell>
        </row>
        <row r="384"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37295</v>
          </cell>
        </row>
        <row r="385">
          <cell r="F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800</v>
          </cell>
        </row>
        <row r="386">
          <cell r="F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M386">
            <v>168618.5</v>
          </cell>
        </row>
        <row r="387">
          <cell r="F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M387">
            <v>233655</v>
          </cell>
        </row>
        <row r="388">
          <cell r="F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M388">
            <v>166465</v>
          </cell>
        </row>
        <row r="389">
          <cell r="F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M389">
            <v>20000</v>
          </cell>
        </row>
        <row r="390">
          <cell r="F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M390">
            <v>1216505</v>
          </cell>
        </row>
        <row r="391">
          <cell r="F391">
            <v>2334602.5</v>
          </cell>
          <cell r="H391">
            <v>0</v>
          </cell>
          <cell r="I391">
            <v>2334602.5</v>
          </cell>
          <cell r="J391">
            <v>0</v>
          </cell>
          <cell r="K391">
            <v>2334602.5</v>
          </cell>
          <cell r="M391">
            <v>1843338.5</v>
          </cell>
        </row>
        <row r="393">
          <cell r="F393">
            <v>789900</v>
          </cell>
          <cell r="H393">
            <v>0</v>
          </cell>
          <cell r="I393">
            <v>789900</v>
          </cell>
          <cell r="J393">
            <v>0</v>
          </cell>
          <cell r="K393">
            <v>789900</v>
          </cell>
          <cell r="M393">
            <v>1216110</v>
          </cell>
        </row>
        <row r="394">
          <cell r="F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M394">
            <v>140400</v>
          </cell>
        </row>
        <row r="395">
          <cell r="F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M395">
            <v>161800</v>
          </cell>
        </row>
        <row r="396">
          <cell r="F396">
            <v>789900</v>
          </cell>
          <cell r="H396">
            <v>0</v>
          </cell>
          <cell r="I396">
            <v>789900</v>
          </cell>
          <cell r="J396">
            <v>0</v>
          </cell>
          <cell r="K396">
            <v>789900</v>
          </cell>
          <cell r="M396">
            <v>1518310</v>
          </cell>
        </row>
        <row r="398">
          <cell r="F398">
            <v>1868060.11</v>
          </cell>
          <cell r="H398">
            <v>0</v>
          </cell>
          <cell r="I398">
            <v>1868060.11</v>
          </cell>
          <cell r="J398">
            <v>0</v>
          </cell>
          <cell r="K398">
            <v>1868060.11</v>
          </cell>
          <cell r="M398">
            <v>3848.9</v>
          </cell>
        </row>
        <row r="399">
          <cell r="F399">
            <v>1868060.11</v>
          </cell>
          <cell r="H399">
            <v>0</v>
          </cell>
          <cell r="I399">
            <v>1868060.11</v>
          </cell>
          <cell r="J399">
            <v>0</v>
          </cell>
          <cell r="K399">
            <v>1868060.11</v>
          </cell>
          <cell r="M399">
            <v>3848.9</v>
          </cell>
        </row>
        <row r="401">
          <cell r="F401">
            <v>4857804.43</v>
          </cell>
          <cell r="H401">
            <v>0</v>
          </cell>
          <cell r="I401">
            <v>4857804.43</v>
          </cell>
          <cell r="J401">
            <v>0</v>
          </cell>
          <cell r="K401">
            <v>4857804.43</v>
          </cell>
          <cell r="M401">
            <v>0</v>
          </cell>
        </row>
        <row r="402">
          <cell r="F402">
            <v>141678.48000000001</v>
          </cell>
          <cell r="H402">
            <v>0</v>
          </cell>
          <cell r="I402">
            <v>141678.48000000001</v>
          </cell>
          <cell r="J402">
            <v>0</v>
          </cell>
          <cell r="K402">
            <v>141678.48000000001</v>
          </cell>
          <cell r="M402">
            <v>0</v>
          </cell>
        </row>
        <row r="403">
          <cell r="F403">
            <v>712025</v>
          </cell>
          <cell r="H403">
            <v>0</v>
          </cell>
          <cell r="I403">
            <v>712025</v>
          </cell>
          <cell r="J403">
            <v>0</v>
          </cell>
          <cell r="K403">
            <v>712025</v>
          </cell>
          <cell r="M403">
            <v>0</v>
          </cell>
        </row>
        <row r="404">
          <cell r="F404">
            <v>277119.43</v>
          </cell>
          <cell r="H404">
            <v>0</v>
          </cell>
          <cell r="I404">
            <v>277119.43</v>
          </cell>
          <cell r="J404">
            <v>-277119.43</v>
          </cell>
          <cell r="K404">
            <v>0</v>
          </cell>
          <cell r="M404">
            <v>0</v>
          </cell>
        </row>
        <row r="405">
          <cell r="F405">
            <v>522000</v>
          </cell>
          <cell r="H405">
            <v>0</v>
          </cell>
          <cell r="I405">
            <v>522000</v>
          </cell>
          <cell r="J405">
            <v>0</v>
          </cell>
          <cell r="K405">
            <v>522000</v>
          </cell>
          <cell r="M405">
            <v>0</v>
          </cell>
        </row>
        <row r="406">
          <cell r="F406">
            <v>29400</v>
          </cell>
          <cell r="H406">
            <v>0</v>
          </cell>
          <cell r="I406">
            <v>29400</v>
          </cell>
          <cell r="J406">
            <v>0</v>
          </cell>
          <cell r="K406">
            <v>29400</v>
          </cell>
          <cell r="M406">
            <v>7500</v>
          </cell>
        </row>
        <row r="407">
          <cell r="F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M407">
            <v>32500</v>
          </cell>
        </row>
        <row r="408">
          <cell r="F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M408">
            <v>281428.75</v>
          </cell>
        </row>
        <row r="409">
          <cell r="F409">
            <v>58000</v>
          </cell>
          <cell r="H409">
            <v>0</v>
          </cell>
          <cell r="I409">
            <v>58000</v>
          </cell>
          <cell r="J409">
            <v>0</v>
          </cell>
          <cell r="K409">
            <v>58000</v>
          </cell>
          <cell r="M409">
            <v>36500</v>
          </cell>
        </row>
        <row r="410">
          <cell r="F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M410">
            <v>2761719.06</v>
          </cell>
        </row>
        <row r="411">
          <cell r="F411">
            <v>2990395.54</v>
          </cell>
          <cell r="H411">
            <v>0</v>
          </cell>
          <cell r="I411">
            <v>2990395.54</v>
          </cell>
          <cell r="J411">
            <v>23000</v>
          </cell>
          <cell r="K411">
            <v>3013395.54</v>
          </cell>
          <cell r="M411">
            <v>0</v>
          </cell>
        </row>
        <row r="412">
          <cell r="F412">
            <v>9588422.879999999</v>
          </cell>
          <cell r="H412">
            <v>0</v>
          </cell>
          <cell r="I412">
            <v>9588422.879999999</v>
          </cell>
          <cell r="J412">
            <v>-254119.43</v>
          </cell>
          <cell r="K412">
            <v>9334303.4499999993</v>
          </cell>
          <cell r="M412">
            <v>3119647.81</v>
          </cell>
        </row>
        <row r="414"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M414">
            <v>823671.3</v>
          </cell>
        </row>
        <row r="415">
          <cell r="F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M415">
            <v>385503.53</v>
          </cell>
        </row>
        <row r="416">
          <cell r="F416">
            <v>63512.72</v>
          </cell>
          <cell r="H416">
            <v>234081.56</v>
          </cell>
          <cell r="I416">
            <v>297594.28000000003</v>
          </cell>
          <cell r="J416">
            <v>36956.800000000003</v>
          </cell>
          <cell r="K416">
            <v>334551.08</v>
          </cell>
          <cell r="M416">
            <v>71593.56</v>
          </cell>
        </row>
        <row r="417">
          <cell r="F417">
            <v>276786</v>
          </cell>
          <cell r="H417">
            <v>574670.21</v>
          </cell>
          <cell r="I417">
            <v>851456.21</v>
          </cell>
          <cell r="J417">
            <v>0</v>
          </cell>
          <cell r="K417">
            <v>851456.21</v>
          </cell>
          <cell r="M417">
            <v>503419.84</v>
          </cell>
        </row>
        <row r="418">
          <cell r="F418">
            <v>1664590.16</v>
          </cell>
          <cell r="H418">
            <v>722807.59</v>
          </cell>
          <cell r="I418">
            <v>2387397.75</v>
          </cell>
          <cell r="J418">
            <v>0</v>
          </cell>
          <cell r="K418">
            <v>2387397.75</v>
          </cell>
          <cell r="M418">
            <v>3980510</v>
          </cell>
        </row>
        <row r="419">
          <cell r="F419">
            <v>0</v>
          </cell>
          <cell r="H419">
            <v>546505</v>
          </cell>
          <cell r="I419">
            <v>546505</v>
          </cell>
          <cell r="J419">
            <v>0</v>
          </cell>
          <cell r="K419">
            <v>546505</v>
          </cell>
          <cell r="M419">
            <v>661050</v>
          </cell>
        </row>
        <row r="420">
          <cell r="F420">
            <v>2004888.88</v>
          </cell>
          <cell r="H420">
            <v>2078064.3599999999</v>
          </cell>
          <cell r="I420">
            <v>4082953.24</v>
          </cell>
          <cell r="J420">
            <v>36956.800000000003</v>
          </cell>
          <cell r="K420">
            <v>4119910.04</v>
          </cell>
          <cell r="M420">
            <v>6425748.2300000004</v>
          </cell>
        </row>
        <row r="422">
          <cell r="F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M422">
            <v>1030532.61</v>
          </cell>
        </row>
        <row r="423">
          <cell r="F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M423">
            <v>53776458.030000001</v>
          </cell>
        </row>
        <row r="424">
          <cell r="F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M424">
            <v>0</v>
          </cell>
        </row>
        <row r="425">
          <cell r="F425">
            <v>30000</v>
          </cell>
          <cell r="H425">
            <v>0</v>
          </cell>
          <cell r="I425">
            <v>30000</v>
          </cell>
          <cell r="J425">
            <v>0</v>
          </cell>
          <cell r="K425">
            <v>30000</v>
          </cell>
          <cell r="M425">
            <v>0</v>
          </cell>
        </row>
        <row r="426">
          <cell r="F426">
            <v>0</v>
          </cell>
          <cell r="H426">
            <v>6660031.3899999997</v>
          </cell>
          <cell r="I426">
            <v>6660031.3899999997</v>
          </cell>
          <cell r="J426">
            <v>0</v>
          </cell>
          <cell r="K426">
            <v>6660031.3899999997</v>
          </cell>
          <cell r="M426">
            <v>0</v>
          </cell>
        </row>
        <row r="427">
          <cell r="F427">
            <v>0</v>
          </cell>
          <cell r="H427">
            <v>11019270.6</v>
          </cell>
          <cell r="I427">
            <v>11019270.6</v>
          </cell>
          <cell r="J427">
            <v>0</v>
          </cell>
          <cell r="K427">
            <v>11019270.6</v>
          </cell>
          <cell r="M427">
            <v>0</v>
          </cell>
        </row>
        <row r="428">
          <cell r="F428">
            <v>36348967.299999997</v>
          </cell>
          <cell r="H428">
            <v>46932412.759999998</v>
          </cell>
          <cell r="I428">
            <v>83281380.060000002</v>
          </cell>
          <cell r="J428">
            <v>0</v>
          </cell>
          <cell r="K428">
            <v>83281380.060000002</v>
          </cell>
          <cell r="M428">
            <v>11876916.220000001</v>
          </cell>
        </row>
        <row r="429">
          <cell r="F429">
            <v>36378967.299999997</v>
          </cell>
          <cell r="H429">
            <v>64611714.75</v>
          </cell>
          <cell r="I429">
            <v>100990682.05</v>
          </cell>
          <cell r="J429">
            <v>0</v>
          </cell>
          <cell r="K429">
            <v>100990682.05</v>
          </cell>
          <cell r="M429">
            <v>66683906.859999999</v>
          </cell>
        </row>
        <row r="431">
          <cell r="F431">
            <v>4628013.08</v>
          </cell>
          <cell r="H431">
            <v>0</v>
          </cell>
          <cell r="I431">
            <v>4628013.08</v>
          </cell>
          <cell r="J431">
            <v>-551356.82999999996</v>
          </cell>
          <cell r="K431">
            <v>4076656.25</v>
          </cell>
          <cell r="M431">
            <v>0</v>
          </cell>
        </row>
        <row r="432">
          <cell r="F432">
            <v>4628013.08</v>
          </cell>
          <cell r="H432">
            <v>0</v>
          </cell>
          <cell r="I432">
            <v>4628013.08</v>
          </cell>
          <cell r="J432">
            <v>-551356.82999999996</v>
          </cell>
          <cell r="K432">
            <v>4076656.25</v>
          </cell>
          <cell r="M432">
            <v>0</v>
          </cell>
        </row>
        <row r="434">
          <cell r="F434">
            <v>13816506.65</v>
          </cell>
          <cell r="H434">
            <v>0</v>
          </cell>
          <cell r="I434">
            <v>13816506.65</v>
          </cell>
          <cell r="J434">
            <v>0</v>
          </cell>
          <cell r="K434">
            <v>13816506.65</v>
          </cell>
          <cell r="M434">
            <v>11921613.550000001</v>
          </cell>
        </row>
        <row r="435">
          <cell r="F435">
            <v>13816506.65</v>
          </cell>
          <cell r="H435">
            <v>0</v>
          </cell>
          <cell r="I435">
            <v>13816506.65</v>
          </cell>
          <cell r="J435">
            <v>0</v>
          </cell>
          <cell r="K435">
            <v>13816506.65</v>
          </cell>
          <cell r="M435">
            <v>11921613.550000001</v>
          </cell>
        </row>
        <row r="437">
          <cell r="F437">
            <v>2000</v>
          </cell>
          <cell r="H437">
            <v>0</v>
          </cell>
          <cell r="I437">
            <v>2000</v>
          </cell>
          <cell r="J437">
            <v>0</v>
          </cell>
          <cell r="K437">
            <v>2000</v>
          </cell>
          <cell r="M437">
            <v>0</v>
          </cell>
        </row>
        <row r="438">
          <cell r="F438">
            <v>-710366.26</v>
          </cell>
          <cell r="H438">
            <v>0</v>
          </cell>
          <cell r="I438">
            <v>-710366.26</v>
          </cell>
          <cell r="J438">
            <v>828476.26</v>
          </cell>
          <cell r="K438">
            <v>118110</v>
          </cell>
          <cell r="M438">
            <v>0</v>
          </cell>
        </row>
        <row r="439">
          <cell r="F439">
            <v>3187749.39</v>
          </cell>
          <cell r="H439">
            <v>0</v>
          </cell>
          <cell r="I439">
            <v>3187749.39</v>
          </cell>
          <cell r="J439">
            <v>0</v>
          </cell>
          <cell r="K439">
            <v>3187749.39</v>
          </cell>
          <cell r="M439">
            <v>7271022.5599999996</v>
          </cell>
        </row>
        <row r="440">
          <cell r="F440">
            <v>2751744.5</v>
          </cell>
          <cell r="H440">
            <v>0</v>
          </cell>
          <cell r="I440">
            <v>2751744.5</v>
          </cell>
          <cell r="J440">
            <v>102500</v>
          </cell>
          <cell r="K440">
            <v>2854244.5</v>
          </cell>
          <cell r="M440">
            <v>4577944.97</v>
          </cell>
        </row>
        <row r="441">
          <cell r="F441">
            <v>519465</v>
          </cell>
          <cell r="H441">
            <v>0</v>
          </cell>
          <cell r="I441">
            <v>519465</v>
          </cell>
          <cell r="J441">
            <v>28000</v>
          </cell>
          <cell r="K441">
            <v>547465</v>
          </cell>
          <cell r="M441">
            <v>253831.04000000001</v>
          </cell>
        </row>
        <row r="442">
          <cell r="F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M442">
            <v>140600</v>
          </cell>
        </row>
        <row r="443">
          <cell r="F443">
            <v>104400</v>
          </cell>
          <cell r="H443">
            <v>0</v>
          </cell>
          <cell r="I443">
            <v>104400</v>
          </cell>
          <cell r="J443">
            <v>229350</v>
          </cell>
          <cell r="K443">
            <v>333750</v>
          </cell>
          <cell r="M443">
            <v>923690.17</v>
          </cell>
        </row>
        <row r="444">
          <cell r="F444">
            <v>5854992.6299999999</v>
          </cell>
          <cell r="H444">
            <v>0</v>
          </cell>
          <cell r="I444">
            <v>5854992.6299999999</v>
          </cell>
          <cell r="J444">
            <v>1188326.26</v>
          </cell>
          <cell r="K444">
            <v>7043318.8900000006</v>
          </cell>
          <cell r="M444">
            <v>13167088.739999998</v>
          </cell>
        </row>
        <row r="446">
          <cell r="F446">
            <v>310797.5</v>
          </cell>
          <cell r="H446">
            <v>0</v>
          </cell>
          <cell r="I446">
            <v>310797.5</v>
          </cell>
          <cell r="J446">
            <v>0</v>
          </cell>
          <cell r="K446">
            <v>310797.5</v>
          </cell>
          <cell r="M446">
            <v>826695</v>
          </cell>
        </row>
        <row r="447">
          <cell r="F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M447">
            <v>28450</v>
          </cell>
        </row>
        <row r="448">
          <cell r="F448">
            <v>310797.5</v>
          </cell>
          <cell r="H448">
            <v>0</v>
          </cell>
          <cell r="I448">
            <v>310797.5</v>
          </cell>
          <cell r="J448">
            <v>0</v>
          </cell>
          <cell r="K448">
            <v>310797.5</v>
          </cell>
          <cell r="M448">
            <v>855145</v>
          </cell>
        </row>
        <row r="450">
          <cell r="F450">
            <v>18250</v>
          </cell>
          <cell r="H450">
            <v>0</v>
          </cell>
          <cell r="I450">
            <v>18250</v>
          </cell>
          <cell r="J450">
            <v>0</v>
          </cell>
          <cell r="K450">
            <v>18250</v>
          </cell>
          <cell r="M450">
            <v>0</v>
          </cell>
        </row>
        <row r="451">
          <cell r="F451">
            <v>455000</v>
          </cell>
          <cell r="H451">
            <v>0</v>
          </cell>
          <cell r="I451">
            <v>455000</v>
          </cell>
          <cell r="J451">
            <v>0</v>
          </cell>
          <cell r="K451">
            <v>455000</v>
          </cell>
          <cell r="M451">
            <v>240000</v>
          </cell>
        </row>
        <row r="452">
          <cell r="F452">
            <v>410000</v>
          </cell>
          <cell r="H452">
            <v>0</v>
          </cell>
          <cell r="I452">
            <v>410000</v>
          </cell>
          <cell r="J452">
            <v>0</v>
          </cell>
          <cell r="K452">
            <v>410000</v>
          </cell>
          <cell r="M452">
            <v>240000</v>
          </cell>
        </row>
        <row r="453">
          <cell r="F453">
            <v>883250</v>
          </cell>
          <cell r="H453">
            <v>0</v>
          </cell>
          <cell r="I453">
            <v>883250</v>
          </cell>
          <cell r="J453">
            <v>0</v>
          </cell>
          <cell r="K453">
            <v>883250</v>
          </cell>
          <cell r="M453">
            <v>480000</v>
          </cell>
        </row>
        <row r="455">
          <cell r="F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</row>
        <row r="457">
          <cell r="F457">
            <v>1180228.46</v>
          </cell>
          <cell r="H457">
            <v>45552.55</v>
          </cell>
          <cell r="I457">
            <v>1225781.01</v>
          </cell>
          <cell r="J457">
            <v>0</v>
          </cell>
          <cell r="K457">
            <v>1225781.01</v>
          </cell>
          <cell r="M457">
            <v>2914387.37</v>
          </cell>
        </row>
        <row r="458">
          <cell r="F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M458">
            <v>116433.33</v>
          </cell>
        </row>
        <row r="459">
          <cell r="F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M459">
            <v>107950</v>
          </cell>
        </row>
        <row r="460">
          <cell r="F460">
            <v>1180228.46</v>
          </cell>
          <cell r="H460">
            <v>45552.55</v>
          </cell>
          <cell r="I460">
            <v>1225781.01</v>
          </cell>
          <cell r="J460">
            <v>0</v>
          </cell>
          <cell r="K460">
            <v>1225781.01</v>
          </cell>
          <cell r="M460">
            <v>3138770.7</v>
          </cell>
        </row>
        <row r="462">
          <cell r="F462">
            <v>1253177.25</v>
          </cell>
          <cell r="H462">
            <v>0</v>
          </cell>
          <cell r="I462">
            <v>1253177.25</v>
          </cell>
          <cell r="J462">
            <v>0</v>
          </cell>
          <cell r="K462">
            <v>1253177.25</v>
          </cell>
          <cell r="M462">
            <v>2466518</v>
          </cell>
        </row>
        <row r="463">
          <cell r="F463">
            <v>144672.5</v>
          </cell>
          <cell r="H463">
            <v>0</v>
          </cell>
          <cell r="I463">
            <v>144672.5</v>
          </cell>
          <cell r="J463">
            <v>0</v>
          </cell>
          <cell r="K463">
            <v>144672.5</v>
          </cell>
          <cell r="M463">
            <v>876405</v>
          </cell>
        </row>
        <row r="464">
          <cell r="F464">
            <v>439640.97</v>
          </cell>
          <cell r="H464">
            <v>0</v>
          </cell>
          <cell r="I464">
            <v>439640.97</v>
          </cell>
          <cell r="J464">
            <v>0</v>
          </cell>
          <cell r="K464">
            <v>439640.97</v>
          </cell>
          <cell r="M464">
            <v>1055986.03</v>
          </cell>
        </row>
        <row r="465">
          <cell r="F465">
            <v>1837490.72</v>
          </cell>
          <cell r="H465">
            <v>0</v>
          </cell>
          <cell r="I465">
            <v>1837490.72</v>
          </cell>
          <cell r="J465">
            <v>0</v>
          </cell>
          <cell r="K465">
            <v>1837490.72</v>
          </cell>
          <cell r="M465">
            <v>4398909.03</v>
          </cell>
        </row>
        <row r="467">
          <cell r="F467">
            <v>1773064.6</v>
          </cell>
          <cell r="H467">
            <v>0</v>
          </cell>
          <cell r="I467">
            <v>1773064.6</v>
          </cell>
          <cell r="J467">
            <v>0</v>
          </cell>
          <cell r="K467">
            <v>1773064.6</v>
          </cell>
          <cell r="M467">
            <v>1610025</v>
          </cell>
        </row>
        <row r="468">
          <cell r="F468">
            <v>950000</v>
          </cell>
          <cell r="H468">
            <v>0</v>
          </cell>
          <cell r="I468">
            <v>950000</v>
          </cell>
          <cell r="J468">
            <v>0</v>
          </cell>
          <cell r="K468">
            <v>950000</v>
          </cell>
          <cell r="M468">
            <v>1152000</v>
          </cell>
        </row>
        <row r="469">
          <cell r="F469">
            <v>2723064.6</v>
          </cell>
          <cell r="H469">
            <v>0</v>
          </cell>
          <cell r="I469">
            <v>2723064.6</v>
          </cell>
          <cell r="J469">
            <v>0</v>
          </cell>
          <cell r="K469">
            <v>2723064.6</v>
          </cell>
          <cell r="M469">
            <v>2762025</v>
          </cell>
        </row>
        <row r="471">
          <cell r="F471">
            <v>700000</v>
          </cell>
          <cell r="H471">
            <v>4300000</v>
          </cell>
          <cell r="I471">
            <v>5000000</v>
          </cell>
          <cell r="J471">
            <v>0</v>
          </cell>
          <cell r="K471">
            <v>5000000</v>
          </cell>
          <cell r="M471">
            <v>3000000</v>
          </cell>
        </row>
        <row r="472">
          <cell r="F472">
            <v>700000</v>
          </cell>
          <cell r="H472">
            <v>4300000</v>
          </cell>
          <cell r="I472">
            <v>5000000</v>
          </cell>
          <cell r="J472">
            <v>0</v>
          </cell>
          <cell r="K472">
            <v>5000000</v>
          </cell>
          <cell r="M472">
            <v>3000000</v>
          </cell>
        </row>
        <row r="474">
          <cell r="F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M474">
            <v>1721168.33</v>
          </cell>
        </row>
        <row r="475">
          <cell r="F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M475">
            <v>1721168.33</v>
          </cell>
        </row>
        <row r="477">
          <cell r="F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M477">
            <v>66960.3</v>
          </cell>
        </row>
        <row r="478">
          <cell r="F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66960.3</v>
          </cell>
        </row>
        <row r="480">
          <cell r="F480">
            <v>1216400</v>
          </cell>
          <cell r="H480">
            <v>0</v>
          </cell>
          <cell r="I480">
            <v>1216400</v>
          </cell>
          <cell r="J480">
            <v>0</v>
          </cell>
          <cell r="K480">
            <v>1216400</v>
          </cell>
          <cell r="M480">
            <v>819800</v>
          </cell>
        </row>
        <row r="481">
          <cell r="F481">
            <v>2863835</v>
          </cell>
          <cell r="H481">
            <v>0</v>
          </cell>
          <cell r="I481">
            <v>2863835</v>
          </cell>
          <cell r="J481">
            <v>0</v>
          </cell>
          <cell r="K481">
            <v>2863835</v>
          </cell>
          <cell r="M481">
            <v>4998500</v>
          </cell>
        </row>
        <row r="482">
          <cell r="F482">
            <v>-422421.18</v>
          </cell>
          <cell r="H482">
            <v>0</v>
          </cell>
          <cell r="I482">
            <v>-422421.18</v>
          </cell>
          <cell r="J482">
            <v>0</v>
          </cell>
          <cell r="K482">
            <v>-422421.18</v>
          </cell>
          <cell r="M482">
            <v>153315</v>
          </cell>
        </row>
        <row r="483">
          <cell r="F483">
            <v>3657813.82</v>
          </cell>
          <cell r="H483">
            <v>0</v>
          </cell>
          <cell r="I483">
            <v>3657813.82</v>
          </cell>
          <cell r="J483">
            <v>0</v>
          </cell>
          <cell r="K483">
            <v>3657813.82</v>
          </cell>
          <cell r="M483">
            <v>5971615</v>
          </cell>
        </row>
        <row r="485">
          <cell r="F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M485">
            <v>6561183.3300000001</v>
          </cell>
        </row>
        <row r="486">
          <cell r="F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M486">
            <v>6561183.3300000001</v>
          </cell>
        </row>
        <row r="488">
          <cell r="F488">
            <v>1100660.8700000001</v>
          </cell>
          <cell r="H488">
            <v>55794.89</v>
          </cell>
          <cell r="I488">
            <v>1156455.76</v>
          </cell>
          <cell r="J488">
            <v>0</v>
          </cell>
          <cell r="K488">
            <v>1156455.76</v>
          </cell>
          <cell r="M488">
            <v>7490000</v>
          </cell>
        </row>
        <row r="489">
          <cell r="F489">
            <v>5668304.3700000001</v>
          </cell>
          <cell r="H489">
            <v>891274.46</v>
          </cell>
          <cell r="I489">
            <v>6559578.8300000001</v>
          </cell>
          <cell r="J489">
            <v>0</v>
          </cell>
          <cell r="K489">
            <v>6559578.8300000001</v>
          </cell>
          <cell r="M489">
            <v>43804065</v>
          </cell>
        </row>
        <row r="490">
          <cell r="F490">
            <v>6768965.2400000002</v>
          </cell>
          <cell r="H490">
            <v>947069.35</v>
          </cell>
          <cell r="I490">
            <v>7716034.5899999999</v>
          </cell>
          <cell r="J490">
            <v>0</v>
          </cell>
          <cell r="K490">
            <v>7716034.5899999999</v>
          </cell>
          <cell r="M490">
            <v>51294065</v>
          </cell>
        </row>
        <row r="492">
          <cell r="F492">
            <v>420250</v>
          </cell>
          <cell r="H492">
            <v>0</v>
          </cell>
          <cell r="I492">
            <v>420250</v>
          </cell>
          <cell r="J492">
            <v>0</v>
          </cell>
          <cell r="K492">
            <v>420250</v>
          </cell>
          <cell r="M492">
            <v>561980</v>
          </cell>
        </row>
        <row r="493">
          <cell r="F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M493">
            <v>280000</v>
          </cell>
        </row>
        <row r="494">
          <cell r="F494">
            <v>420250</v>
          </cell>
          <cell r="H494">
            <v>0</v>
          </cell>
          <cell r="I494">
            <v>420250</v>
          </cell>
          <cell r="J494">
            <v>0</v>
          </cell>
          <cell r="K494">
            <v>420250</v>
          </cell>
          <cell r="M494">
            <v>841980</v>
          </cell>
        </row>
        <row r="496">
          <cell r="F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M496">
            <v>0</v>
          </cell>
        </row>
        <row r="498">
          <cell r="F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M498">
            <v>0</v>
          </cell>
        </row>
        <row r="500">
          <cell r="F500">
            <v>199230</v>
          </cell>
          <cell r="H500">
            <v>0</v>
          </cell>
          <cell r="I500">
            <v>199230</v>
          </cell>
          <cell r="J500">
            <v>0</v>
          </cell>
          <cell r="K500">
            <v>199230</v>
          </cell>
          <cell r="M500">
            <v>223125.85</v>
          </cell>
        </row>
        <row r="501">
          <cell r="F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26070</v>
          </cell>
        </row>
        <row r="502">
          <cell r="F502">
            <v>199230</v>
          </cell>
          <cell r="H502">
            <v>0</v>
          </cell>
          <cell r="I502">
            <v>199230</v>
          </cell>
          <cell r="J502">
            <v>0</v>
          </cell>
          <cell r="K502">
            <v>199230</v>
          </cell>
          <cell r="M502">
            <v>249195.85</v>
          </cell>
        </row>
        <row r="504">
          <cell r="F504">
            <v>3052000</v>
          </cell>
          <cell r="H504">
            <v>0</v>
          </cell>
          <cell r="I504">
            <v>3052000</v>
          </cell>
          <cell r="J504">
            <v>0</v>
          </cell>
          <cell r="K504">
            <v>3052000</v>
          </cell>
          <cell r="M504">
            <v>2439800.16</v>
          </cell>
        </row>
        <row r="505">
          <cell r="F505">
            <v>3052000</v>
          </cell>
          <cell r="H505">
            <v>0</v>
          </cell>
          <cell r="I505">
            <v>3052000</v>
          </cell>
          <cell r="J505">
            <v>0</v>
          </cell>
          <cell r="K505">
            <v>3052000</v>
          </cell>
          <cell r="M505">
            <v>2439800.16</v>
          </cell>
        </row>
        <row r="507">
          <cell r="F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M507">
            <v>0</v>
          </cell>
        </row>
        <row r="509">
          <cell r="F509">
            <v>-452360</v>
          </cell>
          <cell r="H509">
            <v>0</v>
          </cell>
          <cell r="I509">
            <v>-452360</v>
          </cell>
          <cell r="J509">
            <v>0</v>
          </cell>
          <cell r="K509">
            <v>-452360</v>
          </cell>
          <cell r="M509">
            <v>0</v>
          </cell>
        </row>
        <row r="510">
          <cell r="F510">
            <v>-2447849.4</v>
          </cell>
          <cell r="H510">
            <v>0</v>
          </cell>
          <cell r="I510">
            <v>-2447849.4</v>
          </cell>
          <cell r="J510">
            <v>-393850</v>
          </cell>
          <cell r="K510">
            <v>-2841699.4</v>
          </cell>
          <cell r="M510">
            <v>-183300</v>
          </cell>
        </row>
        <row r="511">
          <cell r="F511">
            <v>-2220389.7200000002</v>
          </cell>
          <cell r="H511">
            <v>0</v>
          </cell>
          <cell r="I511">
            <v>-2220389.7200000002</v>
          </cell>
          <cell r="J511">
            <v>0</v>
          </cell>
          <cell r="K511">
            <v>-2220389.7200000002</v>
          </cell>
          <cell r="M511">
            <v>-10117409.33</v>
          </cell>
        </row>
        <row r="512">
          <cell r="F512">
            <v>-5120599.12</v>
          </cell>
          <cell r="H512">
            <v>0</v>
          </cell>
          <cell r="I512">
            <v>-5120599.12</v>
          </cell>
          <cell r="J512">
            <v>-393850</v>
          </cell>
          <cell r="K512">
            <v>-5514449.1200000001</v>
          </cell>
          <cell r="M512">
            <v>-10300709.33</v>
          </cell>
        </row>
        <row r="514">
          <cell r="F514">
            <v>4500</v>
          </cell>
          <cell r="H514">
            <v>0</v>
          </cell>
          <cell r="I514">
            <v>4500</v>
          </cell>
          <cell r="J514">
            <v>0</v>
          </cell>
          <cell r="K514">
            <v>4500</v>
          </cell>
          <cell r="M514">
            <v>204097.01</v>
          </cell>
        </row>
        <row r="515">
          <cell r="F515">
            <v>2642137.1</v>
          </cell>
          <cell r="H515">
            <v>0</v>
          </cell>
          <cell r="I515">
            <v>2642137.1</v>
          </cell>
          <cell r="J515">
            <v>0</v>
          </cell>
          <cell r="K515">
            <v>2642137.1</v>
          </cell>
          <cell r="M515">
            <v>4497672.1900000004</v>
          </cell>
        </row>
        <row r="516">
          <cell r="F516">
            <v>2646637.1</v>
          </cell>
          <cell r="H516">
            <v>0</v>
          </cell>
          <cell r="I516">
            <v>2646637.1</v>
          </cell>
          <cell r="J516">
            <v>0</v>
          </cell>
          <cell r="K516">
            <v>2646637.1</v>
          </cell>
          <cell r="M516">
            <v>4701769.2</v>
          </cell>
        </row>
        <row r="518">
          <cell r="F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M518">
            <v>0</v>
          </cell>
        </row>
        <row r="520">
          <cell r="F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</row>
        <row r="522">
          <cell r="F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</row>
        <row r="523">
          <cell r="F523">
            <v>5.1222741603851318E-9</v>
          </cell>
          <cell r="H523">
            <v>-6.1700120568275452E-9</v>
          </cell>
          <cell r="I523">
            <v>-1.5366822481155396E-8</v>
          </cell>
          <cell r="J523">
            <v>2.3283064365386963E-10</v>
          </cell>
          <cell r="K523">
            <v>-7.8696757555007935E-8</v>
          </cell>
          <cell r="M523">
            <v>30.219999958761036</v>
          </cell>
        </row>
      </sheetData>
      <sheetData sheetId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1630338.43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-150000</v>
          </cell>
        </row>
        <row r="5">
          <cell r="F5">
            <v>906001.55</v>
          </cell>
          <cell r="G5">
            <v>0</v>
          </cell>
          <cell r="H5">
            <v>906001.55</v>
          </cell>
          <cell r="I5">
            <v>0</v>
          </cell>
          <cell r="J5">
            <v>906001.55</v>
          </cell>
          <cell r="K5">
            <v>0</v>
          </cell>
        </row>
        <row r="6">
          <cell r="F6">
            <v>-398141.5</v>
          </cell>
          <cell r="G6">
            <v>0</v>
          </cell>
          <cell r="H6">
            <v>-398141.5</v>
          </cell>
          <cell r="I6">
            <v>0</v>
          </cell>
          <cell r="J6">
            <v>-398141.5</v>
          </cell>
          <cell r="K6">
            <v>0</v>
          </cell>
        </row>
        <row r="7">
          <cell r="F7">
            <v>-3052858.28</v>
          </cell>
          <cell r="G7">
            <v>0</v>
          </cell>
          <cell r="H7">
            <v>-3052858.28</v>
          </cell>
          <cell r="I7">
            <v>0</v>
          </cell>
          <cell r="J7">
            <v>-3052858.28</v>
          </cell>
          <cell r="K7">
            <v>0</v>
          </cell>
        </row>
        <row r="8">
          <cell r="F8">
            <v>437914.87</v>
          </cell>
          <cell r="G8">
            <v>0</v>
          </cell>
          <cell r="H8">
            <v>437914.87</v>
          </cell>
          <cell r="I8">
            <v>0</v>
          </cell>
          <cell r="J8">
            <v>437914.87</v>
          </cell>
          <cell r="K8">
            <v>0</v>
          </cell>
        </row>
        <row r="9">
          <cell r="F9">
            <v>816090.12</v>
          </cell>
          <cell r="G9">
            <v>0</v>
          </cell>
          <cell r="H9">
            <v>816090.12</v>
          </cell>
          <cell r="I9">
            <v>0</v>
          </cell>
          <cell r="J9">
            <v>816090.12</v>
          </cell>
          <cell r="K9">
            <v>0</v>
          </cell>
        </row>
        <row r="10">
          <cell r="F10">
            <v>-1290993.2399999993</v>
          </cell>
          <cell r="G10">
            <v>0</v>
          </cell>
          <cell r="H10">
            <v>-1290993.2399999993</v>
          </cell>
          <cell r="I10">
            <v>0</v>
          </cell>
          <cell r="J10">
            <v>-1290993.2399999993</v>
          </cell>
          <cell r="K10">
            <v>1480338.43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30070.91</v>
          </cell>
        </row>
        <row r="13">
          <cell r="F13">
            <v>4583.4399999999996</v>
          </cell>
          <cell r="G13">
            <v>0</v>
          </cell>
          <cell r="H13">
            <v>4583.4399999999996</v>
          </cell>
          <cell r="I13">
            <v>0</v>
          </cell>
          <cell r="J13">
            <v>4583.4399999999996</v>
          </cell>
          <cell r="K13">
            <v>4583.4399999999996</v>
          </cell>
        </row>
        <row r="14">
          <cell r="F14">
            <v>20045.36</v>
          </cell>
          <cell r="G14">
            <v>0</v>
          </cell>
          <cell r="H14">
            <v>20045.36</v>
          </cell>
          <cell r="I14">
            <v>0</v>
          </cell>
          <cell r="J14">
            <v>20045.36</v>
          </cell>
          <cell r="K14">
            <v>20045.36</v>
          </cell>
        </row>
        <row r="15">
          <cell r="F15">
            <v>15193.26</v>
          </cell>
          <cell r="G15">
            <v>0</v>
          </cell>
          <cell r="H15">
            <v>15193.26</v>
          </cell>
          <cell r="I15">
            <v>0</v>
          </cell>
          <cell r="J15">
            <v>15193.26</v>
          </cell>
          <cell r="K15">
            <v>15193.26</v>
          </cell>
        </row>
        <row r="16">
          <cell r="F16">
            <v>37442.83</v>
          </cell>
          <cell r="G16">
            <v>0</v>
          </cell>
          <cell r="H16">
            <v>37442.83</v>
          </cell>
          <cell r="I16">
            <v>0</v>
          </cell>
          <cell r="J16">
            <v>37442.83</v>
          </cell>
          <cell r="K16">
            <v>37442.83</v>
          </cell>
        </row>
        <row r="17">
          <cell r="F17">
            <v>7023.25</v>
          </cell>
          <cell r="G17">
            <v>0</v>
          </cell>
          <cell r="H17">
            <v>7023.25</v>
          </cell>
          <cell r="I17">
            <v>0</v>
          </cell>
          <cell r="J17">
            <v>7023.25</v>
          </cell>
          <cell r="K17">
            <v>7023.25</v>
          </cell>
        </row>
        <row r="18">
          <cell r="F18">
            <v>13111.14</v>
          </cell>
          <cell r="G18">
            <v>787827.28</v>
          </cell>
          <cell r="H18">
            <v>800938.42</v>
          </cell>
          <cell r="I18">
            <v>0</v>
          </cell>
          <cell r="J18">
            <v>800938.42</v>
          </cell>
          <cell r="K18">
            <v>384836.44</v>
          </cell>
        </row>
        <row r="19">
          <cell r="F19">
            <v>1027256.59</v>
          </cell>
          <cell r="G19">
            <v>0</v>
          </cell>
          <cell r="H19">
            <v>1027256.59</v>
          </cell>
          <cell r="I19">
            <v>0</v>
          </cell>
          <cell r="J19">
            <v>1027256.59</v>
          </cell>
          <cell r="K19">
            <v>2663240.08</v>
          </cell>
        </row>
        <row r="20">
          <cell r="F20">
            <v>41811.81</v>
          </cell>
          <cell r="G20">
            <v>0</v>
          </cell>
          <cell r="H20">
            <v>41811.81</v>
          </cell>
          <cell r="I20">
            <v>0</v>
          </cell>
          <cell r="J20">
            <v>41811.81</v>
          </cell>
          <cell r="K20">
            <v>909742.38</v>
          </cell>
        </row>
        <row r="21">
          <cell r="F21">
            <v>-52188.12</v>
          </cell>
          <cell r="G21">
            <v>-37443</v>
          </cell>
          <cell r="H21">
            <v>-89631.12</v>
          </cell>
          <cell r="I21">
            <v>0</v>
          </cell>
          <cell r="J21">
            <v>-89631.12</v>
          </cell>
          <cell r="K21">
            <v>-76916.22</v>
          </cell>
        </row>
        <row r="22">
          <cell r="F22">
            <v>8121129.4500000002</v>
          </cell>
          <cell r="G22">
            <v>-4228108.2699999996</v>
          </cell>
          <cell r="H22">
            <v>3893021.18</v>
          </cell>
          <cell r="I22">
            <v>0</v>
          </cell>
          <cell r="J22">
            <v>3893021.18</v>
          </cell>
          <cell r="K22">
            <v>0</v>
          </cell>
        </row>
        <row r="23">
          <cell r="F23">
            <v>4340380.37</v>
          </cell>
          <cell r="G23">
            <v>-77665.179999999993</v>
          </cell>
          <cell r="H23">
            <v>4262715.1900000004</v>
          </cell>
          <cell r="I23">
            <v>0</v>
          </cell>
          <cell r="J23">
            <v>4262715.1900000004</v>
          </cell>
          <cell r="K23">
            <v>0</v>
          </cell>
        </row>
        <row r="24">
          <cell r="F24">
            <v>67018</v>
          </cell>
          <cell r="G24">
            <v>0</v>
          </cell>
          <cell r="H24">
            <v>67018</v>
          </cell>
          <cell r="I24">
            <v>0</v>
          </cell>
          <cell r="J24">
            <v>67018</v>
          </cell>
          <cell r="K24">
            <v>0</v>
          </cell>
        </row>
        <row r="25">
          <cell r="F25">
            <v>871269.69</v>
          </cell>
          <cell r="G25">
            <v>0</v>
          </cell>
          <cell r="H25">
            <v>871269.69</v>
          </cell>
          <cell r="I25">
            <v>0</v>
          </cell>
          <cell r="J25">
            <v>871269.69</v>
          </cell>
          <cell r="K25">
            <v>0</v>
          </cell>
        </row>
        <row r="26">
          <cell r="F26">
            <v>4419443.5</v>
          </cell>
          <cell r="G26">
            <v>0</v>
          </cell>
          <cell r="H26">
            <v>4419443.5</v>
          </cell>
          <cell r="I26">
            <v>0</v>
          </cell>
          <cell r="J26">
            <v>4419443.5</v>
          </cell>
          <cell r="K26">
            <v>0</v>
          </cell>
        </row>
        <row r="27">
          <cell r="F27">
            <v>-6660031.3899999997</v>
          </cell>
          <cell r="G27">
            <v>0</v>
          </cell>
          <cell r="H27">
            <v>-6660031.3899999997</v>
          </cell>
          <cell r="I27">
            <v>0</v>
          </cell>
          <cell r="J27">
            <v>-6660031.3899999997</v>
          </cell>
          <cell r="K27">
            <v>0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55798.559999999998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445432.77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23941.62</v>
          </cell>
        </row>
        <row r="31">
          <cell r="F31">
            <v>12273489.18</v>
          </cell>
          <cell r="G31">
            <v>-3555389.1699999995</v>
          </cell>
          <cell r="H31">
            <v>8718100.0100000016</v>
          </cell>
          <cell r="I31">
            <v>0</v>
          </cell>
          <cell r="J31">
            <v>8718100.0100000016</v>
          </cell>
          <cell r="K31">
            <v>4520434.6800000006</v>
          </cell>
        </row>
        <row r="33">
          <cell r="F33">
            <v>-110262.39999999999</v>
          </cell>
          <cell r="G33">
            <v>0</v>
          </cell>
          <cell r="H33">
            <v>-110262.39999999999</v>
          </cell>
          <cell r="I33">
            <v>0</v>
          </cell>
          <cell r="J33">
            <v>-110262.39999999999</v>
          </cell>
          <cell r="K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-164672.07999999999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-5607225.3099999996</v>
          </cell>
        </row>
        <row r="36">
          <cell r="F36">
            <v>49040.85</v>
          </cell>
          <cell r="G36">
            <v>-291116</v>
          </cell>
          <cell r="H36">
            <v>-242075.15</v>
          </cell>
          <cell r="I36">
            <v>0</v>
          </cell>
          <cell r="J36">
            <v>-242075.15</v>
          </cell>
          <cell r="K36">
            <v>0</v>
          </cell>
        </row>
        <row r="37">
          <cell r="F37">
            <v>5342.81</v>
          </cell>
          <cell r="G37">
            <v>-150791.82999999999</v>
          </cell>
          <cell r="H37">
            <v>-145449.01999999999</v>
          </cell>
          <cell r="I37">
            <v>0</v>
          </cell>
          <cell r="J37">
            <v>-145449.01999999999</v>
          </cell>
          <cell r="K37">
            <v>0</v>
          </cell>
        </row>
        <row r="38">
          <cell r="F38">
            <v>-135242.46</v>
          </cell>
          <cell r="G38">
            <v>-2700177.39</v>
          </cell>
          <cell r="H38">
            <v>-2835419.85</v>
          </cell>
          <cell r="I38">
            <v>0</v>
          </cell>
          <cell r="J38">
            <v>-2835419.85</v>
          </cell>
          <cell r="K38">
            <v>0</v>
          </cell>
        </row>
        <row r="39">
          <cell r="F39">
            <v>-191121.19999999998</v>
          </cell>
          <cell r="G39">
            <v>-3142085.22</v>
          </cell>
          <cell r="H39">
            <v>-3333206.42</v>
          </cell>
          <cell r="I39">
            <v>0</v>
          </cell>
          <cell r="J39">
            <v>-3333206.42</v>
          </cell>
          <cell r="K39">
            <v>-5771897.3899999997</v>
          </cell>
        </row>
        <row r="41">
          <cell r="F41">
            <v>220985322.03</v>
          </cell>
          <cell r="G41">
            <v>0</v>
          </cell>
          <cell r="H41">
            <v>220985322.03</v>
          </cell>
          <cell r="I41">
            <v>0</v>
          </cell>
          <cell r="J41">
            <v>220985322.03</v>
          </cell>
          <cell r="K41">
            <v>133071260.63</v>
          </cell>
        </row>
        <row r="42">
          <cell r="F42">
            <v>-36348967.299999997</v>
          </cell>
          <cell r="G42">
            <v>-46894969.759999998</v>
          </cell>
          <cell r="H42">
            <v>-83243937.060000002</v>
          </cell>
          <cell r="I42">
            <v>0</v>
          </cell>
          <cell r="J42">
            <v>-83243937.060000002</v>
          </cell>
          <cell r="K42">
            <v>0</v>
          </cell>
        </row>
        <row r="43">
          <cell r="F43">
            <v>184636354.73000002</v>
          </cell>
          <cell r="G43">
            <v>-46894969.759999998</v>
          </cell>
          <cell r="H43">
            <v>137741384.97</v>
          </cell>
          <cell r="I43">
            <v>0</v>
          </cell>
          <cell r="J43">
            <v>137741384.97</v>
          </cell>
          <cell r="K43">
            <v>133071260.63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3475147.96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F49">
            <v>3414335.67</v>
          </cell>
          <cell r="G49">
            <v>0</v>
          </cell>
          <cell r="H49">
            <v>3414335.67</v>
          </cell>
          <cell r="I49">
            <v>0</v>
          </cell>
          <cell r="J49">
            <v>3414335.67</v>
          </cell>
          <cell r="K49">
            <v>0</v>
          </cell>
        </row>
        <row r="50">
          <cell r="F50">
            <v>4388588.43</v>
          </cell>
          <cell r="G50">
            <v>0</v>
          </cell>
          <cell r="H50">
            <v>4388588.43</v>
          </cell>
          <cell r="I50">
            <v>0</v>
          </cell>
          <cell r="J50">
            <v>4388588.43</v>
          </cell>
          <cell r="K50">
            <v>0</v>
          </cell>
        </row>
        <row r="51">
          <cell r="F51">
            <v>-366522.97</v>
          </cell>
          <cell r="G51">
            <v>0</v>
          </cell>
          <cell r="H51">
            <v>-366522.97</v>
          </cell>
          <cell r="I51">
            <v>0</v>
          </cell>
          <cell r="J51">
            <v>-366522.97</v>
          </cell>
          <cell r="K51">
            <v>0</v>
          </cell>
        </row>
        <row r="52">
          <cell r="F52">
            <v>0</v>
          </cell>
          <cell r="G52">
            <v>-4388588</v>
          </cell>
          <cell r="H52">
            <v>-4388588</v>
          </cell>
          <cell r="I52">
            <v>0</v>
          </cell>
          <cell r="J52">
            <v>-4388588</v>
          </cell>
          <cell r="K52">
            <v>0</v>
          </cell>
        </row>
        <row r="53">
          <cell r="F53">
            <v>7436401.1299999999</v>
          </cell>
          <cell r="G53">
            <v>-4388588</v>
          </cell>
          <cell r="H53">
            <v>3047813.13</v>
          </cell>
          <cell r="I53">
            <v>0</v>
          </cell>
          <cell r="J53">
            <v>3047813.13</v>
          </cell>
          <cell r="K53">
            <v>3475147.96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788153.67</v>
          </cell>
        </row>
        <row r="56">
          <cell r="F56">
            <v>173450468.78</v>
          </cell>
          <cell r="G56">
            <v>0</v>
          </cell>
          <cell r="H56">
            <v>173450468.78</v>
          </cell>
          <cell r="I56">
            <v>0</v>
          </cell>
          <cell r="J56">
            <v>173450468.78</v>
          </cell>
          <cell r="K56">
            <v>0</v>
          </cell>
        </row>
        <row r="57">
          <cell r="F57">
            <v>-171340529.44999999</v>
          </cell>
          <cell r="G57">
            <v>0</v>
          </cell>
          <cell r="H57">
            <v>-171340529.44999999</v>
          </cell>
          <cell r="I57">
            <v>0</v>
          </cell>
          <cell r="J57">
            <v>-171340529.44999999</v>
          </cell>
          <cell r="K57">
            <v>0</v>
          </cell>
        </row>
        <row r="58">
          <cell r="F58">
            <v>24250</v>
          </cell>
          <cell r="G58">
            <v>0</v>
          </cell>
          <cell r="H58">
            <v>24250</v>
          </cell>
          <cell r="I58">
            <v>0</v>
          </cell>
          <cell r="J58">
            <v>24250</v>
          </cell>
          <cell r="K58">
            <v>0</v>
          </cell>
        </row>
        <row r="59">
          <cell r="F59">
            <v>-358340</v>
          </cell>
          <cell r="G59">
            <v>0</v>
          </cell>
          <cell r="H59">
            <v>-358340</v>
          </cell>
          <cell r="I59">
            <v>0</v>
          </cell>
          <cell r="J59">
            <v>-358340</v>
          </cell>
          <cell r="K59">
            <v>0</v>
          </cell>
        </row>
        <row r="60">
          <cell r="F60">
            <v>2563933.5499999998</v>
          </cell>
          <cell r="G60">
            <v>0</v>
          </cell>
          <cell r="H60">
            <v>2563933.5499999998</v>
          </cell>
          <cell r="I60">
            <v>0</v>
          </cell>
          <cell r="J60">
            <v>2563933.5499999998</v>
          </cell>
          <cell r="K60">
            <v>0</v>
          </cell>
        </row>
        <row r="61">
          <cell r="F61">
            <v>0</v>
          </cell>
          <cell r="G61">
            <v>-4339782.88</v>
          </cell>
          <cell r="H61">
            <v>-4339782.88</v>
          </cell>
          <cell r="I61">
            <v>0</v>
          </cell>
          <cell r="J61">
            <v>-4339782.88</v>
          </cell>
          <cell r="K61">
            <v>0</v>
          </cell>
        </row>
        <row r="62">
          <cell r="F62">
            <v>4339782.8800000129</v>
          </cell>
          <cell r="G62">
            <v>-4339782.88</v>
          </cell>
          <cell r="H62">
            <v>1.3038516044616699E-8</v>
          </cell>
          <cell r="I62">
            <v>0</v>
          </cell>
          <cell r="J62">
            <v>1.3038516044616699E-8</v>
          </cell>
          <cell r="K62">
            <v>788153.67</v>
          </cell>
        </row>
        <row r="64">
          <cell r="F64">
            <v>2235668.41</v>
          </cell>
          <cell r="G64">
            <v>0</v>
          </cell>
          <cell r="H64">
            <v>2235668.41</v>
          </cell>
          <cell r="I64">
            <v>0</v>
          </cell>
          <cell r="J64">
            <v>2235668.41</v>
          </cell>
          <cell r="K64">
            <v>2028000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595041.57999999996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387168.22</v>
          </cell>
        </row>
        <row r="67">
          <cell r="F67">
            <v>2502916.67</v>
          </cell>
          <cell r="G67">
            <v>0</v>
          </cell>
          <cell r="H67">
            <v>2502916.67</v>
          </cell>
          <cell r="I67">
            <v>0</v>
          </cell>
          <cell r="J67">
            <v>2502916.67</v>
          </cell>
          <cell r="K67">
            <v>4966416.67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403333.34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-0.02</v>
          </cell>
        </row>
        <row r="72">
          <cell r="F72">
            <v>11629128.789999999</v>
          </cell>
          <cell r="G72">
            <v>0</v>
          </cell>
          <cell r="H72">
            <v>11629128.789999999</v>
          </cell>
          <cell r="I72">
            <v>0</v>
          </cell>
          <cell r="J72">
            <v>11629128.789999999</v>
          </cell>
          <cell r="K72">
            <v>15804069.1</v>
          </cell>
        </row>
        <row r="73">
          <cell r="F73">
            <v>62313511.909999996</v>
          </cell>
          <cell r="G73">
            <v>-20316012.890000001</v>
          </cell>
          <cell r="H73">
            <v>41997499.020000003</v>
          </cell>
          <cell r="I73">
            <v>0</v>
          </cell>
          <cell r="J73">
            <v>41997499.020000003</v>
          </cell>
          <cell r="K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20322.810000000001</v>
          </cell>
        </row>
        <row r="75">
          <cell r="F75">
            <v>10231550.189999999</v>
          </cell>
          <cell r="G75">
            <v>-137238.09</v>
          </cell>
          <cell r="H75">
            <v>10094312.1</v>
          </cell>
          <cell r="I75">
            <v>0</v>
          </cell>
          <cell r="J75">
            <v>10094312.1</v>
          </cell>
          <cell r="K75">
            <v>3450858.6</v>
          </cell>
        </row>
        <row r="76">
          <cell r="F76">
            <v>-1030532.61</v>
          </cell>
          <cell r="G76">
            <v>0</v>
          </cell>
          <cell r="H76">
            <v>-1030532.61</v>
          </cell>
          <cell r="I76">
            <v>0</v>
          </cell>
          <cell r="J76">
            <v>-1030532.61</v>
          </cell>
          <cell r="K76">
            <v>-1030532.61</v>
          </cell>
        </row>
        <row r="77">
          <cell r="F77">
            <v>87882243.359999999</v>
          </cell>
          <cell r="G77">
            <v>-20453250.98</v>
          </cell>
          <cell r="H77">
            <v>67428992.379999995</v>
          </cell>
          <cell r="I77">
            <v>0</v>
          </cell>
          <cell r="J77">
            <v>67428992.379999995</v>
          </cell>
          <cell r="K77">
            <v>26624677.690000001</v>
          </cell>
        </row>
        <row r="79">
          <cell r="F79">
            <v>6472669.1100000003</v>
          </cell>
          <cell r="G79">
            <v>0</v>
          </cell>
          <cell r="H79">
            <v>6472669.1100000003</v>
          </cell>
          <cell r="I79">
            <v>0</v>
          </cell>
          <cell r="J79">
            <v>6472669.1100000003</v>
          </cell>
          <cell r="K79">
            <v>4218119.1100000003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152550</v>
          </cell>
        </row>
        <row r="81">
          <cell r="F81">
            <v>-1046405.09</v>
          </cell>
          <cell r="G81">
            <v>-574670.21</v>
          </cell>
          <cell r="H81">
            <v>-1621075.3</v>
          </cell>
          <cell r="I81">
            <v>0</v>
          </cell>
          <cell r="J81">
            <v>-1621075.3</v>
          </cell>
          <cell r="K81">
            <v>-888923.33</v>
          </cell>
        </row>
        <row r="82">
          <cell r="F82">
            <v>5426264.0200000005</v>
          </cell>
          <cell r="G82">
            <v>-574670.21</v>
          </cell>
          <cell r="H82">
            <v>4851593.8100000005</v>
          </cell>
          <cell r="I82">
            <v>0</v>
          </cell>
          <cell r="J82">
            <v>4851593.8100000005</v>
          </cell>
          <cell r="K82">
            <v>3481745.7800000003</v>
          </cell>
        </row>
        <row r="84">
          <cell r="F84">
            <v>83154062.629999995</v>
          </cell>
          <cell r="G84">
            <v>0</v>
          </cell>
          <cell r="H84">
            <v>83154062.629999995</v>
          </cell>
          <cell r="I84">
            <v>0</v>
          </cell>
          <cell r="J84">
            <v>83154062.629999995</v>
          </cell>
          <cell r="K84">
            <v>274171804</v>
          </cell>
        </row>
        <row r="85">
          <cell r="F85">
            <v>-38553485.700000003</v>
          </cell>
          <cell r="G85">
            <v>0</v>
          </cell>
          <cell r="H85">
            <v>-38553485.700000003</v>
          </cell>
          <cell r="I85">
            <v>0</v>
          </cell>
          <cell r="J85">
            <v>-38553485.700000003</v>
          </cell>
          <cell r="K85">
            <v>-148144192</v>
          </cell>
        </row>
        <row r="86">
          <cell r="F86">
            <v>44600576.929999992</v>
          </cell>
          <cell r="G86">
            <v>0</v>
          </cell>
          <cell r="H86">
            <v>44600576.929999992</v>
          </cell>
          <cell r="I86">
            <v>0</v>
          </cell>
          <cell r="J86">
            <v>44600576.929999992</v>
          </cell>
          <cell r="K86">
            <v>126027612</v>
          </cell>
        </row>
        <row r="88">
          <cell r="F88">
            <v>8813469.7100000009</v>
          </cell>
          <cell r="G88">
            <v>0</v>
          </cell>
          <cell r="H88">
            <v>8813469.7100000009</v>
          </cell>
          <cell r="I88">
            <v>0</v>
          </cell>
          <cell r="J88">
            <v>8813469.7100000009</v>
          </cell>
          <cell r="K88">
            <v>9336959.1600000001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129.55000000000001</v>
          </cell>
        </row>
        <row r="90">
          <cell r="F90">
            <v>-4804885.2</v>
          </cell>
          <cell r="G90">
            <v>-722807.59</v>
          </cell>
          <cell r="H90">
            <v>-5527692.79</v>
          </cell>
          <cell r="I90">
            <v>0</v>
          </cell>
          <cell r="J90">
            <v>-5527692.79</v>
          </cell>
          <cell r="K90">
            <v>-3788306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4008584.5100000007</v>
          </cell>
          <cell r="G92">
            <v>-722807.59</v>
          </cell>
          <cell r="H92">
            <v>3285776.9200000009</v>
          </cell>
          <cell r="I92">
            <v>0</v>
          </cell>
          <cell r="J92">
            <v>3285776.9200000009</v>
          </cell>
          <cell r="K92">
            <v>5548782.7100000009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2956218</v>
          </cell>
          <cell r="J94">
            <v>2956218</v>
          </cell>
          <cell r="K94">
            <v>2093618.23</v>
          </cell>
        </row>
        <row r="95">
          <cell r="F95">
            <v>0</v>
          </cell>
          <cell r="G95">
            <v>-546505</v>
          </cell>
          <cell r="H95">
            <v>-546505</v>
          </cell>
          <cell r="I95">
            <v>-661050</v>
          </cell>
          <cell r="J95">
            <v>-1207555</v>
          </cell>
          <cell r="K95">
            <v>-661050</v>
          </cell>
        </row>
        <row r="96">
          <cell r="F96">
            <v>0</v>
          </cell>
          <cell r="G96">
            <v>-546505</v>
          </cell>
          <cell r="H96">
            <v>-546505</v>
          </cell>
          <cell r="I96">
            <v>2295168</v>
          </cell>
          <cell r="J96">
            <v>1748663</v>
          </cell>
          <cell r="K96">
            <v>1432568.23</v>
          </cell>
        </row>
        <row r="98">
          <cell r="F98">
            <v>5988526.2300000004</v>
          </cell>
          <cell r="G98">
            <v>0</v>
          </cell>
          <cell r="H98">
            <v>5988526.2300000004</v>
          </cell>
          <cell r="I98">
            <v>-2993174.8</v>
          </cell>
          <cell r="J98">
            <v>2995351.43</v>
          </cell>
          <cell r="K98">
            <v>2915321.25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53179.95</v>
          </cell>
        </row>
        <row r="100">
          <cell r="F100">
            <v>-1863349.64</v>
          </cell>
          <cell r="G100">
            <v>-234081.56</v>
          </cell>
          <cell r="H100">
            <v>-2097431.2000000002</v>
          </cell>
          <cell r="I100">
            <v>661050</v>
          </cell>
          <cell r="J100">
            <v>-1436381.2</v>
          </cell>
          <cell r="K100">
            <v>-823118.3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-25179.63</v>
          </cell>
        </row>
        <row r="102">
          <cell r="F102">
            <v>4125176.5900000008</v>
          </cell>
          <cell r="G102">
            <v>-234081.56</v>
          </cell>
          <cell r="H102">
            <v>3891095.0300000003</v>
          </cell>
          <cell r="I102">
            <v>-2332124.7999999998</v>
          </cell>
          <cell r="J102">
            <v>1558970.2300000002</v>
          </cell>
          <cell r="K102">
            <v>2120203.2700000005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7">
          <cell r="F107">
            <v>-31642274.210000001</v>
          </cell>
          <cell r="G107">
            <v>0</v>
          </cell>
          <cell r="H107">
            <v>-31642274.210000001</v>
          </cell>
          <cell r="I107">
            <v>805995</v>
          </cell>
          <cell r="J107">
            <v>-30836279.210000001</v>
          </cell>
          <cell r="K107">
            <v>-34963742.710000001</v>
          </cell>
        </row>
        <row r="108">
          <cell r="F108">
            <v>-31642274.210000001</v>
          </cell>
          <cell r="G108">
            <v>0</v>
          </cell>
          <cell r="H108">
            <v>-31642274.210000001</v>
          </cell>
          <cell r="I108">
            <v>805995</v>
          </cell>
          <cell r="J108">
            <v>-30836279.210000001</v>
          </cell>
          <cell r="K108">
            <v>-34963742.710000001</v>
          </cell>
        </row>
        <row r="110">
          <cell r="F110">
            <v>-20628556.949999999</v>
          </cell>
          <cell r="G110">
            <v>0</v>
          </cell>
          <cell r="H110">
            <v>-20628556.949999999</v>
          </cell>
          <cell r="I110">
            <v>0</v>
          </cell>
          <cell r="J110">
            <v>-20628556.949999999</v>
          </cell>
          <cell r="K110">
            <v>-8086593.9500000002</v>
          </cell>
        </row>
        <row r="111">
          <cell r="F111">
            <v>47105.42</v>
          </cell>
          <cell r="G111">
            <v>-47105.42</v>
          </cell>
          <cell r="H111">
            <v>0</v>
          </cell>
          <cell r="I111">
            <v>0</v>
          </cell>
          <cell r="J111">
            <v>0</v>
          </cell>
          <cell r="K111">
            <v>-106845.02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-118066.76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-24930.01</v>
          </cell>
        </row>
        <row r="114">
          <cell r="F114">
            <v>6620453.3799999999</v>
          </cell>
          <cell r="G114">
            <v>-6620453.3799999999</v>
          </cell>
          <cell r="H114">
            <v>0</v>
          </cell>
          <cell r="I114">
            <v>0</v>
          </cell>
          <cell r="J114">
            <v>0</v>
          </cell>
          <cell r="K114">
            <v>-3733596.56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-715542.09</v>
          </cell>
        </row>
        <row r="116"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-1218082.01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-149005.29999999999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-968017.33</v>
          </cell>
        </row>
        <row r="119">
          <cell r="F119">
            <v>-5720722.8600000003</v>
          </cell>
          <cell r="G119">
            <v>0</v>
          </cell>
          <cell r="H119">
            <v>-5720722.8600000003</v>
          </cell>
          <cell r="I119">
            <v>0</v>
          </cell>
          <cell r="J119">
            <v>-5720722.8600000003</v>
          </cell>
          <cell r="K119">
            <v>0</v>
          </cell>
        </row>
        <row r="120">
          <cell r="F120">
            <v>-200603</v>
          </cell>
          <cell r="G120">
            <v>0</v>
          </cell>
          <cell r="H120">
            <v>-200603</v>
          </cell>
          <cell r="I120">
            <v>0</v>
          </cell>
          <cell r="J120">
            <v>-200603</v>
          </cell>
          <cell r="K120">
            <v>0</v>
          </cell>
        </row>
        <row r="121">
          <cell r="F121">
            <v>-3075979.64</v>
          </cell>
          <cell r="G121">
            <v>0</v>
          </cell>
          <cell r="H121">
            <v>-3075979.64</v>
          </cell>
          <cell r="I121">
            <v>0</v>
          </cell>
          <cell r="J121">
            <v>-3075979.64</v>
          </cell>
          <cell r="K121">
            <v>0</v>
          </cell>
        </row>
        <row r="122">
          <cell r="F122">
            <v>-1400000</v>
          </cell>
          <cell r="G122">
            <v>0</v>
          </cell>
          <cell r="H122">
            <v>-1400000</v>
          </cell>
          <cell r="I122">
            <v>0</v>
          </cell>
          <cell r="J122">
            <v>-1400000</v>
          </cell>
          <cell r="K122">
            <v>0</v>
          </cell>
        </row>
        <row r="123">
          <cell r="F123">
            <v>-308839.28000000003</v>
          </cell>
          <cell r="G123">
            <v>0</v>
          </cell>
          <cell r="H123">
            <v>-308839.28000000003</v>
          </cell>
          <cell r="I123">
            <v>0</v>
          </cell>
          <cell r="J123">
            <v>-308839.28000000003</v>
          </cell>
          <cell r="K123">
            <v>0</v>
          </cell>
        </row>
        <row r="124">
          <cell r="F124">
            <v>-24667142.93</v>
          </cell>
          <cell r="G124">
            <v>-6667558.7999999998</v>
          </cell>
          <cell r="H124">
            <v>-31334701.73</v>
          </cell>
          <cell r="I124">
            <v>0</v>
          </cell>
          <cell r="J124">
            <v>-31334701.73</v>
          </cell>
          <cell r="K124">
            <v>-15120679.029999999</v>
          </cell>
        </row>
        <row r="126">
          <cell r="F126">
            <v>-18902488.809999999</v>
          </cell>
          <cell r="G126">
            <v>0</v>
          </cell>
          <cell r="H126">
            <v>-18902488.809999999</v>
          </cell>
          <cell r="I126">
            <v>0</v>
          </cell>
          <cell r="J126">
            <v>-18902488.809999999</v>
          </cell>
          <cell r="K126">
            <v>-4952562.58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-940471.24</v>
          </cell>
        </row>
        <row r="128">
          <cell r="F128">
            <v>-4038011.81</v>
          </cell>
          <cell r="G128">
            <v>0</v>
          </cell>
          <cell r="H128">
            <v>-4038011.81</v>
          </cell>
          <cell r="I128">
            <v>0</v>
          </cell>
          <cell r="J128">
            <v>-4038011.81</v>
          </cell>
          <cell r="K128">
            <v>-3592360.72</v>
          </cell>
        </row>
        <row r="129">
          <cell r="F129">
            <v>1466164.53</v>
          </cell>
          <cell r="G129">
            <v>0</v>
          </cell>
          <cell r="H129">
            <v>1466164.53</v>
          </cell>
          <cell r="I129">
            <v>0</v>
          </cell>
          <cell r="J129">
            <v>1466164.53</v>
          </cell>
          <cell r="K129">
            <v>0</v>
          </cell>
        </row>
        <row r="130">
          <cell r="F130">
            <v>-573769.77</v>
          </cell>
          <cell r="G130">
            <v>0</v>
          </cell>
          <cell r="H130">
            <v>-573769.77</v>
          </cell>
          <cell r="I130">
            <v>0</v>
          </cell>
          <cell r="J130">
            <v>-573769.77</v>
          </cell>
          <cell r="K130">
            <v>0</v>
          </cell>
        </row>
        <row r="131">
          <cell r="F131">
            <v>-5.05</v>
          </cell>
          <cell r="G131">
            <v>5.05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F132">
            <v>-22048110.909999996</v>
          </cell>
          <cell r="G132">
            <v>5.05</v>
          </cell>
          <cell r="H132">
            <v>-22048105.859999996</v>
          </cell>
          <cell r="I132">
            <v>0</v>
          </cell>
          <cell r="J132">
            <v>-22048105.859999996</v>
          </cell>
          <cell r="K132">
            <v>-9485394.540000001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-901435.23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-901435.23</v>
          </cell>
        </row>
        <row r="137">
          <cell r="F137">
            <v>-25693133.649999999</v>
          </cell>
          <cell r="G137">
            <v>-5930318.5</v>
          </cell>
          <cell r="H137">
            <v>-31623452.149999999</v>
          </cell>
          <cell r="I137">
            <v>0</v>
          </cell>
          <cell r="J137">
            <v>-31623452.149999999</v>
          </cell>
          <cell r="K137">
            <v>-16356721.07</v>
          </cell>
        </row>
        <row r="138">
          <cell r="F138">
            <v>-25693133.649999999</v>
          </cell>
          <cell r="G138">
            <v>-5930318.5</v>
          </cell>
          <cell r="H138">
            <v>-31623452.149999999</v>
          </cell>
          <cell r="I138">
            <v>0</v>
          </cell>
          <cell r="J138">
            <v>-31623452.149999999</v>
          </cell>
          <cell r="K138">
            <v>-16356721.07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-50480.480000000003</v>
          </cell>
        </row>
        <row r="141"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-65555.62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-116036.1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3">
          <cell r="F153">
            <v>-8727898.9600000009</v>
          </cell>
          <cell r="G153">
            <v>81443.199999999997</v>
          </cell>
          <cell r="H153">
            <v>-8646455.7599999998</v>
          </cell>
          <cell r="I153">
            <v>0</v>
          </cell>
          <cell r="J153">
            <v>-8646455.7599999998</v>
          </cell>
          <cell r="K153">
            <v>-7490000</v>
          </cell>
        </row>
        <row r="154">
          <cell r="F154">
            <v>-49472304.369999997</v>
          </cell>
          <cell r="G154">
            <v>-891274.46</v>
          </cell>
          <cell r="H154">
            <v>-50363578.829999998</v>
          </cell>
          <cell r="I154">
            <v>0</v>
          </cell>
          <cell r="J154">
            <v>-50363578.829999998</v>
          </cell>
          <cell r="K154">
            <v>-43804065</v>
          </cell>
        </row>
        <row r="155">
          <cell r="F155">
            <v>-58200203.329999998</v>
          </cell>
          <cell r="G155">
            <v>-809831.26</v>
          </cell>
          <cell r="H155">
            <v>-59010034.589999996</v>
          </cell>
          <cell r="I155">
            <v>0</v>
          </cell>
          <cell r="J155">
            <v>-59010034.589999996</v>
          </cell>
          <cell r="K155">
            <v>-51294065</v>
          </cell>
        </row>
        <row r="157">
          <cell r="F157">
            <v>25045663.989999998</v>
          </cell>
          <cell r="G157">
            <v>0</v>
          </cell>
          <cell r="H157">
            <v>25045663.989999998</v>
          </cell>
          <cell r="I157">
            <v>-805995</v>
          </cell>
          <cell r="J157">
            <v>24239668.989999998</v>
          </cell>
          <cell r="K157">
            <v>171515074.30000001</v>
          </cell>
        </row>
        <row r="158">
          <cell r="F158">
            <v>128125820.12</v>
          </cell>
          <cell r="G158">
            <v>0</v>
          </cell>
          <cell r="H158">
            <v>128125820.12</v>
          </cell>
          <cell r="I158">
            <v>0</v>
          </cell>
          <cell r="J158">
            <v>128125820.12</v>
          </cell>
          <cell r="K158">
            <v>-4205437.79</v>
          </cell>
        </row>
        <row r="159">
          <cell r="F159">
            <v>153171484.11000001</v>
          </cell>
          <cell r="G159">
            <v>0</v>
          </cell>
          <cell r="H159">
            <v>153171484.11000001</v>
          </cell>
          <cell r="I159">
            <v>-805995</v>
          </cell>
          <cell r="J159">
            <v>152365489.11000001</v>
          </cell>
          <cell r="K159">
            <v>167309636.51000002</v>
          </cell>
        </row>
        <row r="161">
          <cell r="F161">
            <v>-22200000</v>
          </cell>
          <cell r="G161">
            <v>0</v>
          </cell>
          <cell r="H161">
            <v>-22200000</v>
          </cell>
          <cell r="I161">
            <v>0</v>
          </cell>
          <cell r="J161">
            <v>-22200000</v>
          </cell>
          <cell r="K161">
            <v>0</v>
          </cell>
        </row>
        <row r="162">
          <cell r="F162">
            <v>-22200000</v>
          </cell>
          <cell r="G162">
            <v>0</v>
          </cell>
          <cell r="H162">
            <v>-22200000</v>
          </cell>
          <cell r="I162">
            <v>0</v>
          </cell>
          <cell r="J162">
            <v>-22200000</v>
          </cell>
          <cell r="K162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-23160.12</v>
          </cell>
        </row>
        <row r="165"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4607.2</v>
          </cell>
        </row>
        <row r="166">
          <cell r="F166">
            <v>-25067055.66</v>
          </cell>
          <cell r="G166">
            <v>-6896854.0800000001</v>
          </cell>
          <cell r="H166">
            <v>-31963909.739999998</v>
          </cell>
          <cell r="I166">
            <v>0</v>
          </cell>
          <cell r="J166">
            <v>-31963909.739999998</v>
          </cell>
          <cell r="K166">
            <v>-44176168.009999998</v>
          </cell>
        </row>
        <row r="167">
          <cell r="F167">
            <v>11903.75</v>
          </cell>
          <cell r="G167">
            <v>-11903.75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F168">
            <v>-25055151.91</v>
          </cell>
          <cell r="G168">
            <v>-6908757.8300000001</v>
          </cell>
          <cell r="H168">
            <v>-31963909.739999998</v>
          </cell>
          <cell r="I168">
            <v>0</v>
          </cell>
          <cell r="J168">
            <v>-31963909.739999998</v>
          </cell>
          <cell r="K168">
            <v>-44194720.93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6"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-13779844.460000001</v>
          </cell>
        </row>
        <row r="187">
          <cell r="F187">
            <v>-6766111.8499999996</v>
          </cell>
          <cell r="G187">
            <v>0</v>
          </cell>
          <cell r="H187">
            <v>-6766111.8499999996</v>
          </cell>
          <cell r="I187">
            <v>0</v>
          </cell>
          <cell r="J187">
            <v>-6766111.8499999996</v>
          </cell>
          <cell r="K187">
            <v>-1557517.03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-24166494.719999999</v>
          </cell>
        </row>
        <row r="189">
          <cell r="F189">
            <v>-16732637.300000001</v>
          </cell>
          <cell r="G189">
            <v>0</v>
          </cell>
          <cell r="H189">
            <v>-16732637.300000001</v>
          </cell>
          <cell r="I189">
            <v>0</v>
          </cell>
          <cell r="J189">
            <v>-16732637.300000001</v>
          </cell>
          <cell r="K189">
            <v>-2605724.96</v>
          </cell>
        </row>
        <row r="190">
          <cell r="F190">
            <v>-6873185.4100000001</v>
          </cell>
          <cell r="G190">
            <v>0</v>
          </cell>
          <cell r="H190">
            <v>-6873185.4100000001</v>
          </cell>
          <cell r="I190">
            <v>0</v>
          </cell>
          <cell r="J190">
            <v>-6873185.4100000001</v>
          </cell>
          <cell r="K190">
            <v>-23660126.219999999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-3703329.9</v>
          </cell>
        </row>
        <row r="192">
          <cell r="F192">
            <v>-12370875.369999999</v>
          </cell>
          <cell r="G192">
            <v>0</v>
          </cell>
          <cell r="H192">
            <v>-12370875.369999999</v>
          </cell>
          <cell r="I192">
            <v>0</v>
          </cell>
          <cell r="J192">
            <v>-12370875.369999999</v>
          </cell>
          <cell r="K192">
            <v>-9773243.1500000004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-1972886.29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-11417958.439999999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-2448999.94</v>
          </cell>
        </row>
        <row r="196">
          <cell r="F196">
            <v>-1760510.79</v>
          </cell>
          <cell r="G196">
            <v>0</v>
          </cell>
          <cell r="H196">
            <v>-1760510.79</v>
          </cell>
          <cell r="I196">
            <v>0</v>
          </cell>
          <cell r="J196">
            <v>-1760510.79</v>
          </cell>
          <cell r="K196">
            <v>-3971578.97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-831857.85</v>
          </cell>
        </row>
        <row r="198">
          <cell r="F198">
            <v>-6639946.0599999996</v>
          </cell>
          <cell r="G198">
            <v>0</v>
          </cell>
          <cell r="H198">
            <v>-6639946.0599999996</v>
          </cell>
          <cell r="I198">
            <v>0</v>
          </cell>
          <cell r="J198">
            <v>-6639946.0599999996</v>
          </cell>
          <cell r="K198">
            <v>-14316028.359999999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-2889919.55</v>
          </cell>
        </row>
        <row r="200">
          <cell r="F200">
            <v>-3227660.96</v>
          </cell>
          <cell r="G200">
            <v>0</v>
          </cell>
          <cell r="H200">
            <v>-3227660.96</v>
          </cell>
          <cell r="I200">
            <v>0</v>
          </cell>
          <cell r="J200">
            <v>-3227660.96</v>
          </cell>
          <cell r="K200">
            <v>-4103253.4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-828307.72</v>
          </cell>
        </row>
        <row r="202">
          <cell r="F202">
            <v>-8360223.3499999996</v>
          </cell>
          <cell r="G202">
            <v>0</v>
          </cell>
          <cell r="H202">
            <v>-8360223.3499999996</v>
          </cell>
          <cell r="I202">
            <v>0</v>
          </cell>
          <cell r="J202">
            <v>-8360223.3499999996</v>
          </cell>
          <cell r="K202">
            <v>-10001769.17</v>
          </cell>
        </row>
        <row r="203">
          <cell r="F203">
            <v>-19043598.210000001</v>
          </cell>
          <cell r="G203">
            <v>0</v>
          </cell>
          <cell r="H203">
            <v>-19043598.210000001</v>
          </cell>
          <cell r="I203">
            <v>0</v>
          </cell>
          <cell r="J203">
            <v>-19043598.210000001</v>
          </cell>
          <cell r="K203">
            <v>-7467388.4699999997</v>
          </cell>
        </row>
        <row r="204">
          <cell r="F204">
            <v>-81774749.300000012</v>
          </cell>
          <cell r="G204">
            <v>0</v>
          </cell>
          <cell r="H204">
            <v>-81774749.300000012</v>
          </cell>
          <cell r="I204">
            <v>0</v>
          </cell>
          <cell r="J204">
            <v>-81774749.300000012</v>
          </cell>
          <cell r="K204">
            <v>-139496228.60000002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8">
          <cell r="F208">
            <v>-20000000</v>
          </cell>
          <cell r="G208">
            <v>0</v>
          </cell>
          <cell r="H208">
            <v>-20000000</v>
          </cell>
          <cell r="I208">
            <v>0</v>
          </cell>
          <cell r="J208">
            <v>-20000000</v>
          </cell>
          <cell r="K208">
            <v>-20000000</v>
          </cell>
        </row>
        <row r="209">
          <cell r="F209">
            <v>30.22</v>
          </cell>
          <cell r="G209">
            <v>-30.22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-19999969.780000001</v>
          </cell>
          <cell r="G210">
            <v>-30.22</v>
          </cell>
          <cell r="H210">
            <v>-20000000</v>
          </cell>
          <cell r="I210">
            <v>0</v>
          </cell>
          <cell r="J210">
            <v>-20000000</v>
          </cell>
          <cell r="K210">
            <v>-20000000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6">
          <cell r="F216">
            <v>-207000000</v>
          </cell>
          <cell r="G216">
            <v>0</v>
          </cell>
          <cell r="H216">
            <v>-207000000</v>
          </cell>
          <cell r="I216">
            <v>0</v>
          </cell>
          <cell r="J216">
            <v>-207000000</v>
          </cell>
          <cell r="K216">
            <v>-207000000</v>
          </cell>
        </row>
        <row r="217">
          <cell r="F217">
            <v>-207000000</v>
          </cell>
          <cell r="G217">
            <v>0</v>
          </cell>
          <cell r="H217">
            <v>-207000000</v>
          </cell>
          <cell r="I217">
            <v>0</v>
          </cell>
          <cell r="J217">
            <v>-207000000</v>
          </cell>
          <cell r="K217">
            <v>-207000000</v>
          </cell>
        </row>
        <row r="219">
          <cell r="F219">
            <v>68962345.599999994</v>
          </cell>
          <cell r="G219">
            <v>0</v>
          </cell>
          <cell r="H219">
            <v>68962345.599999994</v>
          </cell>
          <cell r="I219">
            <v>0</v>
          </cell>
          <cell r="J219">
            <v>68962345.599999994</v>
          </cell>
          <cell r="K219">
            <v>0</v>
          </cell>
        </row>
        <row r="220">
          <cell r="F220">
            <v>-142051.56</v>
          </cell>
          <cell r="G220">
            <v>0</v>
          </cell>
          <cell r="H220">
            <v>-142051.56</v>
          </cell>
          <cell r="I220">
            <v>0</v>
          </cell>
          <cell r="J220">
            <v>-142051.56</v>
          </cell>
          <cell r="K220">
            <v>0</v>
          </cell>
        </row>
        <row r="221">
          <cell r="F221">
            <v>68820294.039999992</v>
          </cell>
          <cell r="G221">
            <v>0</v>
          </cell>
          <cell r="H221">
            <v>68820294.039999992</v>
          </cell>
          <cell r="I221">
            <v>0</v>
          </cell>
          <cell r="J221">
            <v>68820294.039999992</v>
          </cell>
          <cell r="K221">
            <v>0</v>
          </cell>
        </row>
        <row r="223">
          <cell r="F223">
            <v>0</v>
          </cell>
          <cell r="G223">
            <v>-47151385.920000002</v>
          </cell>
          <cell r="H223">
            <v>-47151385.920000002</v>
          </cell>
          <cell r="I223">
            <v>0</v>
          </cell>
          <cell r="J223">
            <v>-47151385.920000002</v>
          </cell>
          <cell r="K223">
            <v>0</v>
          </cell>
        </row>
        <row r="224">
          <cell r="F224">
            <v>0</v>
          </cell>
          <cell r="G224">
            <v>-47151385.920000002</v>
          </cell>
          <cell r="H224">
            <v>-47151385.920000002</v>
          </cell>
          <cell r="I224">
            <v>0</v>
          </cell>
          <cell r="J224">
            <v>-47151385.920000002</v>
          </cell>
          <cell r="K224">
            <v>0</v>
          </cell>
        </row>
        <row r="226">
          <cell r="F226">
            <v>142051.56</v>
          </cell>
          <cell r="G226">
            <v>-142052</v>
          </cell>
          <cell r="H226">
            <v>-0.44</v>
          </cell>
          <cell r="I226">
            <v>0</v>
          </cell>
          <cell r="J226">
            <v>-0.44</v>
          </cell>
          <cell r="K226">
            <v>-142051.56</v>
          </cell>
        </row>
        <row r="227">
          <cell r="F227">
            <v>-22702308</v>
          </cell>
          <cell r="G227">
            <v>0</v>
          </cell>
          <cell r="H227">
            <v>-22702308</v>
          </cell>
          <cell r="I227">
            <v>0</v>
          </cell>
          <cell r="J227">
            <v>-22702308</v>
          </cell>
          <cell r="K227">
            <v>0</v>
          </cell>
        </row>
        <row r="228">
          <cell r="F228">
            <v>-61509084.710000001</v>
          </cell>
          <cell r="G228">
            <v>0</v>
          </cell>
          <cell r="H228">
            <v>-61509084.710000001</v>
          </cell>
          <cell r="I228">
            <v>0</v>
          </cell>
          <cell r="J228">
            <v>-61509084.710000001</v>
          </cell>
          <cell r="K228">
            <v>0</v>
          </cell>
        </row>
        <row r="229">
          <cell r="F229">
            <v>-385004490.89999998</v>
          </cell>
          <cell r="G229">
            <v>0</v>
          </cell>
          <cell r="H229">
            <v>-385004490.89999998</v>
          </cell>
          <cell r="I229">
            <v>0</v>
          </cell>
          <cell r="J229">
            <v>-385004490.89999998</v>
          </cell>
          <cell r="K229">
            <v>-690878662.38999999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-41216134.359999999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-581049</v>
          </cell>
        </row>
        <row r="232">
          <cell r="F232">
            <v>-34326418.729999997</v>
          </cell>
          <cell r="G232">
            <v>67467398.810000002</v>
          </cell>
          <cell r="H232">
            <v>33140980.079999998</v>
          </cell>
          <cell r="I232">
            <v>0</v>
          </cell>
          <cell r="J232">
            <v>33140980.079999998</v>
          </cell>
          <cell r="K232">
            <v>-4000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3885740.9</v>
          </cell>
        </row>
        <row r="234">
          <cell r="F234">
            <v>-503400250.77999997</v>
          </cell>
          <cell r="G234">
            <v>67325346.810000002</v>
          </cell>
          <cell r="H234">
            <v>-436074903.96999997</v>
          </cell>
          <cell r="I234">
            <v>0</v>
          </cell>
          <cell r="J234">
            <v>-436074903.96999997</v>
          </cell>
          <cell r="K234">
            <v>-728936156.40999997</v>
          </cell>
        </row>
        <row r="236">
          <cell r="F236">
            <v>27050572.800000001</v>
          </cell>
          <cell r="G236">
            <v>0</v>
          </cell>
          <cell r="H236">
            <v>27050572.800000001</v>
          </cell>
          <cell r="I236">
            <v>0</v>
          </cell>
          <cell r="J236">
            <v>27050572.800000001</v>
          </cell>
          <cell r="K236">
            <v>0</v>
          </cell>
        </row>
        <row r="237">
          <cell r="F237">
            <v>186365477.12</v>
          </cell>
          <cell r="G237">
            <v>28797.96</v>
          </cell>
          <cell r="H237">
            <v>186394275.08000001</v>
          </cell>
          <cell r="I237">
            <v>0</v>
          </cell>
          <cell r="J237">
            <v>186394275.08000001</v>
          </cell>
          <cell r="K237">
            <v>0</v>
          </cell>
        </row>
        <row r="238">
          <cell r="F238">
            <v>-14257490.449999999</v>
          </cell>
          <cell r="G238">
            <v>0</v>
          </cell>
          <cell r="H238">
            <v>-14257490.449999999</v>
          </cell>
          <cell r="I238">
            <v>0</v>
          </cell>
          <cell r="J238">
            <v>-14257490.449999999</v>
          </cell>
          <cell r="K238">
            <v>0</v>
          </cell>
        </row>
        <row r="239">
          <cell r="F239">
            <v>4418751.7699999996</v>
          </cell>
          <cell r="G239">
            <v>0</v>
          </cell>
          <cell r="H239">
            <v>4418751.7699999996</v>
          </cell>
          <cell r="I239">
            <v>0</v>
          </cell>
          <cell r="J239">
            <v>4418751.7699999996</v>
          </cell>
          <cell r="K239">
            <v>7872585.75</v>
          </cell>
        </row>
        <row r="240">
          <cell r="F240">
            <v>203577311.24000004</v>
          </cell>
          <cell r="G240">
            <v>28797.96</v>
          </cell>
          <cell r="H240">
            <v>203606109.20000005</v>
          </cell>
          <cell r="I240">
            <v>0</v>
          </cell>
          <cell r="J240">
            <v>203606109.20000005</v>
          </cell>
          <cell r="K240">
            <v>7872585.75</v>
          </cell>
        </row>
        <row r="242">
          <cell r="F242">
            <v>5990818.2300000004</v>
          </cell>
          <cell r="G242">
            <v>1343278</v>
          </cell>
          <cell r="H242">
            <v>7334096.2300000004</v>
          </cell>
          <cell r="I242">
            <v>0</v>
          </cell>
          <cell r="J242">
            <v>7334096.2300000004</v>
          </cell>
          <cell r="K242">
            <v>0</v>
          </cell>
        </row>
        <row r="243">
          <cell r="F243">
            <v>4963149.05</v>
          </cell>
          <cell r="G243">
            <v>74500</v>
          </cell>
          <cell r="H243">
            <v>5037649.05</v>
          </cell>
          <cell r="I243">
            <v>0</v>
          </cell>
          <cell r="J243">
            <v>5037649.05</v>
          </cell>
          <cell r="K243">
            <v>0</v>
          </cell>
        </row>
        <row r="244">
          <cell r="F244">
            <v>3882656.13</v>
          </cell>
          <cell r="G244">
            <v>0</v>
          </cell>
          <cell r="H244">
            <v>3882656.13</v>
          </cell>
          <cell r="I244">
            <v>0</v>
          </cell>
          <cell r="J244">
            <v>3882656.13</v>
          </cell>
          <cell r="K244">
            <v>0</v>
          </cell>
        </row>
        <row r="245">
          <cell r="F245">
            <v>435000</v>
          </cell>
          <cell r="G245">
            <v>0</v>
          </cell>
          <cell r="H245">
            <v>435000</v>
          </cell>
          <cell r="I245">
            <v>0</v>
          </cell>
          <cell r="J245">
            <v>435000</v>
          </cell>
          <cell r="K245">
            <v>0</v>
          </cell>
        </row>
        <row r="246">
          <cell r="F246">
            <v>0</v>
          </cell>
          <cell r="G246">
            <v>4388588</v>
          </cell>
          <cell r="H246">
            <v>4388588</v>
          </cell>
          <cell r="I246">
            <v>0</v>
          </cell>
          <cell r="J246">
            <v>4388588</v>
          </cell>
          <cell r="K246">
            <v>0</v>
          </cell>
        </row>
        <row r="247">
          <cell r="F247">
            <v>-25000</v>
          </cell>
          <cell r="G247">
            <v>0</v>
          </cell>
          <cell r="H247">
            <v>-25000</v>
          </cell>
          <cell r="I247">
            <v>0</v>
          </cell>
          <cell r="J247">
            <v>-25000</v>
          </cell>
          <cell r="K247">
            <v>-200000</v>
          </cell>
        </row>
        <row r="248">
          <cell r="F248">
            <v>3000</v>
          </cell>
          <cell r="G248">
            <v>0</v>
          </cell>
          <cell r="H248">
            <v>3000</v>
          </cell>
          <cell r="I248">
            <v>0</v>
          </cell>
          <cell r="J248">
            <v>3000</v>
          </cell>
          <cell r="K248">
            <v>97500</v>
          </cell>
        </row>
        <row r="249">
          <cell r="F249">
            <v>63410</v>
          </cell>
          <cell r="G249">
            <v>0</v>
          </cell>
          <cell r="H249">
            <v>63410</v>
          </cell>
          <cell r="I249">
            <v>0</v>
          </cell>
          <cell r="J249">
            <v>63410</v>
          </cell>
          <cell r="K249">
            <v>-208164.23</v>
          </cell>
        </row>
        <row r="250">
          <cell r="F250">
            <v>15313033.41</v>
          </cell>
          <cell r="G250">
            <v>5806366</v>
          </cell>
          <cell r="H250">
            <v>21119399.41</v>
          </cell>
          <cell r="I250">
            <v>0</v>
          </cell>
          <cell r="J250">
            <v>21119399.41</v>
          </cell>
          <cell r="K250">
            <v>-310664.23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34163838.840000004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34163838.840000004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35807139.490000002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35807139.490000002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26412257.710000001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4997894.54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671100.96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32081253.210000001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5">
          <cell r="F265">
            <v>5000</v>
          </cell>
          <cell r="G265">
            <v>0</v>
          </cell>
          <cell r="H265">
            <v>5000</v>
          </cell>
          <cell r="I265">
            <v>0</v>
          </cell>
          <cell r="J265">
            <v>5000</v>
          </cell>
          <cell r="K265">
            <v>0</v>
          </cell>
        </row>
        <row r="266">
          <cell r="F266">
            <v>10645.13</v>
          </cell>
          <cell r="G266">
            <v>0</v>
          </cell>
          <cell r="H266">
            <v>10645.13</v>
          </cell>
          <cell r="I266">
            <v>0</v>
          </cell>
          <cell r="J266">
            <v>10645.13</v>
          </cell>
          <cell r="K266">
            <v>0</v>
          </cell>
        </row>
        <row r="267">
          <cell r="F267">
            <v>55643056.140000001</v>
          </cell>
          <cell r="G267">
            <v>0</v>
          </cell>
          <cell r="H267">
            <v>55643056.140000001</v>
          </cell>
          <cell r="I267">
            <v>0</v>
          </cell>
          <cell r="J267">
            <v>55643056.140000001</v>
          </cell>
          <cell r="K267">
            <v>102462959.5</v>
          </cell>
        </row>
        <row r="268">
          <cell r="F268">
            <v>35000</v>
          </cell>
          <cell r="G268">
            <v>0</v>
          </cell>
          <cell r="H268">
            <v>35000</v>
          </cell>
          <cell r="I268">
            <v>0</v>
          </cell>
          <cell r="J268">
            <v>35000</v>
          </cell>
          <cell r="K268">
            <v>2904946.43</v>
          </cell>
        </row>
        <row r="269">
          <cell r="F269">
            <v>55693701.270000003</v>
          </cell>
          <cell r="G269">
            <v>0</v>
          </cell>
          <cell r="H269">
            <v>55693701.270000003</v>
          </cell>
          <cell r="I269">
            <v>0</v>
          </cell>
          <cell r="J269">
            <v>55693701.270000003</v>
          </cell>
          <cell r="K269">
            <v>105367905.93000001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83353621.709999993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83353621.709999993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48110.41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30908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79018.41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152846182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152846182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1">
          <cell r="F291">
            <v>1523353.32</v>
          </cell>
          <cell r="G291">
            <v>0</v>
          </cell>
          <cell r="H291">
            <v>1523353.32</v>
          </cell>
          <cell r="I291">
            <v>0</v>
          </cell>
          <cell r="J291">
            <v>1523353.32</v>
          </cell>
          <cell r="K291">
            <v>17385504.210000001</v>
          </cell>
        </row>
        <row r="292">
          <cell r="F292">
            <v>1523353.32</v>
          </cell>
          <cell r="G292">
            <v>0</v>
          </cell>
          <cell r="H292">
            <v>1523353.32</v>
          </cell>
          <cell r="I292">
            <v>0</v>
          </cell>
          <cell r="J292">
            <v>1523353.32</v>
          </cell>
          <cell r="K292">
            <v>17385504.210000001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64374415.280000001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431100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64805515.280000001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2">
          <cell r="F312">
            <v>553070</v>
          </cell>
          <cell r="G312">
            <v>0</v>
          </cell>
          <cell r="H312">
            <v>553070</v>
          </cell>
          <cell r="I312">
            <v>0</v>
          </cell>
          <cell r="J312">
            <v>553070</v>
          </cell>
          <cell r="K312">
            <v>3000</v>
          </cell>
        </row>
        <row r="313">
          <cell r="F313">
            <v>319654</v>
          </cell>
          <cell r="G313">
            <v>0</v>
          </cell>
          <cell r="H313">
            <v>319654</v>
          </cell>
          <cell r="I313">
            <v>0</v>
          </cell>
          <cell r="J313">
            <v>319654</v>
          </cell>
          <cell r="K313">
            <v>498840</v>
          </cell>
        </row>
        <row r="314">
          <cell r="F314">
            <v>432801.91</v>
          </cell>
          <cell r="G314">
            <v>0</v>
          </cell>
          <cell r="H314">
            <v>432801.91</v>
          </cell>
          <cell r="I314">
            <v>0</v>
          </cell>
          <cell r="J314">
            <v>432801.91</v>
          </cell>
          <cell r="K314">
            <v>214595.18</v>
          </cell>
        </row>
        <row r="315">
          <cell r="F315">
            <v>1305525.9099999999</v>
          </cell>
          <cell r="G315">
            <v>0</v>
          </cell>
          <cell r="H315">
            <v>1305525.9099999999</v>
          </cell>
          <cell r="I315">
            <v>0</v>
          </cell>
          <cell r="J315">
            <v>1305525.9099999999</v>
          </cell>
          <cell r="K315">
            <v>716435.17999999993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9">
          <cell r="F319">
            <v>3082759.15</v>
          </cell>
          <cell r="G319">
            <v>138189.99</v>
          </cell>
          <cell r="H319">
            <v>3220949.14</v>
          </cell>
          <cell r="I319">
            <v>0</v>
          </cell>
          <cell r="J319">
            <v>3220949.14</v>
          </cell>
          <cell r="K319">
            <v>0</v>
          </cell>
        </row>
        <row r="320">
          <cell r="F320">
            <v>1035252.23</v>
          </cell>
          <cell r="G320">
            <v>0</v>
          </cell>
          <cell r="H320">
            <v>1035252.23</v>
          </cell>
          <cell r="I320">
            <v>0</v>
          </cell>
          <cell r="J320">
            <v>1035252.23</v>
          </cell>
          <cell r="K320">
            <v>0</v>
          </cell>
        </row>
        <row r="321">
          <cell r="F321">
            <v>177500</v>
          </cell>
          <cell r="G321">
            <v>0</v>
          </cell>
          <cell r="H321">
            <v>177500</v>
          </cell>
          <cell r="I321">
            <v>0</v>
          </cell>
          <cell r="J321">
            <v>177500</v>
          </cell>
          <cell r="K321">
            <v>0</v>
          </cell>
        </row>
        <row r="322">
          <cell r="F322">
            <v>113314.92</v>
          </cell>
          <cell r="G322">
            <v>0</v>
          </cell>
          <cell r="H322">
            <v>113314.92</v>
          </cell>
          <cell r="I322">
            <v>0</v>
          </cell>
          <cell r="J322">
            <v>113314.92</v>
          </cell>
          <cell r="K322">
            <v>117345</v>
          </cell>
        </row>
        <row r="323">
          <cell r="F323">
            <v>4408826.3</v>
          </cell>
          <cell r="G323">
            <v>138189.99</v>
          </cell>
          <cell r="H323">
            <v>4547016.29</v>
          </cell>
          <cell r="I323">
            <v>0</v>
          </cell>
          <cell r="J323">
            <v>4547016.29</v>
          </cell>
          <cell r="K323">
            <v>117345</v>
          </cell>
        </row>
        <row r="325">
          <cell r="F325">
            <v>26171787.899999999</v>
          </cell>
          <cell r="G325">
            <v>0</v>
          </cell>
          <cell r="H325">
            <v>26171787.899999999</v>
          </cell>
          <cell r="I325">
            <v>0</v>
          </cell>
          <cell r="J325">
            <v>26171787.899999999</v>
          </cell>
          <cell r="K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6851823.21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8635329.4499999993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547850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530300</v>
          </cell>
        </row>
        <row r="330">
          <cell r="F330">
            <v>2936852.06</v>
          </cell>
          <cell r="G330">
            <v>0</v>
          </cell>
          <cell r="H330">
            <v>2936852.06</v>
          </cell>
          <cell r="I330">
            <v>0</v>
          </cell>
          <cell r="J330">
            <v>2936852.06</v>
          </cell>
          <cell r="K330">
            <v>1500812.19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8039403.3799999999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866002.11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3414788.15</v>
          </cell>
        </row>
        <row r="334">
          <cell r="F334">
            <v>3808953.25</v>
          </cell>
          <cell r="G334">
            <v>0</v>
          </cell>
          <cell r="H334">
            <v>3808953.25</v>
          </cell>
          <cell r="I334">
            <v>11000</v>
          </cell>
          <cell r="J334">
            <v>3819953.25</v>
          </cell>
          <cell r="K334">
            <v>1511332.62</v>
          </cell>
        </row>
        <row r="335">
          <cell r="F335">
            <v>2210715.92</v>
          </cell>
          <cell r="G335">
            <v>0</v>
          </cell>
          <cell r="H335">
            <v>2210715.92</v>
          </cell>
          <cell r="I335">
            <v>0</v>
          </cell>
          <cell r="J335">
            <v>2210715.92</v>
          </cell>
          <cell r="K335">
            <v>978355.95</v>
          </cell>
        </row>
        <row r="336">
          <cell r="F336">
            <v>2381313.73</v>
          </cell>
          <cell r="G336">
            <v>0</v>
          </cell>
          <cell r="H336">
            <v>2381313.73</v>
          </cell>
          <cell r="I336">
            <v>0</v>
          </cell>
          <cell r="J336">
            <v>2381313.73</v>
          </cell>
          <cell r="K336">
            <v>459140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30772.49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41000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300739.73</v>
          </cell>
        </row>
        <row r="340"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8239039.9100000001</v>
          </cell>
        </row>
        <row r="341">
          <cell r="F341">
            <v>7852572.6299999999</v>
          </cell>
          <cell r="G341">
            <v>0</v>
          </cell>
          <cell r="H341">
            <v>7852572.6299999999</v>
          </cell>
          <cell r="I341">
            <v>0</v>
          </cell>
          <cell r="J341">
            <v>7852572.6299999999</v>
          </cell>
          <cell r="K341">
            <v>5657493.7599999998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1728500</v>
          </cell>
        </row>
        <row r="343">
          <cell r="F343">
            <v>12814129.57</v>
          </cell>
          <cell r="G343">
            <v>0</v>
          </cell>
          <cell r="H343">
            <v>12814129.57</v>
          </cell>
          <cell r="I343">
            <v>0</v>
          </cell>
          <cell r="J343">
            <v>12814129.57</v>
          </cell>
          <cell r="K343">
            <v>4614055.43</v>
          </cell>
        </row>
        <row r="344"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2216800.04</v>
          </cell>
        </row>
        <row r="345"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608480.47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452313.32</v>
          </cell>
        </row>
        <row r="347">
          <cell r="F347">
            <v>90781.68</v>
          </cell>
          <cell r="G347">
            <v>0</v>
          </cell>
          <cell r="H347">
            <v>90781.68</v>
          </cell>
          <cell r="I347">
            <v>0</v>
          </cell>
          <cell r="J347">
            <v>90781.68</v>
          </cell>
          <cell r="K347">
            <v>181500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350230</v>
          </cell>
        </row>
        <row r="349"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655317.35</v>
          </cell>
        </row>
        <row r="350">
          <cell r="F350">
            <v>58267106.739999995</v>
          </cell>
          <cell r="G350">
            <v>0</v>
          </cell>
          <cell r="H350">
            <v>58267106.739999995</v>
          </cell>
          <cell r="I350">
            <v>11000</v>
          </cell>
          <cell r="J350">
            <v>58278106.739999995</v>
          </cell>
          <cell r="K350">
            <v>58411379.559999995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4">
          <cell r="F354">
            <v>330203.63</v>
          </cell>
          <cell r="G354">
            <v>0</v>
          </cell>
          <cell r="H354">
            <v>330203.63</v>
          </cell>
          <cell r="I354">
            <v>0</v>
          </cell>
          <cell r="J354">
            <v>330203.63</v>
          </cell>
          <cell r="K354">
            <v>115697.64</v>
          </cell>
        </row>
        <row r="355">
          <cell r="F355">
            <v>0</v>
          </cell>
          <cell r="G355">
            <v>6896854.0800000001</v>
          </cell>
          <cell r="H355">
            <v>6896854.0800000001</v>
          </cell>
          <cell r="I355">
            <v>0</v>
          </cell>
          <cell r="J355">
            <v>6896854.0800000001</v>
          </cell>
          <cell r="K355">
            <v>79981.61</v>
          </cell>
        </row>
        <row r="356"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595979.18000000005</v>
          </cell>
        </row>
        <row r="357"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320.74</v>
          </cell>
        </row>
        <row r="358">
          <cell r="F358">
            <v>330203.63</v>
          </cell>
          <cell r="G358">
            <v>6896854.0800000001</v>
          </cell>
          <cell r="H358">
            <v>7227057.71</v>
          </cell>
          <cell r="I358">
            <v>0</v>
          </cell>
          <cell r="J358">
            <v>7227057.71</v>
          </cell>
          <cell r="K358">
            <v>791979.17</v>
          </cell>
        </row>
        <row r="360"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123700</v>
          </cell>
        </row>
        <row r="361"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8000</v>
          </cell>
        </row>
        <row r="362">
          <cell r="F362">
            <v>2416840</v>
          </cell>
          <cell r="G362">
            <v>142052</v>
          </cell>
          <cell r="H362">
            <v>2558892</v>
          </cell>
          <cell r="I362">
            <v>0</v>
          </cell>
          <cell r="J362">
            <v>2558892</v>
          </cell>
          <cell r="K362">
            <v>6459076</v>
          </cell>
        </row>
        <row r="363">
          <cell r="F363">
            <v>2416840</v>
          </cell>
          <cell r="G363">
            <v>142052</v>
          </cell>
          <cell r="H363">
            <v>2558892</v>
          </cell>
          <cell r="I363">
            <v>0</v>
          </cell>
          <cell r="J363">
            <v>2558892</v>
          </cell>
          <cell r="K363">
            <v>6590776</v>
          </cell>
        </row>
        <row r="365">
          <cell r="F365">
            <v>5918755.5899999999</v>
          </cell>
          <cell r="G365">
            <v>0</v>
          </cell>
          <cell r="H365">
            <v>5918755.5899999999</v>
          </cell>
          <cell r="I365">
            <v>0</v>
          </cell>
          <cell r="J365">
            <v>5918755.5899999999</v>
          </cell>
          <cell r="K365">
            <v>5388064.9299999997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231250</v>
          </cell>
        </row>
        <row r="367"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3902963.95</v>
          </cell>
        </row>
        <row r="368"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41970</v>
          </cell>
        </row>
        <row r="369">
          <cell r="F369">
            <v>412000</v>
          </cell>
          <cell r="G369">
            <v>0</v>
          </cell>
          <cell r="H369">
            <v>412000</v>
          </cell>
          <cell r="I369">
            <v>0</v>
          </cell>
          <cell r="J369">
            <v>412000</v>
          </cell>
          <cell r="K369">
            <v>1290975</v>
          </cell>
        </row>
        <row r="370">
          <cell r="F370">
            <v>737770</v>
          </cell>
          <cell r="G370">
            <v>0</v>
          </cell>
          <cell r="H370">
            <v>737770</v>
          </cell>
          <cell r="I370">
            <v>0</v>
          </cell>
          <cell r="J370">
            <v>737770</v>
          </cell>
          <cell r="K370">
            <v>1246777</v>
          </cell>
        </row>
        <row r="371"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200040</v>
          </cell>
        </row>
        <row r="372"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817480.5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1500</v>
          </cell>
        </row>
        <row r="374"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416758.95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493740</v>
          </cell>
        </row>
        <row r="376">
          <cell r="F376">
            <v>14540</v>
          </cell>
          <cell r="G376">
            <v>0</v>
          </cell>
          <cell r="H376">
            <v>14540</v>
          </cell>
          <cell r="I376">
            <v>0</v>
          </cell>
          <cell r="J376">
            <v>14540</v>
          </cell>
          <cell r="K376">
            <v>232300</v>
          </cell>
        </row>
        <row r="377"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338950</v>
          </cell>
        </row>
        <row r="378"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24500</v>
          </cell>
        </row>
        <row r="379"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184079.67</v>
          </cell>
        </row>
        <row r="380">
          <cell r="F380">
            <v>7083065.5899999999</v>
          </cell>
          <cell r="G380">
            <v>0</v>
          </cell>
          <cell r="H380">
            <v>7083065.5899999999</v>
          </cell>
          <cell r="I380">
            <v>0</v>
          </cell>
          <cell r="J380">
            <v>7083065.5899999999</v>
          </cell>
          <cell r="K380">
            <v>14811349.999999998</v>
          </cell>
        </row>
        <row r="382">
          <cell r="F382">
            <v>2334602.5</v>
          </cell>
          <cell r="G382">
            <v>0</v>
          </cell>
          <cell r="H382">
            <v>2334602.5</v>
          </cell>
          <cell r="I382">
            <v>0</v>
          </cell>
          <cell r="J382">
            <v>2334602.5</v>
          </cell>
          <cell r="K382">
            <v>0</v>
          </cell>
        </row>
        <row r="383"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37295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800</v>
          </cell>
        </row>
        <row r="385"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168618.5</v>
          </cell>
        </row>
        <row r="386"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233655</v>
          </cell>
        </row>
        <row r="387"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166465</v>
          </cell>
        </row>
        <row r="388"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20000</v>
          </cell>
        </row>
        <row r="389"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1216505</v>
          </cell>
        </row>
        <row r="390">
          <cell r="F390">
            <v>2334602.5</v>
          </cell>
          <cell r="G390">
            <v>0</v>
          </cell>
          <cell r="H390">
            <v>2334602.5</v>
          </cell>
          <cell r="I390">
            <v>0</v>
          </cell>
          <cell r="J390">
            <v>2334602.5</v>
          </cell>
          <cell r="K390">
            <v>1843338.5</v>
          </cell>
        </row>
        <row r="392">
          <cell r="F392">
            <v>789900</v>
          </cell>
          <cell r="G392">
            <v>0</v>
          </cell>
          <cell r="H392">
            <v>789900</v>
          </cell>
          <cell r="I392">
            <v>0</v>
          </cell>
          <cell r="J392">
            <v>789900</v>
          </cell>
          <cell r="K392">
            <v>1216110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140400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161800</v>
          </cell>
        </row>
        <row r="395">
          <cell r="F395">
            <v>789900</v>
          </cell>
          <cell r="G395">
            <v>0</v>
          </cell>
          <cell r="H395">
            <v>789900</v>
          </cell>
          <cell r="I395">
            <v>0</v>
          </cell>
          <cell r="J395">
            <v>789900</v>
          </cell>
          <cell r="K395">
            <v>1518310</v>
          </cell>
        </row>
        <row r="397">
          <cell r="F397">
            <v>1868060.11</v>
          </cell>
          <cell r="G397">
            <v>0</v>
          </cell>
          <cell r="H397">
            <v>1868060.11</v>
          </cell>
          <cell r="I397">
            <v>0</v>
          </cell>
          <cell r="J397">
            <v>1868060.11</v>
          </cell>
          <cell r="K397">
            <v>3848.9</v>
          </cell>
        </row>
        <row r="398">
          <cell r="F398">
            <v>1868060.11</v>
          </cell>
          <cell r="G398">
            <v>0</v>
          </cell>
          <cell r="H398">
            <v>1868060.11</v>
          </cell>
          <cell r="I398">
            <v>0</v>
          </cell>
          <cell r="J398">
            <v>1868060.11</v>
          </cell>
          <cell r="K398">
            <v>3848.9</v>
          </cell>
        </row>
        <row r="400">
          <cell r="F400">
            <v>4857804.43</v>
          </cell>
          <cell r="G400">
            <v>0</v>
          </cell>
          <cell r="H400">
            <v>4857804.43</v>
          </cell>
          <cell r="I400">
            <v>0</v>
          </cell>
          <cell r="J400">
            <v>4857804.43</v>
          </cell>
          <cell r="K400">
            <v>0</v>
          </cell>
        </row>
        <row r="401">
          <cell r="F401">
            <v>141678.48000000001</v>
          </cell>
          <cell r="G401">
            <v>0</v>
          </cell>
          <cell r="H401">
            <v>141678.48000000001</v>
          </cell>
          <cell r="I401">
            <v>0</v>
          </cell>
          <cell r="J401">
            <v>141678.48000000001</v>
          </cell>
          <cell r="K401">
            <v>0</v>
          </cell>
        </row>
        <row r="402">
          <cell r="F402">
            <v>712025</v>
          </cell>
          <cell r="G402">
            <v>0</v>
          </cell>
          <cell r="H402">
            <v>712025</v>
          </cell>
          <cell r="I402">
            <v>0</v>
          </cell>
          <cell r="J402">
            <v>712025</v>
          </cell>
          <cell r="K402">
            <v>0</v>
          </cell>
        </row>
        <row r="403">
          <cell r="F403">
            <v>277119.43</v>
          </cell>
          <cell r="G403">
            <v>0</v>
          </cell>
          <cell r="H403">
            <v>277119.43</v>
          </cell>
          <cell r="I403">
            <v>-277119.43</v>
          </cell>
          <cell r="J403">
            <v>0</v>
          </cell>
          <cell r="K403">
            <v>0</v>
          </cell>
        </row>
        <row r="404">
          <cell r="F404">
            <v>522000</v>
          </cell>
          <cell r="G404">
            <v>0</v>
          </cell>
          <cell r="H404">
            <v>522000</v>
          </cell>
          <cell r="I404">
            <v>0</v>
          </cell>
          <cell r="J404">
            <v>522000</v>
          </cell>
          <cell r="K404">
            <v>0</v>
          </cell>
        </row>
        <row r="405">
          <cell r="F405">
            <v>29400</v>
          </cell>
          <cell r="G405">
            <v>0</v>
          </cell>
          <cell r="H405">
            <v>29400</v>
          </cell>
          <cell r="I405">
            <v>0</v>
          </cell>
          <cell r="J405">
            <v>29400</v>
          </cell>
          <cell r="K405">
            <v>7500</v>
          </cell>
        </row>
        <row r="406"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32500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281428.75</v>
          </cell>
        </row>
        <row r="408">
          <cell r="F408">
            <v>58000</v>
          </cell>
          <cell r="G408">
            <v>0</v>
          </cell>
          <cell r="H408">
            <v>58000</v>
          </cell>
          <cell r="I408">
            <v>0</v>
          </cell>
          <cell r="J408">
            <v>58000</v>
          </cell>
          <cell r="K408">
            <v>36500</v>
          </cell>
        </row>
        <row r="409"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2761719.06</v>
          </cell>
        </row>
        <row r="410">
          <cell r="F410">
            <v>2990395.54</v>
          </cell>
          <cell r="G410">
            <v>0</v>
          </cell>
          <cell r="H410">
            <v>2990395.54</v>
          </cell>
          <cell r="I410">
            <v>23000</v>
          </cell>
          <cell r="J410">
            <v>3013395.54</v>
          </cell>
          <cell r="K410">
            <v>0</v>
          </cell>
        </row>
        <row r="411">
          <cell r="F411">
            <v>9588422.879999999</v>
          </cell>
          <cell r="G411">
            <v>0</v>
          </cell>
          <cell r="H411">
            <v>9588422.879999999</v>
          </cell>
          <cell r="I411">
            <v>-254119.43</v>
          </cell>
          <cell r="J411">
            <v>9334303.4499999993</v>
          </cell>
          <cell r="K411">
            <v>3119647.81</v>
          </cell>
        </row>
        <row r="413"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823671.3</v>
          </cell>
        </row>
        <row r="414"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385503.53</v>
          </cell>
        </row>
        <row r="415">
          <cell r="F415">
            <v>63512.72</v>
          </cell>
          <cell r="G415">
            <v>234081.56</v>
          </cell>
          <cell r="H415">
            <v>297594.28000000003</v>
          </cell>
          <cell r="I415">
            <v>36956.800000000003</v>
          </cell>
          <cell r="J415">
            <v>334551.08</v>
          </cell>
          <cell r="K415">
            <v>71593.56</v>
          </cell>
        </row>
        <row r="416">
          <cell r="F416">
            <v>276786</v>
          </cell>
          <cell r="G416">
            <v>574670.21</v>
          </cell>
          <cell r="H416">
            <v>851456.21</v>
          </cell>
          <cell r="I416">
            <v>0</v>
          </cell>
          <cell r="J416">
            <v>851456.21</v>
          </cell>
          <cell r="K416">
            <v>503419.84</v>
          </cell>
        </row>
        <row r="417">
          <cell r="F417">
            <v>1664590.16</v>
          </cell>
          <cell r="G417">
            <v>722807.59</v>
          </cell>
          <cell r="H417">
            <v>2387397.75</v>
          </cell>
          <cell r="I417">
            <v>0</v>
          </cell>
          <cell r="J417">
            <v>2387397.75</v>
          </cell>
          <cell r="K417">
            <v>3980510</v>
          </cell>
        </row>
        <row r="418">
          <cell r="F418">
            <v>0</v>
          </cell>
          <cell r="G418">
            <v>546505</v>
          </cell>
          <cell r="H418">
            <v>546505</v>
          </cell>
          <cell r="I418">
            <v>0</v>
          </cell>
          <cell r="J418">
            <v>546505</v>
          </cell>
          <cell r="K418">
            <v>661050</v>
          </cell>
        </row>
        <row r="419">
          <cell r="F419">
            <v>2004888.88</v>
          </cell>
          <cell r="G419">
            <v>2078064.3599999999</v>
          </cell>
          <cell r="H419">
            <v>4082953.24</v>
          </cell>
          <cell r="I419">
            <v>36956.800000000003</v>
          </cell>
          <cell r="J419">
            <v>4119910.04</v>
          </cell>
          <cell r="K419">
            <v>6425748.2300000004</v>
          </cell>
        </row>
        <row r="421"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1030532.61</v>
          </cell>
        </row>
        <row r="422"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53776458.030000001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F424">
            <v>30000</v>
          </cell>
          <cell r="G424">
            <v>0</v>
          </cell>
          <cell r="H424">
            <v>30000</v>
          </cell>
          <cell r="I424">
            <v>0</v>
          </cell>
          <cell r="J424">
            <v>30000</v>
          </cell>
          <cell r="K424">
            <v>0</v>
          </cell>
        </row>
        <row r="425">
          <cell r="F425">
            <v>0</v>
          </cell>
          <cell r="G425">
            <v>6660031.3899999997</v>
          </cell>
          <cell r="H425">
            <v>6660031.3899999997</v>
          </cell>
          <cell r="I425">
            <v>0</v>
          </cell>
          <cell r="J425">
            <v>6660031.3899999997</v>
          </cell>
          <cell r="K425">
            <v>0</v>
          </cell>
        </row>
        <row r="426">
          <cell r="F426">
            <v>0</v>
          </cell>
          <cell r="G426">
            <v>11019270.6</v>
          </cell>
          <cell r="H426">
            <v>11019270.6</v>
          </cell>
          <cell r="I426">
            <v>0</v>
          </cell>
          <cell r="J426">
            <v>11019270.6</v>
          </cell>
          <cell r="K426">
            <v>0</v>
          </cell>
        </row>
        <row r="427">
          <cell r="F427">
            <v>36348967.299999997</v>
          </cell>
          <cell r="G427">
            <v>46932412.759999998</v>
          </cell>
          <cell r="H427">
            <v>83281380.060000002</v>
          </cell>
          <cell r="I427">
            <v>0</v>
          </cell>
          <cell r="J427">
            <v>83281380.060000002</v>
          </cell>
          <cell r="K427">
            <v>11876916.220000001</v>
          </cell>
        </row>
        <row r="428">
          <cell r="F428">
            <v>36378967.299999997</v>
          </cell>
          <cell r="G428">
            <v>64611714.75</v>
          </cell>
          <cell r="H428">
            <v>100990682.05</v>
          </cell>
          <cell r="I428">
            <v>0</v>
          </cell>
          <cell r="J428">
            <v>100990682.05</v>
          </cell>
          <cell r="K428">
            <v>66683906.859999999</v>
          </cell>
        </row>
        <row r="430">
          <cell r="F430">
            <v>4628013.08</v>
          </cell>
          <cell r="G430">
            <v>0</v>
          </cell>
          <cell r="H430">
            <v>4628013.08</v>
          </cell>
          <cell r="I430">
            <v>-551356.82999999996</v>
          </cell>
          <cell r="J430">
            <v>4076656.25</v>
          </cell>
          <cell r="K430">
            <v>0</v>
          </cell>
        </row>
        <row r="431">
          <cell r="F431">
            <v>4628013.08</v>
          </cell>
          <cell r="G431">
            <v>0</v>
          </cell>
          <cell r="H431">
            <v>4628013.08</v>
          </cell>
          <cell r="I431">
            <v>-551356.82999999996</v>
          </cell>
          <cell r="J431">
            <v>4076656.25</v>
          </cell>
          <cell r="K431">
            <v>0</v>
          </cell>
        </row>
        <row r="433">
          <cell r="F433">
            <v>13816506.65</v>
          </cell>
          <cell r="G433">
            <v>0</v>
          </cell>
          <cell r="H433">
            <v>13816506.65</v>
          </cell>
          <cell r="I433">
            <v>0</v>
          </cell>
          <cell r="J433">
            <v>13816506.65</v>
          </cell>
          <cell r="K433">
            <v>11921613.550000001</v>
          </cell>
        </row>
        <row r="434">
          <cell r="F434">
            <v>13816506.65</v>
          </cell>
          <cell r="G434">
            <v>0</v>
          </cell>
          <cell r="H434">
            <v>13816506.65</v>
          </cell>
          <cell r="I434">
            <v>0</v>
          </cell>
          <cell r="J434">
            <v>13816506.65</v>
          </cell>
          <cell r="K434">
            <v>11921613.550000001</v>
          </cell>
        </row>
        <row r="436">
          <cell r="F436">
            <v>2000</v>
          </cell>
          <cell r="G436">
            <v>0</v>
          </cell>
          <cell r="H436">
            <v>2000</v>
          </cell>
          <cell r="I436">
            <v>0</v>
          </cell>
          <cell r="J436">
            <v>2000</v>
          </cell>
          <cell r="K436">
            <v>0</v>
          </cell>
        </row>
        <row r="437">
          <cell r="F437">
            <v>-710366.26</v>
          </cell>
          <cell r="G437">
            <v>0</v>
          </cell>
          <cell r="H437">
            <v>-710366.26</v>
          </cell>
          <cell r="I437">
            <v>828476.26</v>
          </cell>
          <cell r="J437">
            <v>118110</v>
          </cell>
          <cell r="K437">
            <v>0</v>
          </cell>
        </row>
        <row r="438">
          <cell r="F438">
            <v>3187749.39</v>
          </cell>
          <cell r="G438">
            <v>0</v>
          </cell>
          <cell r="H438">
            <v>3187749.39</v>
          </cell>
          <cell r="I438">
            <v>0</v>
          </cell>
          <cell r="J438">
            <v>3187749.39</v>
          </cell>
          <cell r="K438">
            <v>7271022.5599999996</v>
          </cell>
        </row>
        <row r="439">
          <cell r="F439">
            <v>2751744.5</v>
          </cell>
          <cell r="G439">
            <v>0</v>
          </cell>
          <cell r="H439">
            <v>2751744.5</v>
          </cell>
          <cell r="I439">
            <v>102500</v>
          </cell>
          <cell r="J439">
            <v>2854244.5</v>
          </cell>
          <cell r="K439">
            <v>4577944.97</v>
          </cell>
        </row>
        <row r="440">
          <cell r="F440">
            <v>519465</v>
          </cell>
          <cell r="G440">
            <v>0</v>
          </cell>
          <cell r="H440">
            <v>519465</v>
          </cell>
          <cell r="I440">
            <v>28000</v>
          </cell>
          <cell r="J440">
            <v>547465</v>
          </cell>
          <cell r="K440">
            <v>253831.04000000001</v>
          </cell>
        </row>
        <row r="441"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140600</v>
          </cell>
        </row>
        <row r="442">
          <cell r="F442">
            <v>104400</v>
          </cell>
          <cell r="G442">
            <v>0</v>
          </cell>
          <cell r="H442">
            <v>104400</v>
          </cell>
          <cell r="I442">
            <v>229350</v>
          </cell>
          <cell r="J442">
            <v>333750</v>
          </cell>
          <cell r="K442">
            <v>923690.17</v>
          </cell>
        </row>
        <row r="443">
          <cell r="F443">
            <v>5854992.6299999999</v>
          </cell>
          <cell r="G443">
            <v>0</v>
          </cell>
          <cell r="H443">
            <v>5854992.6299999999</v>
          </cell>
          <cell r="I443">
            <v>1188326.26</v>
          </cell>
          <cell r="J443">
            <v>7043318.8900000006</v>
          </cell>
          <cell r="K443">
            <v>13167088.739999998</v>
          </cell>
        </row>
        <row r="445">
          <cell r="F445">
            <v>310797.5</v>
          </cell>
          <cell r="G445">
            <v>0</v>
          </cell>
          <cell r="H445">
            <v>310797.5</v>
          </cell>
          <cell r="I445">
            <v>0</v>
          </cell>
          <cell r="J445">
            <v>310797.5</v>
          </cell>
          <cell r="K445">
            <v>826695</v>
          </cell>
        </row>
        <row r="446"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28450</v>
          </cell>
        </row>
        <row r="447">
          <cell r="F447">
            <v>310797.5</v>
          </cell>
          <cell r="G447">
            <v>0</v>
          </cell>
          <cell r="H447">
            <v>310797.5</v>
          </cell>
          <cell r="I447">
            <v>0</v>
          </cell>
          <cell r="J447">
            <v>310797.5</v>
          </cell>
          <cell r="K447">
            <v>855145</v>
          </cell>
        </row>
        <row r="449">
          <cell r="F449">
            <v>18250</v>
          </cell>
          <cell r="G449">
            <v>0</v>
          </cell>
          <cell r="H449">
            <v>18250</v>
          </cell>
          <cell r="I449">
            <v>0</v>
          </cell>
          <cell r="J449">
            <v>18250</v>
          </cell>
          <cell r="K449">
            <v>0</v>
          </cell>
        </row>
        <row r="450">
          <cell r="F450">
            <v>455000</v>
          </cell>
          <cell r="G450">
            <v>0</v>
          </cell>
          <cell r="H450">
            <v>455000</v>
          </cell>
          <cell r="I450">
            <v>0</v>
          </cell>
          <cell r="J450">
            <v>455000</v>
          </cell>
          <cell r="K450">
            <v>240000</v>
          </cell>
        </row>
        <row r="451">
          <cell r="F451">
            <v>410000</v>
          </cell>
          <cell r="G451">
            <v>0</v>
          </cell>
          <cell r="H451">
            <v>410000</v>
          </cell>
          <cell r="I451">
            <v>0</v>
          </cell>
          <cell r="J451">
            <v>410000</v>
          </cell>
          <cell r="K451">
            <v>240000</v>
          </cell>
        </row>
        <row r="452">
          <cell r="F452">
            <v>883250</v>
          </cell>
          <cell r="G452">
            <v>0</v>
          </cell>
          <cell r="H452">
            <v>883250</v>
          </cell>
          <cell r="I452">
            <v>0</v>
          </cell>
          <cell r="J452">
            <v>883250</v>
          </cell>
          <cell r="K452">
            <v>480000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6">
          <cell r="F456">
            <v>1180228.46</v>
          </cell>
          <cell r="G456">
            <v>45552.55</v>
          </cell>
          <cell r="H456">
            <v>1225781.01</v>
          </cell>
          <cell r="I456">
            <v>0</v>
          </cell>
          <cell r="J456">
            <v>1225781.01</v>
          </cell>
          <cell r="K456">
            <v>2914387.37</v>
          </cell>
        </row>
        <row r="457"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116433.33</v>
          </cell>
        </row>
        <row r="458"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107950</v>
          </cell>
        </row>
        <row r="459">
          <cell r="F459">
            <v>1180228.46</v>
          </cell>
          <cell r="G459">
            <v>45552.55</v>
          </cell>
          <cell r="H459">
            <v>1225781.01</v>
          </cell>
          <cell r="I459">
            <v>0</v>
          </cell>
          <cell r="J459">
            <v>1225781.01</v>
          </cell>
          <cell r="K459">
            <v>3138770.7</v>
          </cell>
        </row>
        <row r="461">
          <cell r="F461">
            <v>1253177.25</v>
          </cell>
          <cell r="G461">
            <v>0</v>
          </cell>
          <cell r="H461">
            <v>1253177.25</v>
          </cell>
          <cell r="I461">
            <v>0</v>
          </cell>
          <cell r="J461">
            <v>1253177.25</v>
          </cell>
          <cell r="K461">
            <v>2466518</v>
          </cell>
        </row>
        <row r="462">
          <cell r="F462">
            <v>144672.5</v>
          </cell>
          <cell r="G462">
            <v>0</v>
          </cell>
          <cell r="H462">
            <v>144672.5</v>
          </cell>
          <cell r="I462">
            <v>0</v>
          </cell>
          <cell r="J462">
            <v>144672.5</v>
          </cell>
          <cell r="K462">
            <v>876405</v>
          </cell>
        </row>
        <row r="463">
          <cell r="F463">
            <v>439640.97</v>
          </cell>
          <cell r="G463">
            <v>0</v>
          </cell>
          <cell r="H463">
            <v>439640.97</v>
          </cell>
          <cell r="I463">
            <v>0</v>
          </cell>
          <cell r="J463">
            <v>439640.97</v>
          </cell>
          <cell r="K463">
            <v>1055986.03</v>
          </cell>
        </row>
        <row r="464">
          <cell r="F464">
            <v>1837490.72</v>
          </cell>
          <cell r="G464">
            <v>0</v>
          </cell>
          <cell r="H464">
            <v>1837490.72</v>
          </cell>
          <cell r="I464">
            <v>0</v>
          </cell>
          <cell r="J464">
            <v>1837490.72</v>
          </cell>
          <cell r="K464">
            <v>4398909.03</v>
          </cell>
        </row>
        <row r="466">
          <cell r="F466">
            <v>1773064.6</v>
          </cell>
          <cell r="G466">
            <v>0</v>
          </cell>
          <cell r="H466">
            <v>1773064.6</v>
          </cell>
          <cell r="I466">
            <v>0</v>
          </cell>
          <cell r="J466">
            <v>1773064.6</v>
          </cell>
          <cell r="K466">
            <v>1610025</v>
          </cell>
        </row>
        <row r="467">
          <cell r="F467">
            <v>950000</v>
          </cell>
          <cell r="G467">
            <v>0</v>
          </cell>
          <cell r="H467">
            <v>950000</v>
          </cell>
          <cell r="I467">
            <v>0</v>
          </cell>
          <cell r="J467">
            <v>950000</v>
          </cell>
          <cell r="K467">
            <v>1152000</v>
          </cell>
        </row>
        <row r="468">
          <cell r="F468">
            <v>2723064.6</v>
          </cell>
          <cell r="G468">
            <v>0</v>
          </cell>
          <cell r="H468">
            <v>2723064.6</v>
          </cell>
          <cell r="I468">
            <v>0</v>
          </cell>
          <cell r="J468">
            <v>2723064.6</v>
          </cell>
          <cell r="K468">
            <v>2762025</v>
          </cell>
        </row>
        <row r="470">
          <cell r="F470">
            <v>700000</v>
          </cell>
          <cell r="G470">
            <v>4300000</v>
          </cell>
          <cell r="H470">
            <v>5000000</v>
          </cell>
          <cell r="I470">
            <v>0</v>
          </cell>
          <cell r="J470">
            <v>5000000</v>
          </cell>
          <cell r="K470">
            <v>3000000</v>
          </cell>
        </row>
        <row r="471">
          <cell r="F471">
            <v>700000</v>
          </cell>
          <cell r="G471">
            <v>4300000</v>
          </cell>
          <cell r="H471">
            <v>5000000</v>
          </cell>
          <cell r="I471">
            <v>0</v>
          </cell>
          <cell r="J471">
            <v>5000000</v>
          </cell>
          <cell r="K471">
            <v>3000000</v>
          </cell>
        </row>
        <row r="473"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1721168.33</v>
          </cell>
        </row>
        <row r="474"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1721168.33</v>
          </cell>
        </row>
        <row r="476"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66960.3</v>
          </cell>
        </row>
        <row r="477"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66960.3</v>
          </cell>
        </row>
        <row r="479">
          <cell r="F479">
            <v>1216400</v>
          </cell>
          <cell r="G479">
            <v>0</v>
          </cell>
          <cell r="H479">
            <v>1216400</v>
          </cell>
          <cell r="I479">
            <v>0</v>
          </cell>
          <cell r="J479">
            <v>1216400</v>
          </cell>
          <cell r="K479">
            <v>819800</v>
          </cell>
        </row>
        <row r="480">
          <cell r="F480">
            <v>2863835</v>
          </cell>
          <cell r="G480">
            <v>0</v>
          </cell>
          <cell r="H480">
            <v>2863835</v>
          </cell>
          <cell r="I480">
            <v>0</v>
          </cell>
          <cell r="J480">
            <v>2863835</v>
          </cell>
          <cell r="K480">
            <v>4998500</v>
          </cell>
        </row>
        <row r="481">
          <cell r="F481">
            <v>-422421.18</v>
          </cell>
          <cell r="G481">
            <v>0</v>
          </cell>
          <cell r="H481">
            <v>-422421.18</v>
          </cell>
          <cell r="I481">
            <v>0</v>
          </cell>
          <cell r="J481">
            <v>-422421.18</v>
          </cell>
          <cell r="K481">
            <v>153315</v>
          </cell>
        </row>
        <row r="482">
          <cell r="F482">
            <v>3657813.82</v>
          </cell>
          <cell r="G482">
            <v>0</v>
          </cell>
          <cell r="H482">
            <v>3657813.82</v>
          </cell>
          <cell r="I482">
            <v>0</v>
          </cell>
          <cell r="J482">
            <v>3657813.82</v>
          </cell>
          <cell r="K482">
            <v>5971615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6561183.3300000001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6561183.3300000001</v>
          </cell>
        </row>
        <row r="487">
          <cell r="F487">
            <v>1100660.8700000001</v>
          </cell>
          <cell r="G487">
            <v>55794.89</v>
          </cell>
          <cell r="H487">
            <v>1156455.76</v>
          </cell>
          <cell r="I487">
            <v>0</v>
          </cell>
          <cell r="J487">
            <v>1156455.76</v>
          </cell>
          <cell r="K487">
            <v>7490000</v>
          </cell>
        </row>
        <row r="488">
          <cell r="F488">
            <v>5668304.3700000001</v>
          </cell>
          <cell r="G488">
            <v>891274.46</v>
          </cell>
          <cell r="H488">
            <v>6559578.8300000001</v>
          </cell>
          <cell r="I488">
            <v>0</v>
          </cell>
          <cell r="J488">
            <v>6559578.8300000001</v>
          </cell>
          <cell r="K488">
            <v>43804065</v>
          </cell>
        </row>
        <row r="489">
          <cell r="F489">
            <v>6768965.2400000002</v>
          </cell>
          <cell r="G489">
            <v>947069.35</v>
          </cell>
          <cell r="H489">
            <v>7716034.5899999999</v>
          </cell>
          <cell r="I489">
            <v>0</v>
          </cell>
          <cell r="J489">
            <v>7716034.5899999999</v>
          </cell>
          <cell r="K489">
            <v>51294065</v>
          </cell>
        </row>
        <row r="491">
          <cell r="F491">
            <v>420250</v>
          </cell>
          <cell r="G491">
            <v>0</v>
          </cell>
          <cell r="H491">
            <v>420250</v>
          </cell>
          <cell r="I491">
            <v>0</v>
          </cell>
          <cell r="J491">
            <v>420250</v>
          </cell>
          <cell r="K491">
            <v>561980</v>
          </cell>
        </row>
        <row r="492"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280000</v>
          </cell>
        </row>
        <row r="493">
          <cell r="F493">
            <v>420250</v>
          </cell>
          <cell r="G493">
            <v>0</v>
          </cell>
          <cell r="H493">
            <v>420250</v>
          </cell>
          <cell r="I493">
            <v>0</v>
          </cell>
          <cell r="J493">
            <v>420250</v>
          </cell>
          <cell r="K493">
            <v>841980</v>
          </cell>
        </row>
        <row r="495"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</row>
        <row r="497"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</row>
        <row r="499">
          <cell r="F499">
            <v>199230</v>
          </cell>
          <cell r="G499">
            <v>0</v>
          </cell>
          <cell r="H499">
            <v>199230</v>
          </cell>
          <cell r="I499">
            <v>0</v>
          </cell>
          <cell r="J499">
            <v>199230</v>
          </cell>
          <cell r="K499">
            <v>223125.85</v>
          </cell>
        </row>
        <row r="500"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26070</v>
          </cell>
        </row>
        <row r="501">
          <cell r="F501">
            <v>199230</v>
          </cell>
          <cell r="G501">
            <v>0</v>
          </cell>
          <cell r="H501">
            <v>199230</v>
          </cell>
          <cell r="I501">
            <v>0</v>
          </cell>
          <cell r="J501">
            <v>199230</v>
          </cell>
          <cell r="K501">
            <v>249195.85</v>
          </cell>
        </row>
        <row r="503">
          <cell r="F503">
            <v>3052000</v>
          </cell>
          <cell r="G503">
            <v>0</v>
          </cell>
          <cell r="H503">
            <v>3052000</v>
          </cell>
          <cell r="I503">
            <v>0</v>
          </cell>
          <cell r="J503">
            <v>3052000</v>
          </cell>
          <cell r="K503">
            <v>2439800.16</v>
          </cell>
        </row>
        <row r="504">
          <cell r="F504">
            <v>3052000</v>
          </cell>
          <cell r="G504">
            <v>0</v>
          </cell>
          <cell r="H504">
            <v>3052000</v>
          </cell>
          <cell r="I504">
            <v>0</v>
          </cell>
          <cell r="J504">
            <v>3052000</v>
          </cell>
          <cell r="K504">
            <v>2439800.16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8">
          <cell r="F508">
            <v>-452360</v>
          </cell>
          <cell r="G508">
            <v>0</v>
          </cell>
          <cell r="H508">
            <v>-452360</v>
          </cell>
          <cell r="I508">
            <v>0</v>
          </cell>
          <cell r="J508">
            <v>-452360</v>
          </cell>
          <cell r="K508">
            <v>0</v>
          </cell>
        </row>
        <row r="509">
          <cell r="F509">
            <v>-2447849.4</v>
          </cell>
          <cell r="G509">
            <v>0</v>
          </cell>
          <cell r="H509">
            <v>-2447849.4</v>
          </cell>
          <cell r="I509">
            <v>-393850</v>
          </cell>
          <cell r="J509">
            <v>-2841699.4</v>
          </cell>
          <cell r="K509">
            <v>-183300</v>
          </cell>
        </row>
        <row r="510">
          <cell r="F510">
            <v>-2220389.7200000002</v>
          </cell>
          <cell r="G510">
            <v>0</v>
          </cell>
          <cell r="H510">
            <v>-2220389.7200000002</v>
          </cell>
          <cell r="I510">
            <v>0</v>
          </cell>
          <cell r="J510">
            <v>-2220389.7200000002</v>
          </cell>
          <cell r="K510">
            <v>-10117409.33</v>
          </cell>
        </row>
        <row r="511">
          <cell r="F511">
            <v>-5120599.12</v>
          </cell>
          <cell r="G511">
            <v>0</v>
          </cell>
          <cell r="H511">
            <v>-5120599.12</v>
          </cell>
          <cell r="I511">
            <v>-393850</v>
          </cell>
          <cell r="J511">
            <v>-5514449.1200000001</v>
          </cell>
          <cell r="K511">
            <v>-10300709.33</v>
          </cell>
        </row>
        <row r="513">
          <cell r="F513">
            <v>4500</v>
          </cell>
          <cell r="G513">
            <v>0</v>
          </cell>
          <cell r="H513">
            <v>4500</v>
          </cell>
          <cell r="I513">
            <v>0</v>
          </cell>
          <cell r="J513">
            <v>4500</v>
          </cell>
          <cell r="K513">
            <v>204097.01</v>
          </cell>
        </row>
        <row r="514">
          <cell r="F514">
            <v>2642137.1</v>
          </cell>
          <cell r="G514">
            <v>0</v>
          </cell>
          <cell r="H514">
            <v>2642137.1</v>
          </cell>
          <cell r="I514">
            <v>0</v>
          </cell>
          <cell r="J514">
            <v>2642137.1</v>
          </cell>
          <cell r="K514">
            <v>4497672.1900000004</v>
          </cell>
        </row>
        <row r="515">
          <cell r="F515">
            <v>2646637.1</v>
          </cell>
          <cell r="G515">
            <v>0</v>
          </cell>
          <cell r="H515">
            <v>2646637.1</v>
          </cell>
          <cell r="I515">
            <v>0</v>
          </cell>
          <cell r="J515">
            <v>2646637.1</v>
          </cell>
          <cell r="K515">
            <v>4701769.2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9"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1"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F522">
            <v>5.1222741603851318E-9</v>
          </cell>
          <cell r="G522">
            <v>-6.1700120568275452E-9</v>
          </cell>
          <cell r="H522">
            <v>-1.5366822481155396E-8</v>
          </cell>
          <cell r="I522">
            <v>2.3283064365386963E-10</v>
          </cell>
          <cell r="J522">
            <v>-7.8696757555007935E-8</v>
          </cell>
          <cell r="K522">
            <v>30.219999958761036</v>
          </cell>
        </row>
      </sheetData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1630338.43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-150000</v>
          </cell>
        </row>
        <row r="6">
          <cell r="F6">
            <v>906001.55</v>
          </cell>
          <cell r="H6">
            <v>0</v>
          </cell>
          <cell r="I6">
            <v>906001.55</v>
          </cell>
          <cell r="J6">
            <v>0</v>
          </cell>
          <cell r="K6">
            <v>906001.55</v>
          </cell>
          <cell r="M6">
            <v>0</v>
          </cell>
        </row>
        <row r="7">
          <cell r="F7">
            <v>-398141.5</v>
          </cell>
          <cell r="H7">
            <v>0</v>
          </cell>
          <cell r="I7">
            <v>-398141.5</v>
          </cell>
          <cell r="J7">
            <v>0</v>
          </cell>
          <cell r="K7">
            <v>-398141.5</v>
          </cell>
          <cell r="M7">
            <v>0</v>
          </cell>
        </row>
        <row r="8">
          <cell r="F8">
            <v>-3052858.28</v>
          </cell>
          <cell r="H8">
            <v>0</v>
          </cell>
          <cell r="I8">
            <v>-3052858.28</v>
          </cell>
          <cell r="J8">
            <v>0</v>
          </cell>
          <cell r="K8">
            <v>-3052858.28</v>
          </cell>
          <cell r="M8">
            <v>0</v>
          </cell>
        </row>
        <row r="9">
          <cell r="F9">
            <v>437914.87</v>
          </cell>
          <cell r="H9">
            <v>0</v>
          </cell>
          <cell r="I9">
            <v>437914.87</v>
          </cell>
          <cell r="J9">
            <v>0</v>
          </cell>
          <cell r="K9">
            <v>437914.87</v>
          </cell>
          <cell r="M9">
            <v>0</v>
          </cell>
        </row>
        <row r="10">
          <cell r="F10">
            <v>816090.12</v>
          </cell>
          <cell r="H10">
            <v>0</v>
          </cell>
          <cell r="I10">
            <v>816090.12</v>
          </cell>
          <cell r="J10">
            <v>0</v>
          </cell>
          <cell r="K10">
            <v>816090.12</v>
          </cell>
          <cell r="M10">
            <v>0</v>
          </cell>
        </row>
        <row r="11">
          <cell r="F11">
            <v>-1290993.2399999993</v>
          </cell>
          <cell r="H11">
            <v>0</v>
          </cell>
          <cell r="I11">
            <v>-1290993.2399999993</v>
          </cell>
          <cell r="J11">
            <v>0</v>
          </cell>
          <cell r="K11">
            <v>-1290993.2399999993</v>
          </cell>
          <cell r="M11">
            <v>1480338.43</v>
          </cell>
        </row>
        <row r="13"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30070.91</v>
          </cell>
        </row>
        <row r="14">
          <cell r="F14">
            <v>4583.4399999999996</v>
          </cell>
          <cell r="H14">
            <v>0</v>
          </cell>
          <cell r="I14">
            <v>4583.4399999999996</v>
          </cell>
          <cell r="J14">
            <v>0</v>
          </cell>
          <cell r="K14">
            <v>4583.4399999999996</v>
          </cell>
          <cell r="M14">
            <v>4583.4399999999996</v>
          </cell>
        </row>
        <row r="15">
          <cell r="F15">
            <v>20045.36</v>
          </cell>
          <cell r="H15">
            <v>0</v>
          </cell>
          <cell r="I15">
            <v>20045.36</v>
          </cell>
          <cell r="J15">
            <v>0</v>
          </cell>
          <cell r="K15">
            <v>20045.36</v>
          </cell>
          <cell r="M15">
            <v>20045.36</v>
          </cell>
        </row>
        <row r="16">
          <cell r="F16">
            <v>15193.26</v>
          </cell>
          <cell r="H16">
            <v>0</v>
          </cell>
          <cell r="I16">
            <v>15193.26</v>
          </cell>
          <cell r="J16">
            <v>0</v>
          </cell>
          <cell r="K16">
            <v>15193.26</v>
          </cell>
          <cell r="M16">
            <v>15193.26</v>
          </cell>
        </row>
        <row r="17">
          <cell r="F17">
            <v>37442.83</v>
          </cell>
          <cell r="H17">
            <v>0</v>
          </cell>
          <cell r="I17">
            <v>37442.83</v>
          </cell>
          <cell r="J17">
            <v>0</v>
          </cell>
          <cell r="K17">
            <v>37442.83</v>
          </cell>
          <cell r="M17">
            <v>37442.83</v>
          </cell>
        </row>
        <row r="18">
          <cell r="F18">
            <v>7023.25</v>
          </cell>
          <cell r="H18">
            <v>0</v>
          </cell>
          <cell r="I18">
            <v>7023.25</v>
          </cell>
          <cell r="J18">
            <v>0</v>
          </cell>
          <cell r="K18">
            <v>7023.25</v>
          </cell>
          <cell r="M18">
            <v>7023.25</v>
          </cell>
        </row>
        <row r="19">
          <cell r="F19">
            <v>13111.14</v>
          </cell>
          <cell r="H19">
            <v>787827.28</v>
          </cell>
          <cell r="I19">
            <v>800938.42</v>
          </cell>
          <cell r="J19">
            <v>0</v>
          </cell>
          <cell r="K19">
            <v>800938.42</v>
          </cell>
          <cell r="M19">
            <v>384836.44</v>
          </cell>
        </row>
        <row r="20">
          <cell r="F20">
            <v>1027256.59</v>
          </cell>
          <cell r="H20">
            <v>0</v>
          </cell>
          <cell r="I20">
            <v>1027256.59</v>
          </cell>
          <cell r="J20">
            <v>0</v>
          </cell>
          <cell r="K20">
            <v>1027256.59</v>
          </cell>
          <cell r="M20">
            <v>2663240.08</v>
          </cell>
        </row>
        <row r="21">
          <cell r="F21">
            <v>41811.81</v>
          </cell>
          <cell r="H21">
            <v>0</v>
          </cell>
          <cell r="I21">
            <v>41811.81</v>
          </cell>
          <cell r="J21">
            <v>0</v>
          </cell>
          <cell r="K21">
            <v>41811.81</v>
          </cell>
          <cell r="M21">
            <v>909742.38</v>
          </cell>
        </row>
        <row r="22">
          <cell r="F22">
            <v>-52188.12</v>
          </cell>
          <cell r="H22">
            <v>-37443</v>
          </cell>
          <cell r="I22">
            <v>-89631.12</v>
          </cell>
          <cell r="J22">
            <v>0</v>
          </cell>
          <cell r="K22">
            <v>-89631.12</v>
          </cell>
          <cell r="M22">
            <v>-76916.22</v>
          </cell>
        </row>
        <row r="23">
          <cell r="F23">
            <v>8121129.4500000002</v>
          </cell>
          <cell r="H23">
            <v>-4228108.2699999996</v>
          </cell>
          <cell r="I23">
            <v>3893021.18</v>
          </cell>
          <cell r="J23">
            <v>0</v>
          </cell>
          <cell r="K23">
            <v>3893021.18</v>
          </cell>
          <cell r="M23">
            <v>0</v>
          </cell>
        </row>
        <row r="24">
          <cell r="F24">
            <v>4340380.37</v>
          </cell>
          <cell r="H24">
            <v>-77665.179999999993</v>
          </cell>
          <cell r="I24">
            <v>4262715.1900000004</v>
          </cell>
          <cell r="J24">
            <v>0</v>
          </cell>
          <cell r="K24">
            <v>4262715.1900000004</v>
          </cell>
          <cell r="M24">
            <v>0</v>
          </cell>
        </row>
        <row r="25">
          <cell r="F25">
            <v>67018</v>
          </cell>
          <cell r="H25">
            <v>0</v>
          </cell>
          <cell r="I25">
            <v>67018</v>
          </cell>
          <cell r="J25">
            <v>0</v>
          </cell>
          <cell r="K25">
            <v>67018</v>
          </cell>
          <cell r="M25">
            <v>0</v>
          </cell>
        </row>
        <row r="26">
          <cell r="F26">
            <v>871269.69</v>
          </cell>
          <cell r="H26">
            <v>0</v>
          </cell>
          <cell r="I26">
            <v>871269.69</v>
          </cell>
          <cell r="J26">
            <v>0</v>
          </cell>
          <cell r="K26">
            <v>871269.69</v>
          </cell>
          <cell r="M26">
            <v>0</v>
          </cell>
        </row>
        <row r="27">
          <cell r="F27">
            <v>4419443.5</v>
          </cell>
          <cell r="H27">
            <v>0</v>
          </cell>
          <cell r="I27">
            <v>4419443.5</v>
          </cell>
          <cell r="J27">
            <v>0</v>
          </cell>
          <cell r="K27">
            <v>4419443.5</v>
          </cell>
          <cell r="M27">
            <v>0</v>
          </cell>
        </row>
        <row r="28">
          <cell r="F28">
            <v>-6660031.3899999997</v>
          </cell>
          <cell r="H28">
            <v>0</v>
          </cell>
          <cell r="I28">
            <v>-6660031.3899999997</v>
          </cell>
          <cell r="J28">
            <v>0</v>
          </cell>
          <cell r="K28">
            <v>-6660031.3899999997</v>
          </cell>
          <cell r="M28">
            <v>0</v>
          </cell>
        </row>
        <row r="29">
          <cell r="F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55798.559999999998</v>
          </cell>
        </row>
        <row r="30"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445432.77</v>
          </cell>
        </row>
        <row r="31"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23941.62</v>
          </cell>
        </row>
        <row r="32">
          <cell r="F32">
            <v>12273489.18</v>
          </cell>
          <cell r="H32">
            <v>-3555389.1699999995</v>
          </cell>
          <cell r="I32">
            <v>8718100.0100000016</v>
          </cell>
          <cell r="J32">
            <v>0</v>
          </cell>
          <cell r="K32">
            <v>8718100.0100000016</v>
          </cell>
          <cell r="M32">
            <v>4520434.6800000006</v>
          </cell>
        </row>
        <row r="34">
          <cell r="F34">
            <v>-110262.39999999999</v>
          </cell>
          <cell r="H34">
            <v>0</v>
          </cell>
          <cell r="I34">
            <v>-110262.39999999999</v>
          </cell>
          <cell r="J34">
            <v>0</v>
          </cell>
          <cell r="K34">
            <v>-110262.39999999999</v>
          </cell>
          <cell r="M34">
            <v>0</v>
          </cell>
        </row>
        <row r="35">
          <cell r="F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-164672.07999999999</v>
          </cell>
        </row>
        <row r="36"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-5607225.3099999996</v>
          </cell>
        </row>
        <row r="37">
          <cell r="F37">
            <v>49040.85</v>
          </cell>
          <cell r="H37">
            <v>-291116</v>
          </cell>
          <cell r="I37">
            <v>-242075.15</v>
          </cell>
          <cell r="J37">
            <v>0</v>
          </cell>
          <cell r="K37">
            <v>-242075.15</v>
          </cell>
          <cell r="M37">
            <v>0</v>
          </cell>
        </row>
        <row r="38">
          <cell r="F38">
            <v>5342.81</v>
          </cell>
          <cell r="H38">
            <v>-150791.82999999999</v>
          </cell>
          <cell r="I38">
            <v>-145449.01999999999</v>
          </cell>
          <cell r="J38">
            <v>0</v>
          </cell>
          <cell r="K38">
            <v>-145449.01999999999</v>
          </cell>
          <cell r="M38">
            <v>0</v>
          </cell>
        </row>
        <row r="39">
          <cell r="F39">
            <v>-135242.46</v>
          </cell>
          <cell r="H39">
            <v>-2700177.39</v>
          </cell>
          <cell r="I39">
            <v>-2835419.85</v>
          </cell>
          <cell r="J39">
            <v>0</v>
          </cell>
          <cell r="K39">
            <v>-2835419.85</v>
          </cell>
          <cell r="M39">
            <v>0</v>
          </cell>
        </row>
        <row r="40">
          <cell r="F40">
            <v>-191121.19999999998</v>
          </cell>
          <cell r="H40">
            <v>-3142085.22</v>
          </cell>
          <cell r="I40">
            <v>-3333206.42</v>
          </cell>
          <cell r="J40">
            <v>0</v>
          </cell>
          <cell r="K40">
            <v>-3333206.42</v>
          </cell>
          <cell r="M40">
            <v>-5771897.3899999997</v>
          </cell>
        </row>
        <row r="42">
          <cell r="F42">
            <v>220985322.03</v>
          </cell>
          <cell r="H42">
            <v>0</v>
          </cell>
          <cell r="I42">
            <v>220985322.03</v>
          </cell>
          <cell r="J42">
            <v>0</v>
          </cell>
          <cell r="K42">
            <v>220985322.03</v>
          </cell>
          <cell r="M42">
            <v>133071260.63</v>
          </cell>
        </row>
        <row r="43">
          <cell r="F43">
            <v>-36348967.299999997</v>
          </cell>
          <cell r="H43">
            <v>-46894969.759999998</v>
          </cell>
          <cell r="I43">
            <v>-83243937.060000002</v>
          </cell>
          <cell r="J43">
            <v>0</v>
          </cell>
          <cell r="K43">
            <v>-83243937.060000002</v>
          </cell>
          <cell r="M43">
            <v>0</v>
          </cell>
        </row>
        <row r="44">
          <cell r="F44">
            <v>184636354.73000002</v>
          </cell>
          <cell r="H44">
            <v>-46894969.759999998</v>
          </cell>
          <cell r="I44">
            <v>137741384.97</v>
          </cell>
          <cell r="J44">
            <v>0</v>
          </cell>
          <cell r="K44">
            <v>137741384.97</v>
          </cell>
          <cell r="M44">
            <v>133071260.63</v>
          </cell>
        </row>
        <row r="46"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3475147.96</v>
          </cell>
        </row>
        <row r="47">
          <cell r="F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M47">
            <v>0</v>
          </cell>
        </row>
        <row r="48"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M48">
            <v>0</v>
          </cell>
        </row>
        <row r="49">
          <cell r="F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M49">
            <v>0</v>
          </cell>
        </row>
        <row r="50">
          <cell r="F50">
            <v>3414335.67</v>
          </cell>
          <cell r="H50">
            <v>0</v>
          </cell>
          <cell r="I50">
            <v>3414335.67</v>
          </cell>
          <cell r="J50">
            <v>0</v>
          </cell>
          <cell r="K50">
            <v>3414335.67</v>
          </cell>
          <cell r="M50">
            <v>0</v>
          </cell>
        </row>
        <row r="51">
          <cell r="F51">
            <v>4388588.43</v>
          </cell>
          <cell r="H51">
            <v>0</v>
          </cell>
          <cell r="I51">
            <v>4388588.43</v>
          </cell>
          <cell r="J51">
            <v>0</v>
          </cell>
          <cell r="K51">
            <v>4388588.43</v>
          </cell>
          <cell r="M51">
            <v>0</v>
          </cell>
        </row>
        <row r="52">
          <cell r="F52">
            <v>-366522.97</v>
          </cell>
          <cell r="H52">
            <v>0</v>
          </cell>
          <cell r="I52">
            <v>-366522.97</v>
          </cell>
          <cell r="J52">
            <v>0</v>
          </cell>
          <cell r="K52">
            <v>-366522.97</v>
          </cell>
          <cell r="M52">
            <v>0</v>
          </cell>
        </row>
        <row r="53">
          <cell r="F53">
            <v>0</v>
          </cell>
          <cell r="H53">
            <v>-4388588</v>
          </cell>
          <cell r="I53">
            <v>-4388588</v>
          </cell>
          <cell r="J53">
            <v>0</v>
          </cell>
          <cell r="K53">
            <v>-4388588</v>
          </cell>
          <cell r="M53">
            <v>0</v>
          </cell>
        </row>
        <row r="54">
          <cell r="F54">
            <v>7436401.1299999999</v>
          </cell>
          <cell r="H54">
            <v>-4388588</v>
          </cell>
          <cell r="I54">
            <v>3047813.13</v>
          </cell>
          <cell r="J54">
            <v>0</v>
          </cell>
          <cell r="K54">
            <v>3047813.13</v>
          </cell>
          <cell r="M54">
            <v>3475147.96</v>
          </cell>
        </row>
        <row r="56"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788153.67</v>
          </cell>
        </row>
        <row r="57">
          <cell r="F57">
            <v>173450468.78</v>
          </cell>
          <cell r="H57">
            <v>0</v>
          </cell>
          <cell r="I57">
            <v>173450468.78</v>
          </cell>
          <cell r="J57">
            <v>0</v>
          </cell>
          <cell r="K57">
            <v>173450468.78</v>
          </cell>
          <cell r="M57">
            <v>0</v>
          </cell>
        </row>
        <row r="58">
          <cell r="F58">
            <v>-171340529.44999999</v>
          </cell>
          <cell r="H58">
            <v>0</v>
          </cell>
          <cell r="I58">
            <v>-171340529.44999999</v>
          </cell>
          <cell r="J58">
            <v>0</v>
          </cell>
          <cell r="K58">
            <v>-171340529.44999999</v>
          </cell>
          <cell r="M58">
            <v>0</v>
          </cell>
        </row>
        <row r="59">
          <cell r="F59">
            <v>24250</v>
          </cell>
          <cell r="H59">
            <v>0</v>
          </cell>
          <cell r="I59">
            <v>24250</v>
          </cell>
          <cell r="J59">
            <v>0</v>
          </cell>
          <cell r="K59">
            <v>24250</v>
          </cell>
          <cell r="M59">
            <v>0</v>
          </cell>
        </row>
        <row r="60">
          <cell r="F60">
            <v>-358340</v>
          </cell>
          <cell r="H60">
            <v>0</v>
          </cell>
          <cell r="I60">
            <v>-358340</v>
          </cell>
          <cell r="J60">
            <v>0</v>
          </cell>
          <cell r="K60">
            <v>-358340</v>
          </cell>
          <cell r="M60">
            <v>0</v>
          </cell>
        </row>
        <row r="61">
          <cell r="F61">
            <v>2563933.5499999998</v>
          </cell>
          <cell r="H61">
            <v>0</v>
          </cell>
          <cell r="I61">
            <v>2563933.5499999998</v>
          </cell>
          <cell r="J61">
            <v>0</v>
          </cell>
          <cell r="K61">
            <v>2563933.5499999998</v>
          </cell>
          <cell r="M61">
            <v>0</v>
          </cell>
        </row>
        <row r="62">
          <cell r="F62">
            <v>0</v>
          </cell>
          <cell r="H62">
            <v>-4339782.88</v>
          </cell>
          <cell r="I62">
            <v>-4339782.88</v>
          </cell>
          <cell r="J62">
            <v>0</v>
          </cell>
          <cell r="K62">
            <v>-4339782.88</v>
          </cell>
          <cell r="M62">
            <v>0</v>
          </cell>
        </row>
        <row r="63">
          <cell r="F63">
            <v>4339782.8800000129</v>
          </cell>
          <cell r="H63">
            <v>-4339782.88</v>
          </cell>
          <cell r="I63">
            <v>1.3038516044616699E-8</v>
          </cell>
          <cell r="J63">
            <v>0</v>
          </cell>
          <cell r="K63">
            <v>1.3038516044616699E-8</v>
          </cell>
          <cell r="M63">
            <v>788153.67</v>
          </cell>
        </row>
        <row r="65">
          <cell r="F65">
            <v>2235668.41</v>
          </cell>
          <cell r="H65">
            <v>0</v>
          </cell>
          <cell r="I65">
            <v>2235668.41</v>
          </cell>
          <cell r="J65">
            <v>0</v>
          </cell>
          <cell r="K65">
            <v>2235668.41</v>
          </cell>
          <cell r="M65">
            <v>2028000</v>
          </cell>
        </row>
        <row r="66">
          <cell r="F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M66">
            <v>595041.57999999996</v>
          </cell>
        </row>
        <row r="67">
          <cell r="F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>
            <v>387168.22</v>
          </cell>
        </row>
        <row r="68">
          <cell r="F68">
            <v>2502916.67</v>
          </cell>
          <cell r="H68">
            <v>0</v>
          </cell>
          <cell r="I68">
            <v>2502916.67</v>
          </cell>
          <cell r="J68">
            <v>0</v>
          </cell>
          <cell r="K68">
            <v>2502916.67</v>
          </cell>
          <cell r="M68">
            <v>4966416.67</v>
          </cell>
        </row>
        <row r="69">
          <cell r="F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</row>
        <row r="70">
          <cell r="F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0</v>
          </cell>
        </row>
        <row r="71">
          <cell r="F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403333.34</v>
          </cell>
        </row>
        <row r="72">
          <cell r="F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-0.02</v>
          </cell>
        </row>
        <row r="73">
          <cell r="F73">
            <v>11629128.789999999</v>
          </cell>
          <cell r="H73">
            <v>0</v>
          </cell>
          <cell r="I73">
            <v>11629128.789999999</v>
          </cell>
          <cell r="J73">
            <v>0</v>
          </cell>
          <cell r="K73">
            <v>11629128.789999999</v>
          </cell>
          <cell r="M73">
            <v>15804069.1</v>
          </cell>
        </row>
        <row r="74">
          <cell r="F74">
            <v>62313511.909999996</v>
          </cell>
          <cell r="H74">
            <v>-20316012.890000001</v>
          </cell>
          <cell r="I74">
            <v>41997499.020000003</v>
          </cell>
          <cell r="J74">
            <v>0</v>
          </cell>
          <cell r="K74">
            <v>41997499.020000003</v>
          </cell>
          <cell r="M74">
            <v>0</v>
          </cell>
        </row>
        <row r="75">
          <cell r="F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20322.810000000001</v>
          </cell>
        </row>
        <row r="76">
          <cell r="F76">
            <v>10231550.189999999</v>
          </cell>
          <cell r="H76">
            <v>-137238.09</v>
          </cell>
          <cell r="I76">
            <v>10094312.1</v>
          </cell>
          <cell r="J76">
            <v>0</v>
          </cell>
          <cell r="K76">
            <v>10094312.1</v>
          </cell>
          <cell r="M76">
            <v>3450858.6</v>
          </cell>
        </row>
        <row r="77">
          <cell r="F77">
            <v>-1030532.61</v>
          </cell>
          <cell r="H77">
            <v>0</v>
          </cell>
          <cell r="I77">
            <v>-1030532.61</v>
          </cell>
          <cell r="J77">
            <v>0</v>
          </cell>
          <cell r="K77">
            <v>-1030532.61</v>
          </cell>
          <cell r="M77">
            <v>-1030532.61</v>
          </cell>
        </row>
        <row r="78">
          <cell r="F78">
            <v>87882243.359999999</v>
          </cell>
          <cell r="H78">
            <v>-20453250.98</v>
          </cell>
          <cell r="I78">
            <v>67428992.379999995</v>
          </cell>
          <cell r="J78">
            <v>0</v>
          </cell>
          <cell r="K78">
            <v>67428992.379999995</v>
          </cell>
          <cell r="M78">
            <v>26624677.690000001</v>
          </cell>
        </row>
        <row r="80">
          <cell r="F80">
            <v>6472669.1100000003</v>
          </cell>
          <cell r="H80">
            <v>0</v>
          </cell>
          <cell r="I80">
            <v>6472669.1100000003</v>
          </cell>
          <cell r="J80">
            <v>0</v>
          </cell>
          <cell r="K80">
            <v>6472669.1100000003</v>
          </cell>
          <cell r="M80">
            <v>4218119.1100000003</v>
          </cell>
        </row>
        <row r="81">
          <cell r="F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152550</v>
          </cell>
        </row>
        <row r="82">
          <cell r="F82">
            <v>-1046405.09</v>
          </cell>
          <cell r="H82">
            <v>-574670.21</v>
          </cell>
          <cell r="I82">
            <v>-1621075.3</v>
          </cell>
          <cell r="J82">
            <v>0</v>
          </cell>
          <cell r="K82">
            <v>-1621075.3</v>
          </cell>
          <cell r="M82">
            <v>-888923.33</v>
          </cell>
        </row>
        <row r="83">
          <cell r="F83">
            <v>5426264.0200000005</v>
          </cell>
          <cell r="H83">
            <v>-574670.21</v>
          </cell>
          <cell r="I83">
            <v>4851593.8100000005</v>
          </cell>
          <cell r="J83">
            <v>0</v>
          </cell>
          <cell r="K83">
            <v>4851593.8100000005</v>
          </cell>
          <cell r="M83">
            <v>3481745.7800000003</v>
          </cell>
        </row>
        <row r="85">
          <cell r="F85">
            <v>83154062.629999995</v>
          </cell>
          <cell r="H85">
            <v>0</v>
          </cell>
          <cell r="I85">
            <v>83154062.629999995</v>
          </cell>
          <cell r="J85">
            <v>0</v>
          </cell>
          <cell r="K85">
            <v>83154062.629999995</v>
          </cell>
          <cell r="M85">
            <v>274171804</v>
          </cell>
        </row>
        <row r="86">
          <cell r="F86">
            <v>-38553485.700000003</v>
          </cell>
          <cell r="H86">
            <v>0</v>
          </cell>
          <cell r="I86">
            <v>-38553485.700000003</v>
          </cell>
          <cell r="J86">
            <v>0</v>
          </cell>
          <cell r="K86">
            <v>-38553485.700000003</v>
          </cell>
          <cell r="M86">
            <v>-148144192</v>
          </cell>
        </row>
        <row r="87">
          <cell r="F87">
            <v>44600576.929999992</v>
          </cell>
          <cell r="H87">
            <v>0</v>
          </cell>
          <cell r="I87">
            <v>44600576.929999992</v>
          </cell>
          <cell r="J87">
            <v>0</v>
          </cell>
          <cell r="K87">
            <v>44600576.929999992</v>
          </cell>
          <cell r="M87">
            <v>126027612</v>
          </cell>
        </row>
        <row r="89">
          <cell r="F89">
            <v>8813469.7100000009</v>
          </cell>
          <cell r="H89">
            <v>0</v>
          </cell>
          <cell r="I89">
            <v>8813469.7100000009</v>
          </cell>
          <cell r="J89">
            <v>0</v>
          </cell>
          <cell r="K89">
            <v>8813469.7100000009</v>
          </cell>
          <cell r="M89">
            <v>9336959.1600000001</v>
          </cell>
        </row>
        <row r="90">
          <cell r="F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M90">
            <v>129.55000000000001</v>
          </cell>
        </row>
        <row r="91">
          <cell r="F91">
            <v>-4804885.2</v>
          </cell>
          <cell r="H91">
            <v>-722807.59</v>
          </cell>
          <cell r="I91">
            <v>-5527692.79</v>
          </cell>
          <cell r="J91">
            <v>0</v>
          </cell>
          <cell r="K91">
            <v>-5527692.79</v>
          </cell>
          <cell r="M91">
            <v>-3788306</v>
          </cell>
        </row>
        <row r="92"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</row>
        <row r="93">
          <cell r="F93">
            <v>4008584.5100000007</v>
          </cell>
          <cell r="H93">
            <v>-722807.59</v>
          </cell>
          <cell r="I93">
            <v>3285776.9200000009</v>
          </cell>
          <cell r="J93">
            <v>0</v>
          </cell>
          <cell r="K93">
            <v>3285776.9200000009</v>
          </cell>
          <cell r="M93">
            <v>5548782.7100000009</v>
          </cell>
        </row>
        <row r="95">
          <cell r="F95">
            <v>0</v>
          </cell>
          <cell r="H95">
            <v>0</v>
          </cell>
          <cell r="I95">
            <v>0</v>
          </cell>
          <cell r="J95">
            <v>2956218</v>
          </cell>
          <cell r="K95">
            <v>2956218</v>
          </cell>
          <cell r="M95">
            <v>2093618.23</v>
          </cell>
        </row>
        <row r="96">
          <cell r="F96">
            <v>0</v>
          </cell>
          <cell r="H96">
            <v>-546505</v>
          </cell>
          <cell r="I96">
            <v>-546505</v>
          </cell>
          <cell r="J96">
            <v>-661050</v>
          </cell>
          <cell r="K96">
            <v>-1207555</v>
          </cell>
          <cell r="M96">
            <v>-661050</v>
          </cell>
        </row>
        <row r="97">
          <cell r="F97">
            <v>0</v>
          </cell>
          <cell r="H97">
            <v>-546505</v>
          </cell>
          <cell r="I97">
            <v>-546505</v>
          </cell>
          <cell r="J97">
            <v>2295168</v>
          </cell>
          <cell r="K97">
            <v>1748663</v>
          </cell>
          <cell r="M97">
            <v>1432568.23</v>
          </cell>
        </row>
        <row r="99">
          <cell r="F99">
            <v>5988526.2300000004</v>
          </cell>
          <cell r="H99">
            <v>0</v>
          </cell>
          <cell r="I99">
            <v>5988526.2300000004</v>
          </cell>
          <cell r="J99">
            <v>-2993174.8</v>
          </cell>
          <cell r="K99">
            <v>2995351.43</v>
          </cell>
          <cell r="M99">
            <v>2915321.25</v>
          </cell>
        </row>
        <row r="100"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M100">
            <v>53179.95</v>
          </cell>
        </row>
        <row r="101">
          <cell r="F101">
            <v>-1863349.64</v>
          </cell>
          <cell r="H101">
            <v>-234081.56</v>
          </cell>
          <cell r="I101">
            <v>-2097431.2000000002</v>
          </cell>
          <cell r="J101">
            <v>661050</v>
          </cell>
          <cell r="K101">
            <v>-1436381.2</v>
          </cell>
          <cell r="M101">
            <v>-823118.3</v>
          </cell>
        </row>
        <row r="102">
          <cell r="F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M102">
            <v>-25179.63</v>
          </cell>
        </row>
        <row r="103">
          <cell r="F103">
            <v>4125176.5900000008</v>
          </cell>
          <cell r="H103">
            <v>-234081.56</v>
          </cell>
          <cell r="I103">
            <v>3891095.0300000003</v>
          </cell>
          <cell r="J103">
            <v>-2332124.7999999998</v>
          </cell>
          <cell r="K103">
            <v>1558970.2300000002</v>
          </cell>
          <cell r="M103">
            <v>2120203.2700000005</v>
          </cell>
        </row>
        <row r="105">
          <cell r="F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M105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M106">
            <v>0</v>
          </cell>
        </row>
        <row r="108">
          <cell r="F108">
            <v>-31642274.210000001</v>
          </cell>
          <cell r="H108">
            <v>0</v>
          </cell>
          <cell r="I108">
            <v>-31642274.210000001</v>
          </cell>
          <cell r="J108">
            <v>805995</v>
          </cell>
          <cell r="K108">
            <v>-30836279.210000001</v>
          </cell>
          <cell r="M108">
            <v>-34963742.710000001</v>
          </cell>
        </row>
        <row r="109">
          <cell r="F109">
            <v>-31642274.210000001</v>
          </cell>
          <cell r="H109">
            <v>0</v>
          </cell>
          <cell r="I109">
            <v>-31642274.210000001</v>
          </cell>
          <cell r="J109">
            <v>805995</v>
          </cell>
          <cell r="K109">
            <v>-30836279.210000001</v>
          </cell>
          <cell r="M109">
            <v>-34963742.710000001</v>
          </cell>
        </row>
        <row r="111">
          <cell r="F111">
            <v>-20628556.949999999</v>
          </cell>
          <cell r="H111">
            <v>0</v>
          </cell>
          <cell r="I111">
            <v>-20628556.949999999</v>
          </cell>
          <cell r="J111">
            <v>0</v>
          </cell>
          <cell r="K111">
            <v>-20628556.949999999</v>
          </cell>
          <cell r="M111">
            <v>-8086593.9500000002</v>
          </cell>
        </row>
        <row r="112">
          <cell r="F112">
            <v>47105.42</v>
          </cell>
          <cell r="H112">
            <v>-47105.42</v>
          </cell>
          <cell r="I112">
            <v>0</v>
          </cell>
          <cell r="J112">
            <v>0</v>
          </cell>
          <cell r="K112">
            <v>0</v>
          </cell>
          <cell r="M112">
            <v>-106845.02</v>
          </cell>
        </row>
        <row r="113">
          <cell r="F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M113">
            <v>-118066.76</v>
          </cell>
        </row>
        <row r="114"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M114">
            <v>-24930.01</v>
          </cell>
        </row>
        <row r="115">
          <cell r="F115">
            <v>6620453.3799999999</v>
          </cell>
          <cell r="H115">
            <v>-6620453.3799999999</v>
          </cell>
          <cell r="I115">
            <v>0</v>
          </cell>
          <cell r="J115">
            <v>0</v>
          </cell>
          <cell r="K115">
            <v>0</v>
          </cell>
          <cell r="M115">
            <v>-3733596.56</v>
          </cell>
        </row>
        <row r="116">
          <cell r="F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-715542.09</v>
          </cell>
        </row>
        <row r="117">
          <cell r="F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M117">
            <v>-1218082.01</v>
          </cell>
        </row>
        <row r="118"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M118">
            <v>-149005.29999999999</v>
          </cell>
        </row>
        <row r="119"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M119">
            <v>-968017.33</v>
          </cell>
        </row>
        <row r="120">
          <cell r="F120">
            <v>-5720722.8600000003</v>
          </cell>
          <cell r="H120">
            <v>0</v>
          </cell>
          <cell r="I120">
            <v>-5720722.8600000003</v>
          </cell>
          <cell r="J120">
            <v>0</v>
          </cell>
          <cell r="K120">
            <v>-5720722.8600000003</v>
          </cell>
          <cell r="M120">
            <v>0</v>
          </cell>
        </row>
        <row r="121">
          <cell r="F121">
            <v>-200603</v>
          </cell>
          <cell r="H121">
            <v>0</v>
          </cell>
          <cell r="I121">
            <v>-200603</v>
          </cell>
          <cell r="J121">
            <v>0</v>
          </cell>
          <cell r="K121">
            <v>-200603</v>
          </cell>
          <cell r="M121">
            <v>0</v>
          </cell>
        </row>
        <row r="122">
          <cell r="F122">
            <v>-3075979.64</v>
          </cell>
          <cell r="H122">
            <v>0</v>
          </cell>
          <cell r="I122">
            <v>-3075979.64</v>
          </cell>
          <cell r="J122">
            <v>0</v>
          </cell>
          <cell r="K122">
            <v>-3075979.64</v>
          </cell>
          <cell r="M122">
            <v>0</v>
          </cell>
        </row>
        <row r="123">
          <cell r="F123">
            <v>-1400000</v>
          </cell>
          <cell r="H123">
            <v>0</v>
          </cell>
          <cell r="I123">
            <v>-1400000</v>
          </cell>
          <cell r="J123">
            <v>0</v>
          </cell>
          <cell r="K123">
            <v>-1400000</v>
          </cell>
          <cell r="M123">
            <v>0</v>
          </cell>
        </row>
        <row r="124">
          <cell r="F124">
            <v>-308839.28000000003</v>
          </cell>
          <cell r="H124">
            <v>0</v>
          </cell>
          <cell r="I124">
            <v>-308839.28000000003</v>
          </cell>
          <cell r="J124">
            <v>0</v>
          </cell>
          <cell r="K124">
            <v>-308839.28000000003</v>
          </cell>
          <cell r="M124">
            <v>0</v>
          </cell>
        </row>
        <row r="125">
          <cell r="F125">
            <v>-24667142.93</v>
          </cell>
          <cell r="H125">
            <v>-6667558.7999999998</v>
          </cell>
          <cell r="I125">
            <v>-31334701.73</v>
          </cell>
          <cell r="J125">
            <v>0</v>
          </cell>
          <cell r="K125">
            <v>-31334701.73</v>
          </cell>
          <cell r="M125">
            <v>-15120679.029999999</v>
          </cell>
        </row>
        <row r="127">
          <cell r="F127">
            <v>-18902488.809999999</v>
          </cell>
          <cell r="H127">
            <v>0</v>
          </cell>
          <cell r="I127">
            <v>-18902488.809999999</v>
          </cell>
          <cell r="J127">
            <v>0</v>
          </cell>
          <cell r="K127">
            <v>-18902488.809999999</v>
          </cell>
          <cell r="M127">
            <v>-4952562.58</v>
          </cell>
        </row>
        <row r="128">
          <cell r="F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M128">
            <v>-940471.24</v>
          </cell>
        </row>
        <row r="129">
          <cell r="F129">
            <v>-4038011.81</v>
          </cell>
          <cell r="H129">
            <v>0</v>
          </cell>
          <cell r="I129">
            <v>-4038011.81</v>
          </cell>
          <cell r="J129">
            <v>0</v>
          </cell>
          <cell r="K129">
            <v>-4038011.81</v>
          </cell>
          <cell r="M129">
            <v>-3592360.72</v>
          </cell>
        </row>
        <row r="130">
          <cell r="F130">
            <v>1466164.53</v>
          </cell>
          <cell r="H130">
            <v>0</v>
          </cell>
          <cell r="I130">
            <v>1466164.53</v>
          </cell>
          <cell r="J130">
            <v>0</v>
          </cell>
          <cell r="K130">
            <v>1466164.53</v>
          </cell>
          <cell r="M130">
            <v>0</v>
          </cell>
        </row>
        <row r="131">
          <cell r="F131">
            <v>-573769.77</v>
          </cell>
          <cell r="H131">
            <v>0</v>
          </cell>
          <cell r="I131">
            <v>-573769.77</v>
          </cell>
          <cell r="J131">
            <v>0</v>
          </cell>
          <cell r="K131">
            <v>-573769.77</v>
          </cell>
          <cell r="M131">
            <v>0</v>
          </cell>
        </row>
        <row r="132">
          <cell r="F132">
            <v>-5.05</v>
          </cell>
          <cell r="H132">
            <v>5.05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</row>
        <row r="133">
          <cell r="F133">
            <v>-22048110.909999996</v>
          </cell>
          <cell r="H133">
            <v>5.05</v>
          </cell>
          <cell r="I133">
            <v>-22048105.859999996</v>
          </cell>
          <cell r="J133">
            <v>0</v>
          </cell>
          <cell r="K133">
            <v>-22048105.859999996</v>
          </cell>
          <cell r="M133">
            <v>-9485394.540000001</v>
          </cell>
        </row>
        <row r="135">
          <cell r="F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M135">
            <v>-901435.23</v>
          </cell>
        </row>
        <row r="136"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M136">
            <v>-901435.23</v>
          </cell>
        </row>
        <row r="138">
          <cell r="F138">
            <v>-25693133.649999999</v>
          </cell>
          <cell r="H138">
            <v>-5930318.5</v>
          </cell>
          <cell r="I138">
            <v>-31623452.149999999</v>
          </cell>
          <cell r="J138">
            <v>0</v>
          </cell>
          <cell r="K138">
            <v>-31623452.149999999</v>
          </cell>
          <cell r="M138">
            <v>-16356721.07</v>
          </cell>
        </row>
        <row r="139">
          <cell r="F139">
            <v>-25693133.649999999</v>
          </cell>
          <cell r="H139">
            <v>-5930318.5</v>
          </cell>
          <cell r="I139">
            <v>-31623452.149999999</v>
          </cell>
          <cell r="J139">
            <v>0</v>
          </cell>
          <cell r="K139">
            <v>-31623452.149999999</v>
          </cell>
          <cell r="M139">
            <v>-16356721.07</v>
          </cell>
        </row>
        <row r="141"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M141">
            <v>-50480.480000000003</v>
          </cell>
        </row>
        <row r="142"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M142">
            <v>-65555.62</v>
          </cell>
        </row>
        <row r="143">
          <cell r="F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M143">
            <v>-116036.1</v>
          </cell>
        </row>
        <row r="145">
          <cell r="F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M145">
            <v>0</v>
          </cell>
        </row>
        <row r="147">
          <cell r="F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M147">
            <v>0</v>
          </cell>
        </row>
        <row r="149">
          <cell r="F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M149">
            <v>0</v>
          </cell>
        </row>
        <row r="151">
          <cell r="F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M151">
            <v>0</v>
          </cell>
        </row>
        <row r="152">
          <cell r="F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M152">
            <v>0</v>
          </cell>
        </row>
        <row r="154">
          <cell r="F154">
            <v>-8727898.9600000009</v>
          </cell>
          <cell r="H154">
            <v>81443.199999999997</v>
          </cell>
          <cell r="I154">
            <v>-8646455.7599999998</v>
          </cell>
          <cell r="J154">
            <v>0</v>
          </cell>
          <cell r="K154">
            <v>-8646455.7599999998</v>
          </cell>
          <cell r="M154">
            <v>-7490000</v>
          </cell>
        </row>
        <row r="155">
          <cell r="F155">
            <v>-49472304.369999997</v>
          </cell>
          <cell r="H155">
            <v>-891274.46</v>
          </cell>
          <cell r="I155">
            <v>-50363578.829999998</v>
          </cell>
          <cell r="J155">
            <v>0</v>
          </cell>
          <cell r="K155">
            <v>-50363578.829999998</v>
          </cell>
          <cell r="M155">
            <v>-43804065</v>
          </cell>
        </row>
        <row r="156">
          <cell r="F156">
            <v>-58200203.329999998</v>
          </cell>
          <cell r="H156">
            <v>-809831.26</v>
          </cell>
          <cell r="I156">
            <v>-59010034.589999996</v>
          </cell>
          <cell r="J156">
            <v>0</v>
          </cell>
          <cell r="K156">
            <v>-59010034.589999996</v>
          </cell>
          <cell r="M156">
            <v>-51294065</v>
          </cell>
        </row>
        <row r="158">
          <cell r="F158">
            <v>25045663.989999998</v>
          </cell>
          <cell r="H158">
            <v>0</v>
          </cell>
          <cell r="I158">
            <v>25045663.989999998</v>
          </cell>
          <cell r="J158">
            <v>-805995</v>
          </cell>
          <cell r="K158">
            <v>24239668.989999998</v>
          </cell>
          <cell r="M158">
            <v>171515074.30000001</v>
          </cell>
        </row>
        <row r="159">
          <cell r="F159">
            <v>128125820.12</v>
          </cell>
          <cell r="H159">
            <v>0</v>
          </cell>
          <cell r="I159">
            <v>128125820.12</v>
          </cell>
          <cell r="J159">
            <v>0</v>
          </cell>
          <cell r="K159">
            <v>128125820.12</v>
          </cell>
          <cell r="M159">
            <v>-4205437.79</v>
          </cell>
        </row>
        <row r="160">
          <cell r="F160">
            <v>153171484.11000001</v>
          </cell>
          <cell r="H160">
            <v>0</v>
          </cell>
          <cell r="I160">
            <v>153171484.11000001</v>
          </cell>
          <cell r="J160">
            <v>-805995</v>
          </cell>
          <cell r="K160">
            <v>152365489.11000001</v>
          </cell>
          <cell r="M160">
            <v>167309636.51000002</v>
          </cell>
        </row>
        <row r="162">
          <cell r="F162">
            <v>-22200000</v>
          </cell>
          <cell r="H162">
            <v>0</v>
          </cell>
          <cell r="I162">
            <v>-22200000</v>
          </cell>
          <cell r="J162">
            <v>0</v>
          </cell>
          <cell r="K162">
            <v>-22200000</v>
          </cell>
          <cell r="M162">
            <v>0</v>
          </cell>
        </row>
        <row r="163">
          <cell r="F163">
            <v>-22200000</v>
          </cell>
          <cell r="H163">
            <v>0</v>
          </cell>
          <cell r="I163">
            <v>-22200000</v>
          </cell>
          <cell r="J163">
            <v>0</v>
          </cell>
          <cell r="K163">
            <v>-22200000</v>
          </cell>
          <cell r="M163">
            <v>0</v>
          </cell>
        </row>
        <row r="165">
          <cell r="F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M165">
            <v>-23160.12</v>
          </cell>
        </row>
        <row r="166">
          <cell r="F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M166">
            <v>4607.2</v>
          </cell>
        </row>
        <row r="167">
          <cell r="F167">
            <v>-25067055.66</v>
          </cell>
          <cell r="H167">
            <v>-6896854.0800000001</v>
          </cell>
          <cell r="I167">
            <v>-31963909.739999998</v>
          </cell>
          <cell r="J167">
            <v>0</v>
          </cell>
          <cell r="K167">
            <v>-31963909.739999998</v>
          </cell>
          <cell r="M167">
            <v>-44176168.009999998</v>
          </cell>
        </row>
        <row r="168">
          <cell r="F168">
            <v>11903.75</v>
          </cell>
          <cell r="H168">
            <v>-11903.75</v>
          </cell>
          <cell r="I168">
            <v>0</v>
          </cell>
          <cell r="J168">
            <v>0</v>
          </cell>
          <cell r="K168">
            <v>0</v>
          </cell>
          <cell r="M168">
            <v>0</v>
          </cell>
        </row>
        <row r="169">
          <cell r="F169">
            <v>-25055151.91</v>
          </cell>
          <cell r="H169">
            <v>-6908757.8300000001</v>
          </cell>
          <cell r="I169">
            <v>-31963909.739999998</v>
          </cell>
          <cell r="J169">
            <v>0</v>
          </cell>
          <cell r="K169">
            <v>-31963909.739999998</v>
          </cell>
          <cell r="M169">
            <v>-44194720.93</v>
          </cell>
        </row>
        <row r="171">
          <cell r="F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M171">
            <v>0</v>
          </cell>
        </row>
        <row r="173">
          <cell r="F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M173">
            <v>0</v>
          </cell>
        </row>
        <row r="175">
          <cell r="F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M175">
            <v>0</v>
          </cell>
        </row>
        <row r="177">
          <cell r="F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M177">
            <v>0</v>
          </cell>
        </row>
        <row r="179">
          <cell r="F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</row>
        <row r="181">
          <cell r="F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M181">
            <v>0</v>
          </cell>
        </row>
        <row r="183">
          <cell r="F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M183">
            <v>0</v>
          </cell>
        </row>
        <row r="185"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M185">
            <v>0</v>
          </cell>
        </row>
        <row r="187">
          <cell r="F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M187">
            <v>-13779844.460000001</v>
          </cell>
        </row>
        <row r="188">
          <cell r="F188">
            <v>-6766111.8499999996</v>
          </cell>
          <cell r="H188">
            <v>0</v>
          </cell>
          <cell r="I188">
            <v>-6766111.8499999996</v>
          </cell>
          <cell r="J188">
            <v>0</v>
          </cell>
          <cell r="K188">
            <v>-6766111.8499999996</v>
          </cell>
          <cell r="M188">
            <v>-1557517.03</v>
          </cell>
        </row>
        <row r="189">
          <cell r="F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-24166494.719999999</v>
          </cell>
        </row>
        <row r="190">
          <cell r="F190">
            <v>-16732637.300000001</v>
          </cell>
          <cell r="H190">
            <v>0</v>
          </cell>
          <cell r="I190">
            <v>-16732637.300000001</v>
          </cell>
          <cell r="J190">
            <v>0</v>
          </cell>
          <cell r="K190">
            <v>-16732637.300000001</v>
          </cell>
          <cell r="M190">
            <v>-2605724.96</v>
          </cell>
        </row>
        <row r="191">
          <cell r="F191">
            <v>-6873185.4100000001</v>
          </cell>
          <cell r="H191">
            <v>0</v>
          </cell>
          <cell r="I191">
            <v>-6873185.4100000001</v>
          </cell>
          <cell r="J191">
            <v>0</v>
          </cell>
          <cell r="K191">
            <v>-6873185.4100000001</v>
          </cell>
          <cell r="M191">
            <v>-23660126.219999999</v>
          </cell>
        </row>
        <row r="192">
          <cell r="F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M192">
            <v>-3703329.9</v>
          </cell>
        </row>
        <row r="193">
          <cell r="F193">
            <v>-12370875.369999999</v>
          </cell>
          <cell r="H193">
            <v>0</v>
          </cell>
          <cell r="I193">
            <v>-12370875.369999999</v>
          </cell>
          <cell r="J193">
            <v>0</v>
          </cell>
          <cell r="K193">
            <v>-12370875.369999999</v>
          </cell>
          <cell r="M193">
            <v>-9773243.1500000004</v>
          </cell>
        </row>
        <row r="194">
          <cell r="F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M194">
            <v>-1972886.29</v>
          </cell>
        </row>
        <row r="195">
          <cell r="F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M195">
            <v>-11417958.439999999</v>
          </cell>
        </row>
        <row r="196">
          <cell r="F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M196">
            <v>-2448999.94</v>
          </cell>
        </row>
        <row r="197">
          <cell r="F197">
            <v>-1760510.79</v>
          </cell>
          <cell r="H197">
            <v>0</v>
          </cell>
          <cell r="I197">
            <v>-1760510.79</v>
          </cell>
          <cell r="J197">
            <v>0</v>
          </cell>
          <cell r="K197">
            <v>-1760510.79</v>
          </cell>
          <cell r="M197">
            <v>-3971578.97</v>
          </cell>
        </row>
        <row r="198">
          <cell r="F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M198">
            <v>-831857.85</v>
          </cell>
        </row>
        <row r="199">
          <cell r="F199">
            <v>-6639946.0599999996</v>
          </cell>
          <cell r="H199">
            <v>0</v>
          </cell>
          <cell r="I199">
            <v>-6639946.0599999996</v>
          </cell>
          <cell r="J199">
            <v>0</v>
          </cell>
          <cell r="K199">
            <v>-6639946.0599999996</v>
          </cell>
          <cell r="M199">
            <v>-14316028.359999999</v>
          </cell>
        </row>
        <row r="200">
          <cell r="F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M200">
            <v>-2889919.55</v>
          </cell>
        </row>
        <row r="201">
          <cell r="F201">
            <v>-3227660.96</v>
          </cell>
          <cell r="H201">
            <v>0</v>
          </cell>
          <cell r="I201">
            <v>-3227660.96</v>
          </cell>
          <cell r="J201">
            <v>0</v>
          </cell>
          <cell r="K201">
            <v>-3227660.96</v>
          </cell>
          <cell r="M201">
            <v>-4103253.4</v>
          </cell>
        </row>
        <row r="202">
          <cell r="F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M202">
            <v>-828307.72</v>
          </cell>
        </row>
        <row r="203">
          <cell r="F203">
            <v>-8360223.3499999996</v>
          </cell>
          <cell r="H203">
            <v>0</v>
          </cell>
          <cell r="I203">
            <v>-8360223.3499999996</v>
          </cell>
          <cell r="J203">
            <v>0</v>
          </cell>
          <cell r="K203">
            <v>-8360223.3499999996</v>
          </cell>
          <cell r="M203">
            <v>-10001769.17</v>
          </cell>
        </row>
        <row r="204">
          <cell r="F204">
            <v>-19043598.210000001</v>
          </cell>
          <cell r="H204">
            <v>0</v>
          </cell>
          <cell r="I204">
            <v>-19043598.210000001</v>
          </cell>
          <cell r="J204">
            <v>0</v>
          </cell>
          <cell r="K204">
            <v>-19043598.210000001</v>
          </cell>
          <cell r="M204">
            <v>-7467388.4699999997</v>
          </cell>
        </row>
        <row r="205">
          <cell r="F205">
            <v>-81774749.300000012</v>
          </cell>
          <cell r="H205">
            <v>0</v>
          </cell>
          <cell r="I205">
            <v>-81774749.300000012</v>
          </cell>
          <cell r="J205">
            <v>0</v>
          </cell>
          <cell r="K205">
            <v>-81774749.300000012</v>
          </cell>
          <cell r="M205">
            <v>-139496228.60000002</v>
          </cell>
        </row>
        <row r="207">
          <cell r="F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</row>
        <row r="209">
          <cell r="F209">
            <v>-20000000</v>
          </cell>
          <cell r="H209">
            <v>0</v>
          </cell>
          <cell r="I209">
            <v>-20000000</v>
          </cell>
          <cell r="J209">
            <v>0</v>
          </cell>
          <cell r="K209">
            <v>-20000000</v>
          </cell>
          <cell r="M209">
            <v>-20000000</v>
          </cell>
        </row>
        <row r="210">
          <cell r="F210">
            <v>30.22</v>
          </cell>
          <cell r="H210">
            <v>-30.22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</row>
        <row r="211">
          <cell r="F211">
            <v>-19999969.780000001</v>
          </cell>
          <cell r="H211">
            <v>-30.22</v>
          </cell>
          <cell r="I211">
            <v>-20000000</v>
          </cell>
          <cell r="J211">
            <v>0</v>
          </cell>
          <cell r="K211">
            <v>-20000000</v>
          </cell>
          <cell r="M211">
            <v>-20000000</v>
          </cell>
        </row>
        <row r="213">
          <cell r="F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</row>
        <row r="215">
          <cell r="F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M215">
            <v>0</v>
          </cell>
        </row>
        <row r="217">
          <cell r="F217">
            <v>-207000000</v>
          </cell>
          <cell r="H217">
            <v>0</v>
          </cell>
          <cell r="I217">
            <v>-207000000</v>
          </cell>
          <cell r="J217">
            <v>0</v>
          </cell>
          <cell r="K217">
            <v>-207000000</v>
          </cell>
          <cell r="M217">
            <v>-207000000</v>
          </cell>
        </row>
        <row r="218">
          <cell r="F218">
            <v>-207000000</v>
          </cell>
          <cell r="H218">
            <v>0</v>
          </cell>
          <cell r="I218">
            <v>-207000000</v>
          </cell>
          <cell r="J218">
            <v>0</v>
          </cell>
          <cell r="K218">
            <v>-207000000</v>
          </cell>
          <cell r="M218">
            <v>-207000000</v>
          </cell>
        </row>
        <row r="220">
          <cell r="F220">
            <v>68962345.599999994</v>
          </cell>
          <cell r="H220">
            <v>0</v>
          </cell>
          <cell r="I220">
            <v>68962345.599999994</v>
          </cell>
          <cell r="J220">
            <v>0</v>
          </cell>
          <cell r="K220">
            <v>68962345.599999994</v>
          </cell>
          <cell r="M220">
            <v>0</v>
          </cell>
        </row>
        <row r="221">
          <cell r="F221">
            <v>-142051.56</v>
          </cell>
          <cell r="H221">
            <v>0</v>
          </cell>
          <cell r="I221">
            <v>-142051.56</v>
          </cell>
          <cell r="J221">
            <v>0</v>
          </cell>
          <cell r="K221">
            <v>-142051.56</v>
          </cell>
          <cell r="M221">
            <v>0</v>
          </cell>
        </row>
        <row r="222">
          <cell r="F222">
            <v>68820294.039999992</v>
          </cell>
          <cell r="H222">
            <v>0</v>
          </cell>
          <cell r="I222">
            <v>68820294.039999992</v>
          </cell>
          <cell r="J222">
            <v>0</v>
          </cell>
          <cell r="K222">
            <v>68820294.039999992</v>
          </cell>
          <cell r="M222">
            <v>0</v>
          </cell>
        </row>
        <row r="224">
          <cell r="F224">
            <v>0</v>
          </cell>
          <cell r="H224">
            <v>-47151385.920000002</v>
          </cell>
          <cell r="I224">
            <v>-47151385.920000002</v>
          </cell>
          <cell r="J224">
            <v>0</v>
          </cell>
          <cell r="K224">
            <v>-47151385.920000002</v>
          </cell>
          <cell r="M224">
            <v>0</v>
          </cell>
        </row>
        <row r="225">
          <cell r="F225">
            <v>0</v>
          </cell>
          <cell r="H225">
            <v>-47151385.920000002</v>
          </cell>
          <cell r="I225">
            <v>-47151385.920000002</v>
          </cell>
          <cell r="J225">
            <v>0</v>
          </cell>
          <cell r="K225">
            <v>-47151385.920000002</v>
          </cell>
          <cell r="M225">
            <v>0</v>
          </cell>
        </row>
        <row r="227">
          <cell r="F227">
            <v>142051.56</v>
          </cell>
          <cell r="H227">
            <v>-142052</v>
          </cell>
          <cell r="I227">
            <v>-0.44</v>
          </cell>
          <cell r="J227">
            <v>0</v>
          </cell>
          <cell r="K227">
            <v>-0.44</v>
          </cell>
          <cell r="M227">
            <v>-142051.56</v>
          </cell>
        </row>
        <row r="228">
          <cell r="F228">
            <v>-22702308</v>
          </cell>
          <cell r="H228">
            <v>0</v>
          </cell>
          <cell r="I228">
            <v>-22702308</v>
          </cell>
          <cell r="J228">
            <v>0</v>
          </cell>
          <cell r="K228">
            <v>-22702308</v>
          </cell>
          <cell r="M228">
            <v>0</v>
          </cell>
        </row>
        <row r="229">
          <cell r="F229">
            <v>-61509084.710000001</v>
          </cell>
          <cell r="H229">
            <v>0</v>
          </cell>
          <cell r="I229">
            <v>-61509084.710000001</v>
          </cell>
          <cell r="J229">
            <v>0</v>
          </cell>
          <cell r="K229">
            <v>-61509084.710000001</v>
          </cell>
          <cell r="M229">
            <v>0</v>
          </cell>
        </row>
        <row r="230">
          <cell r="F230">
            <v>-385004490.89999998</v>
          </cell>
          <cell r="H230">
            <v>0</v>
          </cell>
          <cell r="I230">
            <v>-385004490.89999998</v>
          </cell>
          <cell r="J230">
            <v>0</v>
          </cell>
          <cell r="K230">
            <v>-385004490.89999998</v>
          </cell>
          <cell r="M230">
            <v>-690878662.38999999</v>
          </cell>
        </row>
        <row r="231">
          <cell r="F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-41216134.359999999</v>
          </cell>
        </row>
        <row r="232">
          <cell r="F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M232">
            <v>-581049</v>
          </cell>
        </row>
        <row r="233">
          <cell r="F233">
            <v>-34326418.729999997</v>
          </cell>
          <cell r="H233">
            <v>67467398.810000002</v>
          </cell>
          <cell r="I233">
            <v>33140980.079999998</v>
          </cell>
          <cell r="J233">
            <v>0</v>
          </cell>
          <cell r="K233">
            <v>33140980.079999998</v>
          </cell>
          <cell r="M233">
            <v>-4000</v>
          </cell>
        </row>
        <row r="234">
          <cell r="F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M234">
            <v>3885740.9</v>
          </cell>
        </row>
        <row r="235">
          <cell r="F235">
            <v>-503400250.77999997</v>
          </cell>
          <cell r="H235">
            <v>67325346.810000002</v>
          </cell>
          <cell r="I235">
            <v>-436074903.96999997</v>
          </cell>
          <cell r="J235">
            <v>0</v>
          </cell>
          <cell r="K235">
            <v>-436074903.96999997</v>
          </cell>
          <cell r="M235">
            <v>-728936156.40999997</v>
          </cell>
        </row>
        <row r="237">
          <cell r="F237">
            <v>27050572.800000001</v>
          </cell>
          <cell r="H237">
            <v>0</v>
          </cell>
          <cell r="I237">
            <v>27050572.800000001</v>
          </cell>
          <cell r="J237">
            <v>0</v>
          </cell>
          <cell r="K237">
            <v>27050572.800000001</v>
          </cell>
          <cell r="M237">
            <v>0</v>
          </cell>
        </row>
        <row r="238">
          <cell r="F238">
            <v>186365477.12</v>
          </cell>
          <cell r="H238">
            <v>28797.96</v>
          </cell>
          <cell r="I238">
            <v>186394275.08000001</v>
          </cell>
          <cell r="J238">
            <v>0</v>
          </cell>
          <cell r="K238">
            <v>186394275.08000001</v>
          </cell>
          <cell r="M238">
            <v>0</v>
          </cell>
        </row>
        <row r="239">
          <cell r="F239">
            <v>-14257490.449999999</v>
          </cell>
          <cell r="H239">
            <v>0</v>
          </cell>
          <cell r="I239">
            <v>-14257490.449999999</v>
          </cell>
          <cell r="J239">
            <v>0</v>
          </cell>
          <cell r="K239">
            <v>-14257490.449999999</v>
          </cell>
          <cell r="M239">
            <v>0</v>
          </cell>
        </row>
        <row r="240">
          <cell r="F240">
            <v>4418751.7699999996</v>
          </cell>
          <cell r="H240">
            <v>0</v>
          </cell>
          <cell r="I240">
            <v>4418751.7699999996</v>
          </cell>
          <cell r="J240">
            <v>0</v>
          </cell>
          <cell r="K240">
            <v>4418751.7699999996</v>
          </cell>
          <cell r="M240">
            <v>7872585.75</v>
          </cell>
        </row>
        <row r="241">
          <cell r="F241">
            <v>203577311.24000004</v>
          </cell>
          <cell r="H241">
            <v>28797.96</v>
          </cell>
          <cell r="I241">
            <v>203606109.20000005</v>
          </cell>
          <cell r="J241">
            <v>0</v>
          </cell>
          <cell r="K241">
            <v>203606109.20000005</v>
          </cell>
          <cell r="M241">
            <v>7872585.75</v>
          </cell>
        </row>
        <row r="243">
          <cell r="F243">
            <v>5990818.2300000004</v>
          </cell>
          <cell r="H243">
            <v>1343278</v>
          </cell>
          <cell r="I243">
            <v>7334096.2300000004</v>
          </cell>
          <cell r="J243">
            <v>0</v>
          </cell>
          <cell r="K243">
            <v>7334096.2300000004</v>
          </cell>
          <cell r="M243">
            <v>0</v>
          </cell>
        </row>
        <row r="244">
          <cell r="F244">
            <v>4963149.05</v>
          </cell>
          <cell r="H244">
            <v>74500</v>
          </cell>
          <cell r="I244">
            <v>5037649.05</v>
          </cell>
          <cell r="J244">
            <v>0</v>
          </cell>
          <cell r="K244">
            <v>5037649.05</v>
          </cell>
          <cell r="M244">
            <v>0</v>
          </cell>
        </row>
        <row r="245">
          <cell r="F245">
            <v>3882656.13</v>
          </cell>
          <cell r="H245">
            <v>0</v>
          </cell>
          <cell r="I245">
            <v>3882656.13</v>
          </cell>
          <cell r="J245">
            <v>0</v>
          </cell>
          <cell r="K245">
            <v>3882656.13</v>
          </cell>
          <cell r="M245">
            <v>0</v>
          </cell>
        </row>
        <row r="246">
          <cell r="F246">
            <v>435000</v>
          </cell>
          <cell r="H246">
            <v>0</v>
          </cell>
          <cell r="I246">
            <v>435000</v>
          </cell>
          <cell r="J246">
            <v>0</v>
          </cell>
          <cell r="K246">
            <v>435000</v>
          </cell>
          <cell r="M246">
            <v>0</v>
          </cell>
        </row>
        <row r="247">
          <cell r="F247">
            <v>0</v>
          </cell>
          <cell r="H247">
            <v>4388588</v>
          </cell>
          <cell r="I247">
            <v>4388588</v>
          </cell>
          <cell r="J247">
            <v>0</v>
          </cell>
          <cell r="K247">
            <v>4388588</v>
          </cell>
          <cell r="M247">
            <v>0</v>
          </cell>
        </row>
        <row r="248">
          <cell r="F248">
            <v>-25000</v>
          </cell>
          <cell r="H248">
            <v>0</v>
          </cell>
          <cell r="I248">
            <v>-25000</v>
          </cell>
          <cell r="J248">
            <v>0</v>
          </cell>
          <cell r="K248">
            <v>-25000</v>
          </cell>
          <cell r="M248">
            <v>-200000</v>
          </cell>
        </row>
        <row r="249">
          <cell r="F249">
            <v>3000</v>
          </cell>
          <cell r="H249">
            <v>0</v>
          </cell>
          <cell r="I249">
            <v>3000</v>
          </cell>
          <cell r="J249">
            <v>0</v>
          </cell>
          <cell r="K249">
            <v>3000</v>
          </cell>
          <cell r="M249">
            <v>97500</v>
          </cell>
        </row>
        <row r="250">
          <cell r="F250">
            <v>63410</v>
          </cell>
          <cell r="H250">
            <v>0</v>
          </cell>
          <cell r="I250">
            <v>63410</v>
          </cell>
          <cell r="J250">
            <v>0</v>
          </cell>
          <cell r="K250">
            <v>63410</v>
          </cell>
          <cell r="M250">
            <v>-208164.23</v>
          </cell>
        </row>
        <row r="251">
          <cell r="F251">
            <v>15313033.41</v>
          </cell>
          <cell r="H251">
            <v>5806366</v>
          </cell>
          <cell r="I251">
            <v>21119399.41</v>
          </cell>
          <cell r="J251">
            <v>0</v>
          </cell>
          <cell r="K251">
            <v>21119399.41</v>
          </cell>
          <cell r="M251">
            <v>-310664.23</v>
          </cell>
        </row>
        <row r="253">
          <cell r="F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M253">
            <v>34163838.840000004</v>
          </cell>
        </row>
        <row r="254">
          <cell r="F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M254">
            <v>34163838.840000004</v>
          </cell>
        </row>
        <row r="256">
          <cell r="F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M256">
            <v>35807139.490000002</v>
          </cell>
        </row>
        <row r="257">
          <cell r="F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M257">
            <v>35807139.490000002</v>
          </cell>
        </row>
        <row r="259">
          <cell r="F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M259">
            <v>26412257.710000001</v>
          </cell>
        </row>
        <row r="260">
          <cell r="F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M260">
            <v>4997894.54</v>
          </cell>
        </row>
        <row r="261">
          <cell r="F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M261">
            <v>671100.96</v>
          </cell>
        </row>
        <row r="262">
          <cell r="F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M262">
            <v>32081253.210000001</v>
          </cell>
        </row>
        <row r="264">
          <cell r="F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</row>
        <row r="266">
          <cell r="F266">
            <v>5000</v>
          </cell>
          <cell r="H266">
            <v>0</v>
          </cell>
          <cell r="I266">
            <v>5000</v>
          </cell>
          <cell r="J266">
            <v>0</v>
          </cell>
          <cell r="K266">
            <v>5000</v>
          </cell>
          <cell r="M266">
            <v>0</v>
          </cell>
        </row>
        <row r="267">
          <cell r="F267">
            <v>10645.13</v>
          </cell>
          <cell r="H267">
            <v>0</v>
          </cell>
          <cell r="I267">
            <v>10645.13</v>
          </cell>
          <cell r="J267">
            <v>0</v>
          </cell>
          <cell r="K267">
            <v>10645.13</v>
          </cell>
          <cell r="M267">
            <v>0</v>
          </cell>
        </row>
        <row r="268">
          <cell r="F268">
            <v>55643056.140000001</v>
          </cell>
          <cell r="H268">
            <v>0</v>
          </cell>
          <cell r="I268">
            <v>55643056.140000001</v>
          </cell>
          <cell r="J268">
            <v>0</v>
          </cell>
          <cell r="K268">
            <v>55643056.140000001</v>
          </cell>
          <cell r="M268">
            <v>102462959.5</v>
          </cell>
        </row>
        <row r="269">
          <cell r="F269">
            <v>35000</v>
          </cell>
          <cell r="H269">
            <v>0</v>
          </cell>
          <cell r="I269">
            <v>35000</v>
          </cell>
          <cell r="J269">
            <v>0</v>
          </cell>
          <cell r="K269">
            <v>35000</v>
          </cell>
          <cell r="M269">
            <v>2904946.43</v>
          </cell>
        </row>
        <row r="270">
          <cell r="F270">
            <v>55693701.270000003</v>
          </cell>
          <cell r="H270">
            <v>0</v>
          </cell>
          <cell r="I270">
            <v>55693701.270000003</v>
          </cell>
          <cell r="J270">
            <v>0</v>
          </cell>
          <cell r="K270">
            <v>55693701.270000003</v>
          </cell>
          <cell r="M270">
            <v>105367905.93000001</v>
          </cell>
        </row>
        <row r="272">
          <cell r="F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</row>
        <row r="274">
          <cell r="F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</row>
        <row r="276">
          <cell r="F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M276">
            <v>83353621.709999993</v>
          </cell>
        </row>
        <row r="277">
          <cell r="F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M277">
            <v>83353621.709999993</v>
          </cell>
        </row>
        <row r="279">
          <cell r="F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M279">
            <v>0</v>
          </cell>
        </row>
        <row r="281">
          <cell r="F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M281">
            <v>0</v>
          </cell>
        </row>
        <row r="283">
          <cell r="F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M283">
            <v>48110.41</v>
          </cell>
        </row>
        <row r="284">
          <cell r="F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M284">
            <v>30908</v>
          </cell>
        </row>
        <row r="285">
          <cell r="F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M285">
            <v>79018.41</v>
          </cell>
        </row>
        <row r="287">
          <cell r="F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M287">
            <v>152846182</v>
          </cell>
        </row>
        <row r="288">
          <cell r="F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M288">
            <v>152846182</v>
          </cell>
        </row>
        <row r="290">
          <cell r="F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M290">
            <v>0</v>
          </cell>
        </row>
        <row r="292">
          <cell r="F292">
            <v>1523353.32</v>
          </cell>
          <cell r="H292">
            <v>0</v>
          </cell>
          <cell r="I292">
            <v>1523353.32</v>
          </cell>
          <cell r="J292">
            <v>0</v>
          </cell>
          <cell r="K292">
            <v>1523353.32</v>
          </cell>
          <cell r="M292">
            <v>17385504.210000001</v>
          </cell>
        </row>
        <row r="293">
          <cell r="F293">
            <v>1523353.32</v>
          </cell>
          <cell r="H293">
            <v>0</v>
          </cell>
          <cell r="I293">
            <v>1523353.32</v>
          </cell>
          <cell r="J293">
            <v>0</v>
          </cell>
          <cell r="K293">
            <v>1523353.32</v>
          </cell>
          <cell r="M293">
            <v>17385504.210000001</v>
          </cell>
        </row>
        <row r="295">
          <cell r="F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M295">
            <v>0</v>
          </cell>
        </row>
        <row r="297">
          <cell r="F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M297">
            <v>0</v>
          </cell>
        </row>
        <row r="299">
          <cell r="F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M299">
            <v>64374415.280000001</v>
          </cell>
        </row>
        <row r="300">
          <cell r="F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M300">
            <v>431100</v>
          </cell>
        </row>
        <row r="301">
          <cell r="F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M301">
            <v>64805515.280000001</v>
          </cell>
        </row>
        <row r="303">
          <cell r="F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</row>
        <row r="305">
          <cell r="F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M305">
            <v>0</v>
          </cell>
        </row>
        <row r="307">
          <cell r="F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M307">
            <v>0</v>
          </cell>
        </row>
        <row r="309">
          <cell r="F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M309">
            <v>0</v>
          </cell>
        </row>
        <row r="311">
          <cell r="F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M311">
            <v>0</v>
          </cell>
        </row>
        <row r="313">
          <cell r="F313">
            <v>553070</v>
          </cell>
          <cell r="H313">
            <v>0</v>
          </cell>
          <cell r="I313">
            <v>553070</v>
          </cell>
          <cell r="J313">
            <v>0</v>
          </cell>
          <cell r="K313">
            <v>553070</v>
          </cell>
          <cell r="M313">
            <v>3000</v>
          </cell>
        </row>
        <row r="314">
          <cell r="F314">
            <v>319654</v>
          </cell>
          <cell r="H314">
            <v>0</v>
          </cell>
          <cell r="I314">
            <v>319654</v>
          </cell>
          <cell r="J314">
            <v>0</v>
          </cell>
          <cell r="K314">
            <v>319654</v>
          </cell>
          <cell r="M314">
            <v>498840</v>
          </cell>
        </row>
        <row r="315">
          <cell r="F315">
            <v>432801.91</v>
          </cell>
          <cell r="H315">
            <v>0</v>
          </cell>
          <cell r="I315">
            <v>432801.91</v>
          </cell>
          <cell r="J315">
            <v>0</v>
          </cell>
          <cell r="K315">
            <v>432801.91</v>
          </cell>
          <cell r="M315">
            <v>214595.18</v>
          </cell>
        </row>
        <row r="316">
          <cell r="F316">
            <v>1305525.9099999999</v>
          </cell>
          <cell r="H316">
            <v>0</v>
          </cell>
          <cell r="I316">
            <v>1305525.9099999999</v>
          </cell>
          <cell r="J316">
            <v>0</v>
          </cell>
          <cell r="K316">
            <v>1305525.9099999999</v>
          </cell>
          <cell r="M316">
            <v>716435.17999999993</v>
          </cell>
        </row>
        <row r="318">
          <cell r="F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</row>
        <row r="320">
          <cell r="F320">
            <v>3082759.15</v>
          </cell>
          <cell r="H320">
            <v>138189.99</v>
          </cell>
          <cell r="I320">
            <v>3220949.14</v>
          </cell>
          <cell r="J320">
            <v>0</v>
          </cell>
          <cell r="K320">
            <v>3220949.14</v>
          </cell>
          <cell r="M320">
            <v>0</v>
          </cell>
        </row>
        <row r="321">
          <cell r="F321">
            <v>1035252.23</v>
          </cell>
          <cell r="H321">
            <v>0</v>
          </cell>
          <cell r="I321">
            <v>1035252.23</v>
          </cell>
          <cell r="J321">
            <v>0</v>
          </cell>
          <cell r="K321">
            <v>1035252.23</v>
          </cell>
          <cell r="M321">
            <v>0</v>
          </cell>
        </row>
        <row r="322">
          <cell r="F322">
            <v>177500</v>
          </cell>
          <cell r="H322">
            <v>0</v>
          </cell>
          <cell r="I322">
            <v>177500</v>
          </cell>
          <cell r="J322">
            <v>0</v>
          </cell>
          <cell r="K322">
            <v>177500</v>
          </cell>
          <cell r="M322">
            <v>0</v>
          </cell>
        </row>
        <row r="323">
          <cell r="F323">
            <v>113314.92</v>
          </cell>
          <cell r="H323">
            <v>0</v>
          </cell>
          <cell r="I323">
            <v>113314.92</v>
          </cell>
          <cell r="J323">
            <v>0</v>
          </cell>
          <cell r="K323">
            <v>113314.92</v>
          </cell>
          <cell r="M323">
            <v>117345</v>
          </cell>
        </row>
        <row r="324">
          <cell r="F324">
            <v>4408826.3</v>
          </cell>
          <cell r="H324">
            <v>138189.99</v>
          </cell>
          <cell r="I324">
            <v>4547016.29</v>
          </cell>
          <cell r="J324">
            <v>0</v>
          </cell>
          <cell r="K324">
            <v>4547016.29</v>
          </cell>
          <cell r="M324">
            <v>117345</v>
          </cell>
        </row>
        <row r="326">
          <cell r="F326">
            <v>26171787.899999999</v>
          </cell>
          <cell r="H326">
            <v>0</v>
          </cell>
          <cell r="I326">
            <v>26171787.899999999</v>
          </cell>
          <cell r="J326">
            <v>0</v>
          </cell>
          <cell r="K326">
            <v>26171787.899999999</v>
          </cell>
          <cell r="M326">
            <v>0</v>
          </cell>
        </row>
        <row r="327">
          <cell r="F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M327">
            <v>6851823.21</v>
          </cell>
        </row>
        <row r="328">
          <cell r="F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8635329.4499999993</v>
          </cell>
        </row>
        <row r="329">
          <cell r="F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M329">
            <v>547850</v>
          </cell>
        </row>
        <row r="330">
          <cell r="F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M330">
            <v>530300</v>
          </cell>
        </row>
        <row r="331">
          <cell r="F331">
            <v>2936852.06</v>
          </cell>
          <cell r="H331">
            <v>0</v>
          </cell>
          <cell r="I331">
            <v>2936852.06</v>
          </cell>
          <cell r="J331">
            <v>0</v>
          </cell>
          <cell r="K331">
            <v>2936852.06</v>
          </cell>
          <cell r="M331">
            <v>1500812.19</v>
          </cell>
        </row>
        <row r="332">
          <cell r="F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M332">
            <v>8039403.3799999999</v>
          </cell>
        </row>
        <row r="333">
          <cell r="F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M333">
            <v>866002.11</v>
          </cell>
        </row>
        <row r="334">
          <cell r="F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M334">
            <v>3414788.15</v>
          </cell>
        </row>
        <row r="335">
          <cell r="F335">
            <v>3808953.25</v>
          </cell>
          <cell r="H335">
            <v>0</v>
          </cell>
          <cell r="I335">
            <v>3808953.25</v>
          </cell>
          <cell r="J335">
            <v>11000</v>
          </cell>
          <cell r="K335">
            <v>3819953.25</v>
          </cell>
          <cell r="M335">
            <v>1511332.62</v>
          </cell>
        </row>
        <row r="336">
          <cell r="F336">
            <v>2210715.92</v>
          </cell>
          <cell r="H336">
            <v>0</v>
          </cell>
          <cell r="I336">
            <v>2210715.92</v>
          </cell>
          <cell r="J336">
            <v>0</v>
          </cell>
          <cell r="K336">
            <v>2210715.92</v>
          </cell>
          <cell r="M336">
            <v>978355.95</v>
          </cell>
        </row>
        <row r="337">
          <cell r="F337">
            <v>2381313.73</v>
          </cell>
          <cell r="H337">
            <v>0</v>
          </cell>
          <cell r="I337">
            <v>2381313.73</v>
          </cell>
          <cell r="J337">
            <v>0</v>
          </cell>
          <cell r="K337">
            <v>2381313.73</v>
          </cell>
          <cell r="M337">
            <v>459140</v>
          </cell>
        </row>
        <row r="338">
          <cell r="F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M338">
            <v>30772.49</v>
          </cell>
        </row>
        <row r="339">
          <cell r="F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M339">
            <v>41000</v>
          </cell>
        </row>
        <row r="340">
          <cell r="F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M340">
            <v>300739.73</v>
          </cell>
        </row>
        <row r="341">
          <cell r="F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M341">
            <v>8239039.9100000001</v>
          </cell>
        </row>
        <row r="342">
          <cell r="F342">
            <v>7852572.6299999999</v>
          </cell>
          <cell r="H342">
            <v>0</v>
          </cell>
          <cell r="I342">
            <v>7852572.6299999999</v>
          </cell>
          <cell r="J342">
            <v>0</v>
          </cell>
          <cell r="K342">
            <v>7852572.6299999999</v>
          </cell>
          <cell r="M342">
            <v>5657493.7599999998</v>
          </cell>
        </row>
        <row r="343">
          <cell r="F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M343">
            <v>1728500</v>
          </cell>
        </row>
        <row r="344">
          <cell r="F344">
            <v>12814129.57</v>
          </cell>
          <cell r="H344">
            <v>0</v>
          </cell>
          <cell r="I344">
            <v>12814129.57</v>
          </cell>
          <cell r="J344">
            <v>0</v>
          </cell>
          <cell r="K344">
            <v>12814129.57</v>
          </cell>
          <cell r="M344">
            <v>4614055.43</v>
          </cell>
        </row>
        <row r="345">
          <cell r="F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M345">
            <v>2216800.04</v>
          </cell>
        </row>
        <row r="346">
          <cell r="F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M346">
            <v>608480.47</v>
          </cell>
        </row>
        <row r="347">
          <cell r="F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452313.32</v>
          </cell>
        </row>
        <row r="348">
          <cell r="F348">
            <v>90781.68</v>
          </cell>
          <cell r="H348">
            <v>0</v>
          </cell>
          <cell r="I348">
            <v>90781.68</v>
          </cell>
          <cell r="J348">
            <v>0</v>
          </cell>
          <cell r="K348">
            <v>90781.68</v>
          </cell>
          <cell r="M348">
            <v>181500</v>
          </cell>
        </row>
        <row r="349">
          <cell r="F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M349">
            <v>350230</v>
          </cell>
        </row>
        <row r="350">
          <cell r="F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M350">
            <v>655317.35</v>
          </cell>
        </row>
        <row r="351">
          <cell r="F351">
            <v>58267106.739999995</v>
          </cell>
          <cell r="H351">
            <v>0</v>
          </cell>
          <cell r="I351">
            <v>58267106.739999995</v>
          </cell>
          <cell r="J351">
            <v>11000</v>
          </cell>
          <cell r="K351">
            <v>58278106.739999995</v>
          </cell>
          <cell r="M351">
            <v>58411379.559999995</v>
          </cell>
        </row>
        <row r="353">
          <cell r="F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M353">
            <v>0</v>
          </cell>
        </row>
        <row r="355">
          <cell r="F355">
            <v>330203.63</v>
          </cell>
          <cell r="H355">
            <v>0</v>
          </cell>
          <cell r="I355">
            <v>330203.63</v>
          </cell>
          <cell r="J355">
            <v>0</v>
          </cell>
          <cell r="K355">
            <v>330203.63</v>
          </cell>
          <cell r="M355">
            <v>115697.64</v>
          </cell>
        </row>
        <row r="356">
          <cell r="F356">
            <v>0</v>
          </cell>
          <cell r="H356">
            <v>6896854.0800000001</v>
          </cell>
          <cell r="I356">
            <v>6896854.0800000001</v>
          </cell>
          <cell r="J356">
            <v>0</v>
          </cell>
          <cell r="K356">
            <v>6896854.0800000001</v>
          </cell>
          <cell r="M356">
            <v>79981.61</v>
          </cell>
        </row>
        <row r="357">
          <cell r="F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M357">
            <v>595979.18000000005</v>
          </cell>
        </row>
        <row r="358">
          <cell r="F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M358">
            <v>320.74</v>
          </cell>
        </row>
        <row r="359">
          <cell r="F359">
            <v>330203.63</v>
          </cell>
          <cell r="H359">
            <v>6896854.0800000001</v>
          </cell>
          <cell r="I359">
            <v>7227057.71</v>
          </cell>
          <cell r="J359">
            <v>0</v>
          </cell>
          <cell r="K359">
            <v>7227057.71</v>
          </cell>
          <cell r="M359">
            <v>791979.17</v>
          </cell>
        </row>
        <row r="361">
          <cell r="F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M361">
            <v>123700</v>
          </cell>
        </row>
        <row r="362">
          <cell r="F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M362">
            <v>8000</v>
          </cell>
        </row>
        <row r="363">
          <cell r="F363">
            <v>2416840</v>
          </cell>
          <cell r="H363">
            <v>142052</v>
          </cell>
          <cell r="I363">
            <v>2558892</v>
          </cell>
          <cell r="J363">
            <v>0</v>
          </cell>
          <cell r="K363">
            <v>2558892</v>
          </cell>
          <cell r="M363">
            <v>6459076</v>
          </cell>
        </row>
        <row r="364">
          <cell r="F364">
            <v>2416840</v>
          </cell>
          <cell r="H364">
            <v>142052</v>
          </cell>
          <cell r="I364">
            <v>2558892</v>
          </cell>
          <cell r="J364">
            <v>0</v>
          </cell>
          <cell r="K364">
            <v>2558892</v>
          </cell>
          <cell r="M364">
            <v>6590776</v>
          </cell>
        </row>
        <row r="366">
          <cell r="F366">
            <v>5918755.5899999999</v>
          </cell>
          <cell r="H366">
            <v>0</v>
          </cell>
          <cell r="I366">
            <v>5918755.5899999999</v>
          </cell>
          <cell r="J366">
            <v>0</v>
          </cell>
          <cell r="K366">
            <v>5918755.5899999999</v>
          </cell>
          <cell r="M366">
            <v>5388064.9299999997</v>
          </cell>
        </row>
        <row r="367">
          <cell r="F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M367">
            <v>231250</v>
          </cell>
        </row>
        <row r="368">
          <cell r="F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M368">
            <v>3902963.95</v>
          </cell>
        </row>
        <row r="369">
          <cell r="F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M369">
            <v>41970</v>
          </cell>
        </row>
        <row r="370">
          <cell r="F370">
            <v>412000</v>
          </cell>
          <cell r="H370">
            <v>0</v>
          </cell>
          <cell r="I370">
            <v>412000</v>
          </cell>
          <cell r="J370">
            <v>0</v>
          </cell>
          <cell r="K370">
            <v>412000</v>
          </cell>
          <cell r="M370">
            <v>1290975</v>
          </cell>
        </row>
        <row r="371">
          <cell r="F371">
            <v>737770</v>
          </cell>
          <cell r="H371">
            <v>0</v>
          </cell>
          <cell r="I371">
            <v>737770</v>
          </cell>
          <cell r="J371">
            <v>0</v>
          </cell>
          <cell r="K371">
            <v>737770</v>
          </cell>
          <cell r="M371">
            <v>1246777</v>
          </cell>
        </row>
        <row r="372">
          <cell r="F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M372">
            <v>200040</v>
          </cell>
        </row>
        <row r="373">
          <cell r="F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M373">
            <v>817480.5</v>
          </cell>
        </row>
        <row r="374">
          <cell r="F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M374">
            <v>1500</v>
          </cell>
        </row>
        <row r="375">
          <cell r="F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M375">
            <v>416758.95</v>
          </cell>
        </row>
        <row r="376">
          <cell r="F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M376">
            <v>493740</v>
          </cell>
        </row>
        <row r="377">
          <cell r="F377">
            <v>14540</v>
          </cell>
          <cell r="H377">
            <v>0</v>
          </cell>
          <cell r="I377">
            <v>14540</v>
          </cell>
          <cell r="J377">
            <v>0</v>
          </cell>
          <cell r="K377">
            <v>14540</v>
          </cell>
          <cell r="M377">
            <v>232300</v>
          </cell>
        </row>
        <row r="378"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338950</v>
          </cell>
        </row>
        <row r="379">
          <cell r="F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M379">
            <v>24500</v>
          </cell>
        </row>
        <row r="380">
          <cell r="F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M380">
            <v>184079.67</v>
          </cell>
        </row>
        <row r="381">
          <cell r="F381">
            <v>7083065.5899999999</v>
          </cell>
          <cell r="H381">
            <v>0</v>
          </cell>
          <cell r="I381">
            <v>7083065.5899999999</v>
          </cell>
          <cell r="J381">
            <v>0</v>
          </cell>
          <cell r="K381">
            <v>7083065.5899999999</v>
          </cell>
          <cell r="M381">
            <v>14811349.999999998</v>
          </cell>
        </row>
        <row r="383">
          <cell r="F383">
            <v>2334602.5</v>
          </cell>
          <cell r="H383">
            <v>0</v>
          </cell>
          <cell r="I383">
            <v>2334602.5</v>
          </cell>
          <cell r="J383">
            <v>0</v>
          </cell>
          <cell r="K383">
            <v>2334602.5</v>
          </cell>
          <cell r="M383">
            <v>0</v>
          </cell>
        </row>
        <row r="384"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37295</v>
          </cell>
        </row>
        <row r="385">
          <cell r="F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800</v>
          </cell>
        </row>
        <row r="386">
          <cell r="F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M386">
            <v>168618.5</v>
          </cell>
        </row>
        <row r="387">
          <cell r="F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M387">
            <v>233655</v>
          </cell>
        </row>
        <row r="388">
          <cell r="F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M388">
            <v>166465</v>
          </cell>
        </row>
        <row r="389">
          <cell r="F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M389">
            <v>20000</v>
          </cell>
        </row>
        <row r="390">
          <cell r="F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M390">
            <v>1216505</v>
          </cell>
        </row>
        <row r="391">
          <cell r="F391">
            <v>2334602.5</v>
          </cell>
          <cell r="H391">
            <v>0</v>
          </cell>
          <cell r="I391">
            <v>2334602.5</v>
          </cell>
          <cell r="J391">
            <v>0</v>
          </cell>
          <cell r="K391">
            <v>2334602.5</v>
          </cell>
          <cell r="M391">
            <v>1843338.5</v>
          </cell>
        </row>
        <row r="393">
          <cell r="F393">
            <v>789900</v>
          </cell>
          <cell r="H393">
            <v>0</v>
          </cell>
          <cell r="I393">
            <v>789900</v>
          </cell>
          <cell r="J393">
            <v>0</v>
          </cell>
          <cell r="K393">
            <v>789900</v>
          </cell>
          <cell r="M393">
            <v>1216110</v>
          </cell>
        </row>
        <row r="394">
          <cell r="F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M394">
            <v>140400</v>
          </cell>
        </row>
        <row r="395">
          <cell r="F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M395">
            <v>161800</v>
          </cell>
        </row>
        <row r="396">
          <cell r="F396">
            <v>789900</v>
          </cell>
          <cell r="H396">
            <v>0</v>
          </cell>
          <cell r="I396">
            <v>789900</v>
          </cell>
          <cell r="J396">
            <v>0</v>
          </cell>
          <cell r="K396">
            <v>789900</v>
          </cell>
          <cell r="M396">
            <v>1518310</v>
          </cell>
        </row>
        <row r="398">
          <cell r="F398">
            <v>1868060.11</v>
          </cell>
          <cell r="H398">
            <v>0</v>
          </cell>
          <cell r="I398">
            <v>1868060.11</v>
          </cell>
          <cell r="J398">
            <v>0</v>
          </cell>
          <cell r="K398">
            <v>1868060.11</v>
          </cell>
          <cell r="M398">
            <v>3848.9</v>
          </cell>
        </row>
        <row r="399">
          <cell r="F399">
            <v>1868060.11</v>
          </cell>
          <cell r="H399">
            <v>0</v>
          </cell>
          <cell r="I399">
            <v>1868060.11</v>
          </cell>
          <cell r="J399">
            <v>0</v>
          </cell>
          <cell r="K399">
            <v>1868060.11</v>
          </cell>
          <cell r="M399">
            <v>3848.9</v>
          </cell>
        </row>
        <row r="401">
          <cell r="F401">
            <v>4857804.43</v>
          </cell>
          <cell r="H401">
            <v>0</v>
          </cell>
          <cell r="I401">
            <v>4857804.43</v>
          </cell>
          <cell r="J401">
            <v>0</v>
          </cell>
          <cell r="K401">
            <v>4857804.43</v>
          </cell>
          <cell r="M401">
            <v>0</v>
          </cell>
        </row>
        <row r="402">
          <cell r="F402">
            <v>141678.48000000001</v>
          </cell>
          <cell r="H402">
            <v>0</v>
          </cell>
          <cell r="I402">
            <v>141678.48000000001</v>
          </cell>
          <cell r="J402">
            <v>0</v>
          </cell>
          <cell r="K402">
            <v>141678.48000000001</v>
          </cell>
          <cell r="M402">
            <v>0</v>
          </cell>
        </row>
        <row r="403">
          <cell r="F403">
            <v>712025</v>
          </cell>
          <cell r="H403">
            <v>0</v>
          </cell>
          <cell r="I403">
            <v>712025</v>
          </cell>
          <cell r="J403">
            <v>0</v>
          </cell>
          <cell r="K403">
            <v>712025</v>
          </cell>
          <cell r="M403">
            <v>0</v>
          </cell>
        </row>
        <row r="404">
          <cell r="F404">
            <v>277119.43</v>
          </cell>
          <cell r="H404">
            <v>0</v>
          </cell>
          <cell r="I404">
            <v>277119.43</v>
          </cell>
          <cell r="J404">
            <v>-277119.43</v>
          </cell>
          <cell r="K404">
            <v>0</v>
          </cell>
          <cell r="M404">
            <v>0</v>
          </cell>
        </row>
        <row r="405">
          <cell r="F405">
            <v>522000</v>
          </cell>
          <cell r="H405">
            <v>0</v>
          </cell>
          <cell r="I405">
            <v>522000</v>
          </cell>
          <cell r="J405">
            <v>0</v>
          </cell>
          <cell r="K405">
            <v>522000</v>
          </cell>
          <cell r="M405">
            <v>0</v>
          </cell>
        </row>
        <row r="406">
          <cell r="F406">
            <v>29400</v>
          </cell>
          <cell r="H406">
            <v>0</v>
          </cell>
          <cell r="I406">
            <v>29400</v>
          </cell>
          <cell r="J406">
            <v>0</v>
          </cell>
          <cell r="K406">
            <v>29400</v>
          </cell>
          <cell r="M406">
            <v>7500</v>
          </cell>
        </row>
        <row r="407">
          <cell r="F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M407">
            <v>32500</v>
          </cell>
        </row>
        <row r="408">
          <cell r="F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M408">
            <v>281428.75</v>
          </cell>
        </row>
        <row r="409">
          <cell r="F409">
            <v>58000</v>
          </cell>
          <cell r="H409">
            <v>0</v>
          </cell>
          <cell r="I409">
            <v>58000</v>
          </cell>
          <cell r="J409">
            <v>0</v>
          </cell>
          <cell r="K409">
            <v>58000</v>
          </cell>
          <cell r="M409">
            <v>36500</v>
          </cell>
        </row>
        <row r="410">
          <cell r="F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M410">
            <v>2761719.06</v>
          </cell>
        </row>
        <row r="411">
          <cell r="F411">
            <v>2990395.54</v>
          </cell>
          <cell r="H411">
            <v>0</v>
          </cell>
          <cell r="I411">
            <v>2990395.54</v>
          </cell>
          <cell r="J411">
            <v>23000</v>
          </cell>
          <cell r="K411">
            <v>3013395.54</v>
          </cell>
          <cell r="M411">
            <v>0</v>
          </cell>
        </row>
        <row r="412">
          <cell r="F412">
            <v>9588422.879999999</v>
          </cell>
          <cell r="H412">
            <v>0</v>
          </cell>
          <cell r="I412">
            <v>9588422.879999999</v>
          </cell>
          <cell r="J412">
            <v>-254119.43</v>
          </cell>
          <cell r="K412">
            <v>9334303.4499999993</v>
          </cell>
          <cell r="M412">
            <v>3119647.81</v>
          </cell>
        </row>
        <row r="414"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M414">
            <v>823671.3</v>
          </cell>
        </row>
        <row r="415">
          <cell r="F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M415">
            <v>385503.53</v>
          </cell>
        </row>
        <row r="416">
          <cell r="F416">
            <v>63512.72</v>
          </cell>
          <cell r="H416">
            <v>234081.56</v>
          </cell>
          <cell r="I416">
            <v>297594.28000000003</v>
          </cell>
          <cell r="J416">
            <v>36956.800000000003</v>
          </cell>
          <cell r="K416">
            <v>334551.08</v>
          </cell>
          <cell r="M416">
            <v>71593.56</v>
          </cell>
        </row>
        <row r="417">
          <cell r="F417">
            <v>276786</v>
          </cell>
          <cell r="H417">
            <v>574670.21</v>
          </cell>
          <cell r="I417">
            <v>851456.21</v>
          </cell>
          <cell r="J417">
            <v>0</v>
          </cell>
          <cell r="K417">
            <v>851456.21</v>
          </cell>
          <cell r="M417">
            <v>503419.84</v>
          </cell>
        </row>
        <row r="418">
          <cell r="F418">
            <v>1664590.16</v>
          </cell>
          <cell r="H418">
            <v>722807.59</v>
          </cell>
          <cell r="I418">
            <v>2387397.75</v>
          </cell>
          <cell r="J418">
            <v>0</v>
          </cell>
          <cell r="K418">
            <v>2387397.75</v>
          </cell>
          <cell r="M418">
            <v>3980510</v>
          </cell>
        </row>
        <row r="419">
          <cell r="F419">
            <v>0</v>
          </cell>
          <cell r="H419">
            <v>546505</v>
          </cell>
          <cell r="I419">
            <v>546505</v>
          </cell>
          <cell r="J419">
            <v>0</v>
          </cell>
          <cell r="K419">
            <v>546505</v>
          </cell>
          <cell r="M419">
            <v>661050</v>
          </cell>
        </row>
        <row r="420">
          <cell r="F420">
            <v>2004888.88</v>
          </cell>
          <cell r="H420">
            <v>2078064.3599999999</v>
          </cell>
          <cell r="I420">
            <v>4082953.24</v>
          </cell>
          <cell r="J420">
            <v>36956.800000000003</v>
          </cell>
          <cell r="K420">
            <v>4119910.04</v>
          </cell>
          <cell r="M420">
            <v>6425748.2300000004</v>
          </cell>
        </row>
        <row r="422">
          <cell r="F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M422">
            <v>1030532.61</v>
          </cell>
        </row>
        <row r="423">
          <cell r="F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M423">
            <v>53776458.030000001</v>
          </cell>
        </row>
        <row r="424">
          <cell r="F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M424">
            <v>0</v>
          </cell>
        </row>
        <row r="425">
          <cell r="F425">
            <v>30000</v>
          </cell>
          <cell r="H425">
            <v>0</v>
          </cell>
          <cell r="I425">
            <v>30000</v>
          </cell>
          <cell r="J425">
            <v>0</v>
          </cell>
          <cell r="K425">
            <v>30000</v>
          </cell>
          <cell r="M425">
            <v>0</v>
          </cell>
        </row>
        <row r="426">
          <cell r="F426">
            <v>0</v>
          </cell>
          <cell r="H426">
            <v>6660031.3899999997</v>
          </cell>
          <cell r="I426">
            <v>6660031.3899999997</v>
          </cell>
          <cell r="J426">
            <v>0</v>
          </cell>
          <cell r="K426">
            <v>6660031.3899999997</v>
          </cell>
          <cell r="M426">
            <v>0</v>
          </cell>
        </row>
        <row r="427">
          <cell r="F427">
            <v>0</v>
          </cell>
          <cell r="H427">
            <v>11019270.6</v>
          </cell>
          <cell r="I427">
            <v>11019270.6</v>
          </cell>
          <cell r="J427">
            <v>0</v>
          </cell>
          <cell r="K427">
            <v>11019270.6</v>
          </cell>
          <cell r="M427">
            <v>0</v>
          </cell>
        </row>
        <row r="428">
          <cell r="F428">
            <v>36348967.299999997</v>
          </cell>
          <cell r="H428">
            <v>46932412.759999998</v>
          </cell>
          <cell r="I428">
            <v>83281380.060000002</v>
          </cell>
          <cell r="J428">
            <v>0</v>
          </cell>
          <cell r="K428">
            <v>83281380.060000002</v>
          </cell>
          <cell r="M428">
            <v>11876916.220000001</v>
          </cell>
        </row>
        <row r="429">
          <cell r="F429">
            <v>36378967.299999997</v>
          </cell>
          <cell r="H429">
            <v>64611714.75</v>
          </cell>
          <cell r="I429">
            <v>100990682.05</v>
          </cell>
          <cell r="J429">
            <v>0</v>
          </cell>
          <cell r="K429">
            <v>100990682.05</v>
          </cell>
          <cell r="M429">
            <v>66683906.859999999</v>
          </cell>
        </row>
        <row r="431">
          <cell r="F431">
            <v>4628013.08</v>
          </cell>
          <cell r="H431">
            <v>0</v>
          </cell>
          <cell r="I431">
            <v>4628013.08</v>
          </cell>
          <cell r="J431">
            <v>-551356.82999999996</v>
          </cell>
          <cell r="K431">
            <v>4076656.25</v>
          </cell>
          <cell r="M431">
            <v>0</v>
          </cell>
        </row>
        <row r="432">
          <cell r="F432">
            <v>4628013.08</v>
          </cell>
          <cell r="H432">
            <v>0</v>
          </cell>
          <cell r="I432">
            <v>4628013.08</v>
          </cell>
          <cell r="J432">
            <v>-551356.82999999996</v>
          </cell>
          <cell r="K432">
            <v>4076656.25</v>
          </cell>
          <cell r="M432">
            <v>0</v>
          </cell>
        </row>
        <row r="434">
          <cell r="F434">
            <v>13816506.65</v>
          </cell>
          <cell r="H434">
            <v>0</v>
          </cell>
          <cell r="I434">
            <v>13816506.65</v>
          </cell>
          <cell r="J434">
            <v>0</v>
          </cell>
          <cell r="K434">
            <v>13816506.65</v>
          </cell>
          <cell r="M434">
            <v>11921613.550000001</v>
          </cell>
        </row>
        <row r="435">
          <cell r="F435">
            <v>13816506.65</v>
          </cell>
          <cell r="H435">
            <v>0</v>
          </cell>
          <cell r="I435">
            <v>13816506.65</v>
          </cell>
          <cell r="J435">
            <v>0</v>
          </cell>
          <cell r="K435">
            <v>13816506.65</v>
          </cell>
          <cell r="M435">
            <v>11921613.550000001</v>
          </cell>
        </row>
        <row r="437">
          <cell r="F437">
            <v>2000</v>
          </cell>
          <cell r="H437">
            <v>0</v>
          </cell>
          <cell r="I437">
            <v>2000</v>
          </cell>
          <cell r="J437">
            <v>0</v>
          </cell>
          <cell r="K437">
            <v>2000</v>
          </cell>
          <cell r="M437">
            <v>0</v>
          </cell>
        </row>
        <row r="438">
          <cell r="F438">
            <v>-710366.26</v>
          </cell>
          <cell r="H438">
            <v>0</v>
          </cell>
          <cell r="I438">
            <v>-710366.26</v>
          </cell>
          <cell r="J438">
            <v>828476.26</v>
          </cell>
          <cell r="K438">
            <v>118110</v>
          </cell>
          <cell r="M438">
            <v>0</v>
          </cell>
        </row>
        <row r="439">
          <cell r="F439">
            <v>3187749.39</v>
          </cell>
          <cell r="H439">
            <v>0</v>
          </cell>
          <cell r="I439">
            <v>3187749.39</v>
          </cell>
          <cell r="J439">
            <v>0</v>
          </cell>
          <cell r="K439">
            <v>3187749.39</v>
          </cell>
          <cell r="M439">
            <v>7271022.5599999996</v>
          </cell>
        </row>
        <row r="440">
          <cell r="F440">
            <v>2751744.5</v>
          </cell>
          <cell r="H440">
            <v>0</v>
          </cell>
          <cell r="I440">
            <v>2751744.5</v>
          </cell>
          <cell r="J440">
            <v>102500</v>
          </cell>
          <cell r="K440">
            <v>2854244.5</v>
          </cell>
          <cell r="M440">
            <v>4577944.97</v>
          </cell>
        </row>
        <row r="441">
          <cell r="F441">
            <v>519465</v>
          </cell>
          <cell r="H441">
            <v>0</v>
          </cell>
          <cell r="I441">
            <v>519465</v>
          </cell>
          <cell r="J441">
            <v>28000</v>
          </cell>
          <cell r="K441">
            <v>547465</v>
          </cell>
          <cell r="M441">
            <v>253831.04000000001</v>
          </cell>
        </row>
        <row r="442">
          <cell r="F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M442">
            <v>140600</v>
          </cell>
        </row>
        <row r="443">
          <cell r="F443">
            <v>104400</v>
          </cell>
          <cell r="H443">
            <v>0</v>
          </cell>
          <cell r="I443">
            <v>104400</v>
          </cell>
          <cell r="J443">
            <v>229350</v>
          </cell>
          <cell r="K443">
            <v>333750</v>
          </cell>
          <cell r="M443">
            <v>923690.17</v>
          </cell>
        </row>
        <row r="444">
          <cell r="F444">
            <v>5854992.6299999999</v>
          </cell>
          <cell r="H444">
            <v>0</v>
          </cell>
          <cell r="I444">
            <v>5854992.6299999999</v>
          </cell>
          <cell r="J444">
            <v>1188326.26</v>
          </cell>
          <cell r="K444">
            <v>7043318.8900000006</v>
          </cell>
          <cell r="M444">
            <v>13167088.739999998</v>
          </cell>
        </row>
        <row r="446">
          <cell r="F446">
            <v>310797.5</v>
          </cell>
          <cell r="H446">
            <v>0</v>
          </cell>
          <cell r="I446">
            <v>310797.5</v>
          </cell>
          <cell r="J446">
            <v>0</v>
          </cell>
          <cell r="K446">
            <v>310797.5</v>
          </cell>
          <cell r="M446">
            <v>826695</v>
          </cell>
        </row>
        <row r="447">
          <cell r="F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M447">
            <v>28450</v>
          </cell>
        </row>
        <row r="448">
          <cell r="F448">
            <v>310797.5</v>
          </cell>
          <cell r="H448">
            <v>0</v>
          </cell>
          <cell r="I448">
            <v>310797.5</v>
          </cell>
          <cell r="J448">
            <v>0</v>
          </cell>
          <cell r="K448">
            <v>310797.5</v>
          </cell>
          <cell r="M448">
            <v>855145</v>
          </cell>
        </row>
        <row r="450">
          <cell r="F450">
            <v>18250</v>
          </cell>
          <cell r="H450">
            <v>0</v>
          </cell>
          <cell r="I450">
            <v>18250</v>
          </cell>
          <cell r="J450">
            <v>0</v>
          </cell>
          <cell r="K450">
            <v>18250</v>
          </cell>
          <cell r="M450">
            <v>0</v>
          </cell>
        </row>
        <row r="451">
          <cell r="F451">
            <v>455000</v>
          </cell>
          <cell r="H451">
            <v>0</v>
          </cell>
          <cell r="I451">
            <v>455000</v>
          </cell>
          <cell r="J451">
            <v>0</v>
          </cell>
          <cell r="K451">
            <v>455000</v>
          </cell>
          <cell r="M451">
            <v>240000</v>
          </cell>
        </row>
        <row r="452">
          <cell r="F452">
            <v>410000</v>
          </cell>
          <cell r="H452">
            <v>0</v>
          </cell>
          <cell r="I452">
            <v>410000</v>
          </cell>
          <cell r="J452">
            <v>0</v>
          </cell>
          <cell r="K452">
            <v>410000</v>
          </cell>
          <cell r="M452">
            <v>240000</v>
          </cell>
        </row>
        <row r="453">
          <cell r="F453">
            <v>883250</v>
          </cell>
          <cell r="H453">
            <v>0</v>
          </cell>
          <cell r="I453">
            <v>883250</v>
          </cell>
          <cell r="J453">
            <v>0</v>
          </cell>
          <cell r="K453">
            <v>883250</v>
          </cell>
          <cell r="M453">
            <v>480000</v>
          </cell>
        </row>
        <row r="455">
          <cell r="F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</row>
        <row r="457">
          <cell r="F457">
            <v>1180228.46</v>
          </cell>
          <cell r="H457">
            <v>45552.55</v>
          </cell>
          <cell r="I457">
            <v>1225781.01</v>
          </cell>
          <cell r="J457">
            <v>0</v>
          </cell>
          <cell r="K457">
            <v>1225781.01</v>
          </cell>
          <cell r="M457">
            <v>2914387.37</v>
          </cell>
        </row>
        <row r="458">
          <cell r="F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M458">
            <v>116433.33</v>
          </cell>
        </row>
        <row r="459">
          <cell r="F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M459">
            <v>107950</v>
          </cell>
        </row>
        <row r="460">
          <cell r="F460">
            <v>1180228.46</v>
          </cell>
          <cell r="H460">
            <v>45552.55</v>
          </cell>
          <cell r="I460">
            <v>1225781.01</v>
          </cell>
          <cell r="J460">
            <v>0</v>
          </cell>
          <cell r="K460">
            <v>1225781.01</v>
          </cell>
          <cell r="M460">
            <v>3138770.7</v>
          </cell>
        </row>
        <row r="462">
          <cell r="F462">
            <v>1253177.25</v>
          </cell>
          <cell r="H462">
            <v>0</v>
          </cell>
          <cell r="I462">
            <v>1253177.25</v>
          </cell>
          <cell r="J462">
            <v>0</v>
          </cell>
          <cell r="K462">
            <v>1253177.25</v>
          </cell>
          <cell r="M462">
            <v>2466518</v>
          </cell>
        </row>
        <row r="463">
          <cell r="F463">
            <v>144672.5</v>
          </cell>
          <cell r="H463">
            <v>0</v>
          </cell>
          <cell r="I463">
            <v>144672.5</v>
          </cell>
          <cell r="J463">
            <v>0</v>
          </cell>
          <cell r="K463">
            <v>144672.5</v>
          </cell>
          <cell r="M463">
            <v>876405</v>
          </cell>
        </row>
        <row r="464">
          <cell r="F464">
            <v>439640.97</v>
          </cell>
          <cell r="H464">
            <v>0</v>
          </cell>
          <cell r="I464">
            <v>439640.97</v>
          </cell>
          <cell r="J464">
            <v>0</v>
          </cell>
          <cell r="K464">
            <v>439640.97</v>
          </cell>
          <cell r="M464">
            <v>1055986.03</v>
          </cell>
        </row>
        <row r="465">
          <cell r="F465">
            <v>1837490.72</v>
          </cell>
          <cell r="H465">
            <v>0</v>
          </cell>
          <cell r="I465">
            <v>1837490.72</v>
          </cell>
          <cell r="J465">
            <v>0</v>
          </cell>
          <cell r="K465">
            <v>1837490.72</v>
          </cell>
          <cell r="M465">
            <v>4398909.03</v>
          </cell>
        </row>
        <row r="467">
          <cell r="F467">
            <v>1773064.6</v>
          </cell>
          <cell r="H467">
            <v>0</v>
          </cell>
          <cell r="I467">
            <v>1773064.6</v>
          </cell>
          <cell r="J467">
            <v>0</v>
          </cell>
          <cell r="K467">
            <v>1773064.6</v>
          </cell>
          <cell r="M467">
            <v>1610025</v>
          </cell>
        </row>
        <row r="468">
          <cell r="F468">
            <v>950000</v>
          </cell>
          <cell r="H468">
            <v>0</v>
          </cell>
          <cell r="I468">
            <v>950000</v>
          </cell>
          <cell r="J468">
            <v>0</v>
          </cell>
          <cell r="K468">
            <v>950000</v>
          </cell>
          <cell r="M468">
            <v>1152000</v>
          </cell>
        </row>
        <row r="469">
          <cell r="F469">
            <v>2723064.6</v>
          </cell>
          <cell r="H469">
            <v>0</v>
          </cell>
          <cell r="I469">
            <v>2723064.6</v>
          </cell>
          <cell r="J469">
            <v>0</v>
          </cell>
          <cell r="K469">
            <v>2723064.6</v>
          </cell>
          <cell r="M469">
            <v>2762025</v>
          </cell>
        </row>
        <row r="471">
          <cell r="F471">
            <v>700000</v>
          </cell>
          <cell r="H471">
            <v>4300000</v>
          </cell>
          <cell r="I471">
            <v>5000000</v>
          </cell>
          <cell r="J471">
            <v>0</v>
          </cell>
          <cell r="K471">
            <v>5000000</v>
          </cell>
          <cell r="M471">
            <v>3000000</v>
          </cell>
        </row>
        <row r="472">
          <cell r="F472">
            <v>700000</v>
          </cell>
          <cell r="H472">
            <v>4300000</v>
          </cell>
          <cell r="I472">
            <v>5000000</v>
          </cell>
          <cell r="J472">
            <v>0</v>
          </cell>
          <cell r="K472">
            <v>5000000</v>
          </cell>
          <cell r="M472">
            <v>3000000</v>
          </cell>
        </row>
        <row r="474">
          <cell r="F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M474">
            <v>1721168.33</v>
          </cell>
        </row>
        <row r="475">
          <cell r="F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M475">
            <v>1721168.33</v>
          </cell>
        </row>
        <row r="477">
          <cell r="F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M477">
            <v>66960.3</v>
          </cell>
        </row>
        <row r="478">
          <cell r="F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66960.3</v>
          </cell>
        </row>
        <row r="480">
          <cell r="F480">
            <v>1216400</v>
          </cell>
          <cell r="H480">
            <v>0</v>
          </cell>
          <cell r="I480">
            <v>1216400</v>
          </cell>
          <cell r="J480">
            <v>0</v>
          </cell>
          <cell r="K480">
            <v>1216400</v>
          </cell>
          <cell r="M480">
            <v>819800</v>
          </cell>
        </row>
        <row r="481">
          <cell r="F481">
            <v>2863835</v>
          </cell>
          <cell r="H481">
            <v>0</v>
          </cell>
          <cell r="I481">
            <v>2863835</v>
          </cell>
          <cell r="J481">
            <v>0</v>
          </cell>
          <cell r="K481">
            <v>2863835</v>
          </cell>
          <cell r="M481">
            <v>4998500</v>
          </cell>
        </row>
        <row r="482">
          <cell r="F482">
            <v>-422421.18</v>
          </cell>
          <cell r="H482">
            <v>0</v>
          </cell>
          <cell r="I482">
            <v>-422421.18</v>
          </cell>
          <cell r="J482">
            <v>0</v>
          </cell>
          <cell r="K482">
            <v>-422421.18</v>
          </cell>
          <cell r="M482">
            <v>153315</v>
          </cell>
        </row>
        <row r="483">
          <cell r="F483">
            <v>3657813.82</v>
          </cell>
          <cell r="H483">
            <v>0</v>
          </cell>
          <cell r="I483">
            <v>3657813.82</v>
          </cell>
          <cell r="J483">
            <v>0</v>
          </cell>
          <cell r="K483">
            <v>3657813.82</v>
          </cell>
          <cell r="M483">
            <v>5971615</v>
          </cell>
        </row>
        <row r="485">
          <cell r="F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M485">
            <v>6561183.3300000001</v>
          </cell>
        </row>
        <row r="486">
          <cell r="F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M486">
            <v>6561183.3300000001</v>
          </cell>
        </row>
        <row r="488">
          <cell r="F488">
            <v>1100660.8700000001</v>
          </cell>
          <cell r="H488">
            <v>55794.89</v>
          </cell>
          <cell r="I488">
            <v>1156455.76</v>
          </cell>
          <cell r="J488">
            <v>0</v>
          </cell>
          <cell r="K488">
            <v>1156455.76</v>
          </cell>
          <cell r="M488">
            <v>7490000</v>
          </cell>
        </row>
        <row r="489">
          <cell r="F489">
            <v>5668304.3700000001</v>
          </cell>
          <cell r="H489">
            <v>891274.46</v>
          </cell>
          <cell r="I489">
            <v>6559578.8300000001</v>
          </cell>
          <cell r="J489">
            <v>0</v>
          </cell>
          <cell r="K489">
            <v>6559578.8300000001</v>
          </cell>
          <cell r="M489">
            <v>43804065</v>
          </cell>
        </row>
        <row r="490">
          <cell r="F490">
            <v>6768965.2400000002</v>
          </cell>
          <cell r="H490">
            <v>947069.35</v>
          </cell>
          <cell r="I490">
            <v>7716034.5899999999</v>
          </cell>
          <cell r="J490">
            <v>0</v>
          </cell>
          <cell r="K490">
            <v>7716034.5899999999</v>
          </cell>
          <cell r="M490">
            <v>51294065</v>
          </cell>
        </row>
        <row r="492">
          <cell r="F492">
            <v>420250</v>
          </cell>
          <cell r="H492">
            <v>0</v>
          </cell>
          <cell r="I492">
            <v>420250</v>
          </cell>
          <cell r="J492">
            <v>0</v>
          </cell>
          <cell r="K492">
            <v>420250</v>
          </cell>
          <cell r="M492">
            <v>561980</v>
          </cell>
        </row>
        <row r="493">
          <cell r="F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M493">
            <v>280000</v>
          </cell>
        </row>
        <row r="494">
          <cell r="F494">
            <v>420250</v>
          </cell>
          <cell r="H494">
            <v>0</v>
          </cell>
          <cell r="I494">
            <v>420250</v>
          </cell>
          <cell r="J494">
            <v>0</v>
          </cell>
          <cell r="K494">
            <v>420250</v>
          </cell>
          <cell r="M494">
            <v>841980</v>
          </cell>
        </row>
        <row r="496">
          <cell r="F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M496">
            <v>0</v>
          </cell>
        </row>
        <row r="498">
          <cell r="F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M498">
            <v>0</v>
          </cell>
        </row>
        <row r="500">
          <cell r="F500">
            <v>199230</v>
          </cell>
          <cell r="H500">
            <v>0</v>
          </cell>
          <cell r="I500">
            <v>199230</v>
          </cell>
          <cell r="J500">
            <v>0</v>
          </cell>
          <cell r="K500">
            <v>199230</v>
          </cell>
          <cell r="M500">
            <v>223125.85</v>
          </cell>
        </row>
        <row r="501">
          <cell r="F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26070</v>
          </cell>
        </row>
        <row r="502">
          <cell r="F502">
            <v>199230</v>
          </cell>
          <cell r="H502">
            <v>0</v>
          </cell>
          <cell r="I502">
            <v>199230</v>
          </cell>
          <cell r="J502">
            <v>0</v>
          </cell>
          <cell r="K502">
            <v>199230</v>
          </cell>
          <cell r="M502">
            <v>249195.85</v>
          </cell>
        </row>
        <row r="504">
          <cell r="F504">
            <v>3052000</v>
          </cell>
          <cell r="H504">
            <v>0</v>
          </cell>
          <cell r="I504">
            <v>3052000</v>
          </cell>
          <cell r="J504">
            <v>0</v>
          </cell>
          <cell r="K504">
            <v>3052000</v>
          </cell>
          <cell r="M504">
            <v>2439800.16</v>
          </cell>
        </row>
        <row r="505">
          <cell r="F505">
            <v>3052000</v>
          </cell>
          <cell r="H505">
            <v>0</v>
          </cell>
          <cell r="I505">
            <v>3052000</v>
          </cell>
          <cell r="J505">
            <v>0</v>
          </cell>
          <cell r="K505">
            <v>3052000</v>
          </cell>
          <cell r="M505">
            <v>2439800.16</v>
          </cell>
        </row>
        <row r="507">
          <cell r="F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M507">
            <v>0</v>
          </cell>
        </row>
        <row r="509">
          <cell r="F509">
            <v>-452360</v>
          </cell>
          <cell r="H509">
            <v>0</v>
          </cell>
          <cell r="I509">
            <v>-452360</v>
          </cell>
          <cell r="J509">
            <v>0</v>
          </cell>
          <cell r="K509">
            <v>-452360</v>
          </cell>
          <cell r="M509">
            <v>0</v>
          </cell>
        </row>
        <row r="510">
          <cell r="F510">
            <v>-2447849.4</v>
          </cell>
          <cell r="H510">
            <v>0</v>
          </cell>
          <cell r="I510">
            <v>-2447849.4</v>
          </cell>
          <cell r="J510">
            <v>-393850</v>
          </cell>
          <cell r="K510">
            <v>-2841699.4</v>
          </cell>
          <cell r="M510">
            <v>-183300</v>
          </cell>
        </row>
        <row r="511">
          <cell r="F511">
            <v>-2220389.7200000002</v>
          </cell>
          <cell r="H511">
            <v>0</v>
          </cell>
          <cell r="I511">
            <v>-2220389.7200000002</v>
          </cell>
          <cell r="J511">
            <v>0</v>
          </cell>
          <cell r="K511">
            <v>-2220389.7200000002</v>
          </cell>
          <cell r="M511">
            <v>-10117409.33</v>
          </cell>
        </row>
        <row r="512">
          <cell r="F512">
            <v>-5120599.12</v>
          </cell>
          <cell r="H512">
            <v>0</v>
          </cell>
          <cell r="I512">
            <v>-5120599.12</v>
          </cell>
          <cell r="J512">
            <v>-393850</v>
          </cell>
          <cell r="K512">
            <v>-5514449.1200000001</v>
          </cell>
          <cell r="M512">
            <v>-10300709.33</v>
          </cell>
        </row>
        <row r="514">
          <cell r="F514">
            <v>4500</v>
          </cell>
          <cell r="H514">
            <v>0</v>
          </cell>
          <cell r="I514">
            <v>4500</v>
          </cell>
          <cell r="J514">
            <v>0</v>
          </cell>
          <cell r="K514">
            <v>4500</v>
          </cell>
          <cell r="M514">
            <v>204097.01</v>
          </cell>
        </row>
        <row r="515">
          <cell r="F515">
            <v>2642137.1</v>
          </cell>
          <cell r="H515">
            <v>0</v>
          </cell>
          <cell r="I515">
            <v>2642137.1</v>
          </cell>
          <cell r="J515">
            <v>0</v>
          </cell>
          <cell r="K515">
            <v>2642137.1</v>
          </cell>
          <cell r="M515">
            <v>4497672.1900000004</v>
          </cell>
        </row>
        <row r="516">
          <cell r="F516">
            <v>2646637.1</v>
          </cell>
          <cell r="H516">
            <v>0</v>
          </cell>
          <cell r="I516">
            <v>2646637.1</v>
          </cell>
          <cell r="J516">
            <v>0</v>
          </cell>
          <cell r="K516">
            <v>2646637.1</v>
          </cell>
          <cell r="M516">
            <v>4701769.2</v>
          </cell>
        </row>
        <row r="518">
          <cell r="F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M518">
            <v>0</v>
          </cell>
        </row>
        <row r="520">
          <cell r="F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</row>
        <row r="522">
          <cell r="F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</row>
        <row r="523">
          <cell r="F523">
            <v>5.1222741603851318E-9</v>
          </cell>
          <cell r="H523">
            <v>-6.1700120568275452E-9</v>
          </cell>
          <cell r="I523">
            <v>-1.5366822481155396E-8</v>
          </cell>
          <cell r="J523">
            <v>2.3283064365386963E-10</v>
          </cell>
          <cell r="K523">
            <v>-7.8696757555007935E-8</v>
          </cell>
          <cell r="M523">
            <v>30.219999958761036</v>
          </cell>
        </row>
      </sheetData>
      <sheetData sheetId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1630338.43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-150000</v>
          </cell>
        </row>
        <row r="5">
          <cell r="F5">
            <v>906001.55</v>
          </cell>
          <cell r="G5">
            <v>0</v>
          </cell>
          <cell r="H5">
            <v>906001.55</v>
          </cell>
          <cell r="I5">
            <v>0</v>
          </cell>
          <cell r="J5">
            <v>906001.55</v>
          </cell>
          <cell r="K5">
            <v>0</v>
          </cell>
        </row>
        <row r="6">
          <cell r="F6">
            <v>-398141.5</v>
          </cell>
          <cell r="G6">
            <v>0</v>
          </cell>
          <cell r="H6">
            <v>-398141.5</v>
          </cell>
          <cell r="I6">
            <v>0</v>
          </cell>
          <cell r="J6">
            <v>-398141.5</v>
          </cell>
          <cell r="K6">
            <v>0</v>
          </cell>
        </row>
        <row r="7">
          <cell r="F7">
            <v>-3052858.28</v>
          </cell>
          <cell r="G7">
            <v>0</v>
          </cell>
          <cell r="H7">
            <v>-3052858.28</v>
          </cell>
          <cell r="I7">
            <v>0</v>
          </cell>
          <cell r="J7">
            <v>-3052858.28</v>
          </cell>
          <cell r="K7">
            <v>0</v>
          </cell>
        </row>
        <row r="8">
          <cell r="F8">
            <v>437914.87</v>
          </cell>
          <cell r="G8">
            <v>0</v>
          </cell>
          <cell r="H8">
            <v>437914.87</v>
          </cell>
          <cell r="I8">
            <v>0</v>
          </cell>
          <cell r="J8">
            <v>437914.87</v>
          </cell>
          <cell r="K8">
            <v>0</v>
          </cell>
        </row>
        <row r="9">
          <cell r="F9">
            <v>816090.12</v>
          </cell>
          <cell r="G9">
            <v>0</v>
          </cell>
          <cell r="H9">
            <v>816090.12</v>
          </cell>
          <cell r="I9">
            <v>0</v>
          </cell>
          <cell r="J9">
            <v>816090.12</v>
          </cell>
          <cell r="K9">
            <v>0</v>
          </cell>
        </row>
        <row r="10">
          <cell r="F10">
            <v>-1290993.2399999993</v>
          </cell>
          <cell r="G10">
            <v>0</v>
          </cell>
          <cell r="H10">
            <v>-1290993.2399999993</v>
          </cell>
          <cell r="I10">
            <v>0</v>
          </cell>
          <cell r="J10">
            <v>-1290993.2399999993</v>
          </cell>
          <cell r="K10">
            <v>1480338.43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30070.91</v>
          </cell>
        </row>
        <row r="13">
          <cell r="F13">
            <v>4583.4399999999996</v>
          </cell>
          <cell r="G13">
            <v>0</v>
          </cell>
          <cell r="H13">
            <v>4583.4399999999996</v>
          </cell>
          <cell r="I13">
            <v>0</v>
          </cell>
          <cell r="J13">
            <v>4583.4399999999996</v>
          </cell>
          <cell r="K13">
            <v>4583.4399999999996</v>
          </cell>
        </row>
        <row r="14">
          <cell r="F14">
            <v>20045.36</v>
          </cell>
          <cell r="G14">
            <v>0</v>
          </cell>
          <cell r="H14">
            <v>20045.36</v>
          </cell>
          <cell r="I14">
            <v>0</v>
          </cell>
          <cell r="J14">
            <v>20045.36</v>
          </cell>
          <cell r="K14">
            <v>20045.36</v>
          </cell>
        </row>
        <row r="15">
          <cell r="F15">
            <v>15193.26</v>
          </cell>
          <cell r="G15">
            <v>0</v>
          </cell>
          <cell r="H15">
            <v>15193.26</v>
          </cell>
          <cell r="I15">
            <v>0</v>
          </cell>
          <cell r="J15">
            <v>15193.26</v>
          </cell>
          <cell r="K15">
            <v>15193.26</v>
          </cell>
        </row>
        <row r="16">
          <cell r="F16">
            <v>37442.83</v>
          </cell>
          <cell r="G16">
            <v>0</v>
          </cell>
          <cell r="H16">
            <v>37442.83</v>
          </cell>
          <cell r="I16">
            <v>0</v>
          </cell>
          <cell r="J16">
            <v>37442.83</v>
          </cell>
          <cell r="K16">
            <v>37442.83</v>
          </cell>
        </row>
        <row r="17">
          <cell r="F17">
            <v>7023.25</v>
          </cell>
          <cell r="G17">
            <v>0</v>
          </cell>
          <cell r="H17">
            <v>7023.25</v>
          </cell>
          <cell r="I17">
            <v>0</v>
          </cell>
          <cell r="J17">
            <v>7023.25</v>
          </cell>
          <cell r="K17">
            <v>7023.25</v>
          </cell>
        </row>
        <row r="18">
          <cell r="F18">
            <v>13111.14</v>
          </cell>
          <cell r="G18">
            <v>787827.28</v>
          </cell>
          <cell r="H18">
            <v>800938.42</v>
          </cell>
          <cell r="I18">
            <v>0</v>
          </cell>
          <cell r="J18">
            <v>800938.42</v>
          </cell>
          <cell r="K18">
            <v>384836.44</v>
          </cell>
        </row>
        <row r="19">
          <cell r="F19">
            <v>1027256.59</v>
          </cell>
          <cell r="G19">
            <v>0</v>
          </cell>
          <cell r="H19">
            <v>1027256.59</v>
          </cell>
          <cell r="I19">
            <v>0</v>
          </cell>
          <cell r="J19">
            <v>1027256.59</v>
          </cell>
          <cell r="K19">
            <v>2663240.08</v>
          </cell>
        </row>
        <row r="20">
          <cell r="F20">
            <v>41811.81</v>
          </cell>
          <cell r="G20">
            <v>0</v>
          </cell>
          <cell r="H20">
            <v>41811.81</v>
          </cell>
          <cell r="I20">
            <v>0</v>
          </cell>
          <cell r="J20">
            <v>41811.81</v>
          </cell>
          <cell r="K20">
            <v>909742.38</v>
          </cell>
        </row>
        <row r="21">
          <cell r="F21">
            <v>-52188.12</v>
          </cell>
          <cell r="G21">
            <v>-37443</v>
          </cell>
          <cell r="H21">
            <v>-89631.12</v>
          </cell>
          <cell r="I21">
            <v>0</v>
          </cell>
          <cell r="J21">
            <v>-89631.12</v>
          </cell>
          <cell r="K21">
            <v>-76916.22</v>
          </cell>
        </row>
        <row r="22">
          <cell r="F22">
            <v>8121129.4500000002</v>
          </cell>
          <cell r="G22">
            <v>-4228108.2699999996</v>
          </cell>
          <cell r="H22">
            <v>3893021.18</v>
          </cell>
          <cell r="I22">
            <v>0</v>
          </cell>
          <cell r="J22">
            <v>3893021.18</v>
          </cell>
          <cell r="K22">
            <v>0</v>
          </cell>
        </row>
        <row r="23">
          <cell r="F23">
            <v>4340380.37</v>
          </cell>
          <cell r="G23">
            <v>-77665.179999999993</v>
          </cell>
          <cell r="H23">
            <v>4262715.1900000004</v>
          </cell>
          <cell r="I23">
            <v>0</v>
          </cell>
          <cell r="J23">
            <v>4262715.1900000004</v>
          </cell>
          <cell r="K23">
            <v>0</v>
          </cell>
        </row>
        <row r="24">
          <cell r="F24">
            <v>67018</v>
          </cell>
          <cell r="G24">
            <v>0</v>
          </cell>
          <cell r="H24">
            <v>67018</v>
          </cell>
          <cell r="I24">
            <v>0</v>
          </cell>
          <cell r="J24">
            <v>67018</v>
          </cell>
          <cell r="K24">
            <v>0</v>
          </cell>
        </row>
        <row r="25">
          <cell r="F25">
            <v>871269.69</v>
          </cell>
          <cell r="G25">
            <v>0</v>
          </cell>
          <cell r="H25">
            <v>871269.69</v>
          </cell>
          <cell r="I25">
            <v>0</v>
          </cell>
          <cell r="J25">
            <v>871269.69</v>
          </cell>
          <cell r="K25">
            <v>0</v>
          </cell>
        </row>
        <row r="26">
          <cell r="F26">
            <v>4419443.5</v>
          </cell>
          <cell r="G26">
            <v>0</v>
          </cell>
          <cell r="H26">
            <v>4419443.5</v>
          </cell>
          <cell r="I26">
            <v>0</v>
          </cell>
          <cell r="J26">
            <v>4419443.5</v>
          </cell>
          <cell r="K26">
            <v>0</v>
          </cell>
        </row>
        <row r="27">
          <cell r="F27">
            <v>-6660031.3899999997</v>
          </cell>
          <cell r="G27">
            <v>0</v>
          </cell>
          <cell r="H27">
            <v>-6660031.3899999997</v>
          </cell>
          <cell r="I27">
            <v>0</v>
          </cell>
          <cell r="J27">
            <v>-6660031.3899999997</v>
          </cell>
          <cell r="K27">
            <v>0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55798.559999999998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445432.77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23941.62</v>
          </cell>
        </row>
        <row r="31">
          <cell r="F31">
            <v>12273489.18</v>
          </cell>
          <cell r="G31">
            <v>-3555389.1699999995</v>
          </cell>
          <cell r="H31">
            <v>8718100.0100000016</v>
          </cell>
          <cell r="I31">
            <v>0</v>
          </cell>
          <cell r="J31">
            <v>8718100.0100000016</v>
          </cell>
          <cell r="K31">
            <v>4520434.6800000006</v>
          </cell>
        </row>
        <row r="33">
          <cell r="F33">
            <v>-110262.39999999999</v>
          </cell>
          <cell r="G33">
            <v>0</v>
          </cell>
          <cell r="H33">
            <v>-110262.39999999999</v>
          </cell>
          <cell r="I33">
            <v>0</v>
          </cell>
          <cell r="J33">
            <v>-110262.39999999999</v>
          </cell>
          <cell r="K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-164672.07999999999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-5607225.3099999996</v>
          </cell>
        </row>
        <row r="36">
          <cell r="F36">
            <v>49040.85</v>
          </cell>
          <cell r="G36">
            <v>-291116</v>
          </cell>
          <cell r="H36">
            <v>-242075.15</v>
          </cell>
          <cell r="I36">
            <v>0</v>
          </cell>
          <cell r="J36">
            <v>-242075.15</v>
          </cell>
          <cell r="K36">
            <v>0</v>
          </cell>
        </row>
        <row r="37">
          <cell r="F37">
            <v>5342.81</v>
          </cell>
          <cell r="G37">
            <v>-150791.82999999999</v>
          </cell>
          <cell r="H37">
            <v>-145449.01999999999</v>
          </cell>
          <cell r="I37">
            <v>0</v>
          </cell>
          <cell r="J37">
            <v>-145449.01999999999</v>
          </cell>
          <cell r="K37">
            <v>0</v>
          </cell>
        </row>
        <row r="38">
          <cell r="F38">
            <v>-135242.46</v>
          </cell>
          <cell r="G38">
            <v>-2700177.39</v>
          </cell>
          <cell r="H38">
            <v>-2835419.85</v>
          </cell>
          <cell r="I38">
            <v>0</v>
          </cell>
          <cell r="J38">
            <v>-2835419.85</v>
          </cell>
          <cell r="K38">
            <v>0</v>
          </cell>
        </row>
        <row r="39">
          <cell r="F39">
            <v>-191121.19999999998</v>
          </cell>
          <cell r="G39">
            <v>-3142085.22</v>
          </cell>
          <cell r="H39">
            <v>-3333206.42</v>
          </cell>
          <cell r="I39">
            <v>0</v>
          </cell>
          <cell r="J39">
            <v>-3333206.42</v>
          </cell>
          <cell r="K39">
            <v>-5771897.3899999997</v>
          </cell>
        </row>
        <row r="41">
          <cell r="F41">
            <v>220985322.03</v>
          </cell>
          <cell r="G41">
            <v>0</v>
          </cell>
          <cell r="H41">
            <v>220985322.03</v>
          </cell>
          <cell r="I41">
            <v>0</v>
          </cell>
          <cell r="J41">
            <v>220985322.03</v>
          </cell>
          <cell r="K41">
            <v>133071260.63</v>
          </cell>
        </row>
        <row r="42">
          <cell r="F42">
            <v>-36348967.299999997</v>
          </cell>
          <cell r="G42">
            <v>-46894969.759999998</v>
          </cell>
          <cell r="H42">
            <v>-83243937.060000002</v>
          </cell>
          <cell r="I42">
            <v>0</v>
          </cell>
          <cell r="J42">
            <v>-83243937.060000002</v>
          </cell>
          <cell r="K42">
            <v>0</v>
          </cell>
        </row>
        <row r="43">
          <cell r="F43">
            <v>184636354.73000002</v>
          </cell>
          <cell r="G43">
            <v>-46894969.759999998</v>
          </cell>
          <cell r="H43">
            <v>137741384.97</v>
          </cell>
          <cell r="I43">
            <v>0</v>
          </cell>
          <cell r="J43">
            <v>137741384.97</v>
          </cell>
          <cell r="K43">
            <v>133071260.63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3475147.96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F49">
            <v>3414335.67</v>
          </cell>
          <cell r="G49">
            <v>0</v>
          </cell>
          <cell r="H49">
            <v>3414335.67</v>
          </cell>
          <cell r="I49">
            <v>0</v>
          </cell>
          <cell r="J49">
            <v>3414335.67</v>
          </cell>
          <cell r="K49">
            <v>0</v>
          </cell>
        </row>
        <row r="50">
          <cell r="F50">
            <v>4388588.43</v>
          </cell>
          <cell r="G50">
            <v>0</v>
          </cell>
          <cell r="H50">
            <v>4388588.43</v>
          </cell>
          <cell r="I50">
            <v>0</v>
          </cell>
          <cell r="J50">
            <v>4388588.43</v>
          </cell>
          <cell r="K50">
            <v>0</v>
          </cell>
        </row>
        <row r="51">
          <cell r="F51">
            <v>-366522.97</v>
          </cell>
          <cell r="G51">
            <v>0</v>
          </cell>
          <cell r="H51">
            <v>-366522.97</v>
          </cell>
          <cell r="I51">
            <v>0</v>
          </cell>
          <cell r="J51">
            <v>-366522.97</v>
          </cell>
          <cell r="K51">
            <v>0</v>
          </cell>
        </row>
        <row r="52">
          <cell r="F52">
            <v>0</v>
          </cell>
          <cell r="G52">
            <v>-4388588</v>
          </cell>
          <cell r="H52">
            <v>-4388588</v>
          </cell>
          <cell r="I52">
            <v>0</v>
          </cell>
          <cell r="J52">
            <v>-4388588</v>
          </cell>
          <cell r="K52">
            <v>0</v>
          </cell>
        </row>
        <row r="53">
          <cell r="F53">
            <v>7436401.1299999999</v>
          </cell>
          <cell r="G53">
            <v>-4388588</v>
          </cell>
          <cell r="H53">
            <v>3047813.13</v>
          </cell>
          <cell r="I53">
            <v>0</v>
          </cell>
          <cell r="J53">
            <v>3047813.13</v>
          </cell>
          <cell r="K53">
            <v>3475147.96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788153.67</v>
          </cell>
        </row>
        <row r="56">
          <cell r="F56">
            <v>173450468.78</v>
          </cell>
          <cell r="G56">
            <v>0</v>
          </cell>
          <cell r="H56">
            <v>173450468.78</v>
          </cell>
          <cell r="I56">
            <v>0</v>
          </cell>
          <cell r="J56">
            <v>173450468.78</v>
          </cell>
          <cell r="K56">
            <v>0</v>
          </cell>
        </row>
        <row r="57">
          <cell r="F57">
            <v>-171340529.44999999</v>
          </cell>
          <cell r="G57">
            <v>0</v>
          </cell>
          <cell r="H57">
            <v>-171340529.44999999</v>
          </cell>
          <cell r="I57">
            <v>0</v>
          </cell>
          <cell r="J57">
            <v>-171340529.44999999</v>
          </cell>
          <cell r="K57">
            <v>0</v>
          </cell>
        </row>
        <row r="58">
          <cell r="F58">
            <v>24250</v>
          </cell>
          <cell r="G58">
            <v>0</v>
          </cell>
          <cell r="H58">
            <v>24250</v>
          </cell>
          <cell r="I58">
            <v>0</v>
          </cell>
          <cell r="J58">
            <v>24250</v>
          </cell>
          <cell r="K58">
            <v>0</v>
          </cell>
        </row>
        <row r="59">
          <cell r="F59">
            <v>-358340</v>
          </cell>
          <cell r="G59">
            <v>0</v>
          </cell>
          <cell r="H59">
            <v>-358340</v>
          </cell>
          <cell r="I59">
            <v>0</v>
          </cell>
          <cell r="J59">
            <v>-358340</v>
          </cell>
          <cell r="K59">
            <v>0</v>
          </cell>
        </row>
        <row r="60">
          <cell r="F60">
            <v>2563933.5499999998</v>
          </cell>
          <cell r="G60">
            <v>0</v>
          </cell>
          <cell r="H60">
            <v>2563933.5499999998</v>
          </cell>
          <cell r="I60">
            <v>0</v>
          </cell>
          <cell r="J60">
            <v>2563933.5499999998</v>
          </cell>
          <cell r="K60">
            <v>0</v>
          </cell>
        </row>
        <row r="61">
          <cell r="F61">
            <v>0</v>
          </cell>
          <cell r="G61">
            <v>-4339782.88</v>
          </cell>
          <cell r="H61">
            <v>-4339782.88</v>
          </cell>
          <cell r="I61">
            <v>0</v>
          </cell>
          <cell r="J61">
            <v>-4339782.88</v>
          </cell>
          <cell r="K61">
            <v>0</v>
          </cell>
        </row>
        <row r="62">
          <cell r="F62">
            <v>4339782.8800000129</v>
          </cell>
          <cell r="G62">
            <v>-4339782.88</v>
          </cell>
          <cell r="H62">
            <v>1.3038516044616699E-8</v>
          </cell>
          <cell r="I62">
            <v>0</v>
          </cell>
          <cell r="J62">
            <v>1.3038516044616699E-8</v>
          </cell>
          <cell r="K62">
            <v>788153.67</v>
          </cell>
        </row>
        <row r="64">
          <cell r="F64">
            <v>2235668.41</v>
          </cell>
          <cell r="G64">
            <v>0</v>
          </cell>
          <cell r="H64">
            <v>2235668.41</v>
          </cell>
          <cell r="I64">
            <v>0</v>
          </cell>
          <cell r="J64">
            <v>2235668.41</v>
          </cell>
          <cell r="K64">
            <v>2028000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595041.57999999996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387168.22</v>
          </cell>
        </row>
        <row r="67">
          <cell r="F67">
            <v>2502916.67</v>
          </cell>
          <cell r="G67">
            <v>0</v>
          </cell>
          <cell r="H67">
            <v>2502916.67</v>
          </cell>
          <cell r="I67">
            <v>0</v>
          </cell>
          <cell r="J67">
            <v>2502916.67</v>
          </cell>
          <cell r="K67">
            <v>4966416.67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403333.34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-0.02</v>
          </cell>
        </row>
        <row r="72">
          <cell r="F72">
            <v>11629128.789999999</v>
          </cell>
          <cell r="G72">
            <v>0</v>
          </cell>
          <cell r="H72">
            <v>11629128.789999999</v>
          </cell>
          <cell r="I72">
            <v>0</v>
          </cell>
          <cell r="J72">
            <v>11629128.789999999</v>
          </cell>
          <cell r="K72">
            <v>15804069.1</v>
          </cell>
        </row>
        <row r="73">
          <cell r="F73">
            <v>62313511.909999996</v>
          </cell>
          <cell r="G73">
            <v>-20316012.890000001</v>
          </cell>
          <cell r="H73">
            <v>41997499.020000003</v>
          </cell>
          <cell r="I73">
            <v>0</v>
          </cell>
          <cell r="J73">
            <v>41997499.020000003</v>
          </cell>
          <cell r="K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20322.810000000001</v>
          </cell>
        </row>
        <row r="75">
          <cell r="F75">
            <v>10231550.189999999</v>
          </cell>
          <cell r="G75">
            <v>-137238.09</v>
          </cell>
          <cell r="H75">
            <v>10094312.1</v>
          </cell>
          <cell r="I75">
            <v>0</v>
          </cell>
          <cell r="J75">
            <v>10094312.1</v>
          </cell>
          <cell r="K75">
            <v>3450858.6</v>
          </cell>
        </row>
        <row r="76">
          <cell r="F76">
            <v>-1030532.61</v>
          </cell>
          <cell r="G76">
            <v>0</v>
          </cell>
          <cell r="H76">
            <v>-1030532.61</v>
          </cell>
          <cell r="I76">
            <v>0</v>
          </cell>
          <cell r="J76">
            <v>-1030532.61</v>
          </cell>
          <cell r="K76">
            <v>-1030532.61</v>
          </cell>
        </row>
        <row r="77">
          <cell r="F77">
            <v>87882243.359999999</v>
          </cell>
          <cell r="G77">
            <v>-20453250.98</v>
          </cell>
          <cell r="H77">
            <v>67428992.379999995</v>
          </cell>
          <cell r="I77">
            <v>0</v>
          </cell>
          <cell r="J77">
            <v>67428992.379999995</v>
          </cell>
          <cell r="K77">
            <v>26624677.690000001</v>
          </cell>
        </row>
        <row r="79">
          <cell r="F79">
            <v>6472669.1100000003</v>
          </cell>
          <cell r="G79">
            <v>0</v>
          </cell>
          <cell r="H79">
            <v>6472669.1100000003</v>
          </cell>
          <cell r="I79">
            <v>0</v>
          </cell>
          <cell r="J79">
            <v>6472669.1100000003</v>
          </cell>
          <cell r="K79">
            <v>4218119.1100000003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152550</v>
          </cell>
        </row>
        <row r="81">
          <cell r="F81">
            <v>-1046405.09</v>
          </cell>
          <cell r="G81">
            <v>-574670.21</v>
          </cell>
          <cell r="H81">
            <v>-1621075.3</v>
          </cell>
          <cell r="I81">
            <v>0</v>
          </cell>
          <cell r="J81">
            <v>-1621075.3</v>
          </cell>
          <cell r="K81">
            <v>-888923.33</v>
          </cell>
        </row>
        <row r="82">
          <cell r="F82">
            <v>5426264.0200000005</v>
          </cell>
          <cell r="G82">
            <v>-574670.21</v>
          </cell>
          <cell r="H82">
            <v>4851593.8100000005</v>
          </cell>
          <cell r="I82">
            <v>0</v>
          </cell>
          <cell r="J82">
            <v>4851593.8100000005</v>
          </cell>
          <cell r="K82">
            <v>3481745.7800000003</v>
          </cell>
        </row>
        <row r="84">
          <cell r="F84">
            <v>83154062.629999995</v>
          </cell>
          <cell r="G84">
            <v>0</v>
          </cell>
          <cell r="H84">
            <v>83154062.629999995</v>
          </cell>
          <cell r="I84">
            <v>0</v>
          </cell>
          <cell r="J84">
            <v>83154062.629999995</v>
          </cell>
          <cell r="K84">
            <v>274171804</v>
          </cell>
        </row>
        <row r="85">
          <cell r="F85">
            <v>-38553485.700000003</v>
          </cell>
          <cell r="G85">
            <v>0</v>
          </cell>
          <cell r="H85">
            <v>-38553485.700000003</v>
          </cell>
          <cell r="I85">
            <v>0</v>
          </cell>
          <cell r="J85">
            <v>-38553485.700000003</v>
          </cell>
          <cell r="K85">
            <v>-148144192</v>
          </cell>
        </row>
        <row r="86">
          <cell r="F86">
            <v>44600576.929999992</v>
          </cell>
          <cell r="G86">
            <v>0</v>
          </cell>
          <cell r="H86">
            <v>44600576.929999992</v>
          </cell>
          <cell r="I86">
            <v>0</v>
          </cell>
          <cell r="J86">
            <v>44600576.929999992</v>
          </cell>
          <cell r="K86">
            <v>126027612</v>
          </cell>
        </row>
        <row r="88">
          <cell r="F88">
            <v>8813469.7100000009</v>
          </cell>
          <cell r="G88">
            <v>0</v>
          </cell>
          <cell r="H88">
            <v>8813469.7100000009</v>
          </cell>
          <cell r="I88">
            <v>0</v>
          </cell>
          <cell r="J88">
            <v>8813469.7100000009</v>
          </cell>
          <cell r="K88">
            <v>9336959.1600000001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129.55000000000001</v>
          </cell>
        </row>
        <row r="90">
          <cell r="F90">
            <v>-4804885.2</v>
          </cell>
          <cell r="G90">
            <v>-722807.59</v>
          </cell>
          <cell r="H90">
            <v>-5527692.79</v>
          </cell>
          <cell r="I90">
            <v>0</v>
          </cell>
          <cell r="J90">
            <v>-5527692.79</v>
          </cell>
          <cell r="K90">
            <v>-3788306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4008584.5100000007</v>
          </cell>
          <cell r="G92">
            <v>-722807.59</v>
          </cell>
          <cell r="H92">
            <v>3285776.9200000009</v>
          </cell>
          <cell r="I92">
            <v>0</v>
          </cell>
          <cell r="J92">
            <v>3285776.9200000009</v>
          </cell>
          <cell r="K92">
            <v>5548782.7100000009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2956218</v>
          </cell>
          <cell r="J94">
            <v>2956218</v>
          </cell>
          <cell r="K94">
            <v>2093618.23</v>
          </cell>
        </row>
        <row r="95">
          <cell r="F95">
            <v>0</v>
          </cell>
          <cell r="G95">
            <v>-546505</v>
          </cell>
          <cell r="H95">
            <v>-546505</v>
          </cell>
          <cell r="I95">
            <v>-661050</v>
          </cell>
          <cell r="J95">
            <v>-1207555</v>
          </cell>
          <cell r="K95">
            <v>-661050</v>
          </cell>
        </row>
        <row r="96">
          <cell r="F96">
            <v>0</v>
          </cell>
          <cell r="G96">
            <v>-546505</v>
          </cell>
          <cell r="H96">
            <v>-546505</v>
          </cell>
          <cell r="I96">
            <v>2295168</v>
          </cell>
          <cell r="J96">
            <v>1748663</v>
          </cell>
          <cell r="K96">
            <v>1432568.23</v>
          </cell>
        </row>
        <row r="98">
          <cell r="F98">
            <v>5988526.2300000004</v>
          </cell>
          <cell r="G98">
            <v>0</v>
          </cell>
          <cell r="H98">
            <v>5988526.2300000004</v>
          </cell>
          <cell r="I98">
            <v>-2993174.8</v>
          </cell>
          <cell r="J98">
            <v>2995351.43</v>
          </cell>
          <cell r="K98">
            <v>2915321.25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53179.95</v>
          </cell>
        </row>
        <row r="100">
          <cell r="F100">
            <v>-1863349.64</v>
          </cell>
          <cell r="G100">
            <v>-234081.56</v>
          </cell>
          <cell r="H100">
            <v>-2097431.2000000002</v>
          </cell>
          <cell r="I100">
            <v>661050</v>
          </cell>
          <cell r="J100">
            <v>-1436381.2</v>
          </cell>
          <cell r="K100">
            <v>-823118.3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-25179.63</v>
          </cell>
        </row>
        <row r="102">
          <cell r="F102">
            <v>4125176.5900000008</v>
          </cell>
          <cell r="G102">
            <v>-234081.56</v>
          </cell>
          <cell r="H102">
            <v>3891095.0300000003</v>
          </cell>
          <cell r="I102">
            <v>-2332124.7999999998</v>
          </cell>
          <cell r="J102">
            <v>1558970.2300000002</v>
          </cell>
          <cell r="K102">
            <v>2120203.2700000005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7">
          <cell r="F107">
            <v>-31642274.210000001</v>
          </cell>
          <cell r="G107">
            <v>0</v>
          </cell>
          <cell r="H107">
            <v>-31642274.210000001</v>
          </cell>
          <cell r="I107">
            <v>805995</v>
          </cell>
          <cell r="J107">
            <v>-30836279.210000001</v>
          </cell>
          <cell r="K107">
            <v>-34963742.710000001</v>
          </cell>
        </row>
        <row r="108">
          <cell r="F108">
            <v>-31642274.210000001</v>
          </cell>
          <cell r="G108">
            <v>0</v>
          </cell>
          <cell r="H108">
            <v>-31642274.210000001</v>
          </cell>
          <cell r="I108">
            <v>805995</v>
          </cell>
          <cell r="J108">
            <v>-30836279.210000001</v>
          </cell>
          <cell r="K108">
            <v>-34963742.710000001</v>
          </cell>
        </row>
        <row r="110">
          <cell r="F110">
            <v>-20628556.949999999</v>
          </cell>
          <cell r="G110">
            <v>0</v>
          </cell>
          <cell r="H110">
            <v>-20628556.949999999</v>
          </cell>
          <cell r="I110">
            <v>0</v>
          </cell>
          <cell r="J110">
            <v>-20628556.949999999</v>
          </cell>
          <cell r="K110">
            <v>-8086593.9500000002</v>
          </cell>
        </row>
        <row r="111">
          <cell r="F111">
            <v>47105.42</v>
          </cell>
          <cell r="G111">
            <v>-47105.42</v>
          </cell>
          <cell r="H111">
            <v>0</v>
          </cell>
          <cell r="I111">
            <v>0</v>
          </cell>
          <cell r="J111">
            <v>0</v>
          </cell>
          <cell r="K111">
            <v>-106845.02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-118066.76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-24930.01</v>
          </cell>
        </row>
        <row r="114">
          <cell r="F114">
            <v>6620453.3799999999</v>
          </cell>
          <cell r="G114">
            <v>-6620453.3799999999</v>
          </cell>
          <cell r="H114">
            <v>0</v>
          </cell>
          <cell r="I114">
            <v>0</v>
          </cell>
          <cell r="J114">
            <v>0</v>
          </cell>
          <cell r="K114">
            <v>-3733596.56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-715542.09</v>
          </cell>
        </row>
        <row r="116"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-1218082.01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-149005.29999999999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-968017.33</v>
          </cell>
        </row>
        <row r="119">
          <cell r="F119">
            <v>-5720722.8600000003</v>
          </cell>
          <cell r="G119">
            <v>0</v>
          </cell>
          <cell r="H119">
            <v>-5720722.8600000003</v>
          </cell>
          <cell r="I119">
            <v>0</v>
          </cell>
          <cell r="J119">
            <v>-5720722.8600000003</v>
          </cell>
          <cell r="K119">
            <v>0</v>
          </cell>
        </row>
        <row r="120">
          <cell r="F120">
            <v>-200603</v>
          </cell>
          <cell r="G120">
            <v>0</v>
          </cell>
          <cell r="H120">
            <v>-200603</v>
          </cell>
          <cell r="I120">
            <v>0</v>
          </cell>
          <cell r="J120">
            <v>-200603</v>
          </cell>
          <cell r="K120">
            <v>0</v>
          </cell>
        </row>
        <row r="121">
          <cell r="F121">
            <v>-3075979.64</v>
          </cell>
          <cell r="G121">
            <v>0</v>
          </cell>
          <cell r="H121">
            <v>-3075979.64</v>
          </cell>
          <cell r="I121">
            <v>0</v>
          </cell>
          <cell r="J121">
            <v>-3075979.64</v>
          </cell>
          <cell r="K121">
            <v>0</v>
          </cell>
        </row>
        <row r="122">
          <cell r="F122">
            <v>-1400000</v>
          </cell>
          <cell r="G122">
            <v>0</v>
          </cell>
          <cell r="H122">
            <v>-1400000</v>
          </cell>
          <cell r="I122">
            <v>0</v>
          </cell>
          <cell r="J122">
            <v>-1400000</v>
          </cell>
          <cell r="K122">
            <v>0</v>
          </cell>
        </row>
        <row r="123">
          <cell r="F123">
            <v>-308839.28000000003</v>
          </cell>
          <cell r="G123">
            <v>0</v>
          </cell>
          <cell r="H123">
            <v>-308839.28000000003</v>
          </cell>
          <cell r="I123">
            <v>0</v>
          </cell>
          <cell r="J123">
            <v>-308839.28000000003</v>
          </cell>
          <cell r="K123">
            <v>0</v>
          </cell>
        </row>
        <row r="124">
          <cell r="F124">
            <v>-24667142.93</v>
          </cell>
          <cell r="G124">
            <v>-6667558.7999999998</v>
          </cell>
          <cell r="H124">
            <v>-31334701.73</v>
          </cell>
          <cell r="I124">
            <v>0</v>
          </cell>
          <cell r="J124">
            <v>-31334701.73</v>
          </cell>
          <cell r="K124">
            <v>-15120679.029999999</v>
          </cell>
        </row>
        <row r="126">
          <cell r="F126">
            <v>-18902488.809999999</v>
          </cell>
          <cell r="G126">
            <v>0</v>
          </cell>
          <cell r="H126">
            <v>-18902488.809999999</v>
          </cell>
          <cell r="I126">
            <v>0</v>
          </cell>
          <cell r="J126">
            <v>-18902488.809999999</v>
          </cell>
          <cell r="K126">
            <v>-4952562.58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-940471.24</v>
          </cell>
        </row>
        <row r="128">
          <cell r="F128">
            <v>-4038011.81</v>
          </cell>
          <cell r="G128">
            <v>0</v>
          </cell>
          <cell r="H128">
            <v>-4038011.81</v>
          </cell>
          <cell r="I128">
            <v>0</v>
          </cell>
          <cell r="J128">
            <v>-4038011.81</v>
          </cell>
          <cell r="K128">
            <v>-3592360.72</v>
          </cell>
        </row>
        <row r="129">
          <cell r="F129">
            <v>1466164.53</v>
          </cell>
          <cell r="G129">
            <v>0</v>
          </cell>
          <cell r="H129">
            <v>1466164.53</v>
          </cell>
          <cell r="I129">
            <v>0</v>
          </cell>
          <cell r="J129">
            <v>1466164.53</v>
          </cell>
          <cell r="K129">
            <v>0</v>
          </cell>
        </row>
        <row r="130">
          <cell r="F130">
            <v>-573769.77</v>
          </cell>
          <cell r="G130">
            <v>0</v>
          </cell>
          <cell r="H130">
            <v>-573769.77</v>
          </cell>
          <cell r="I130">
            <v>0</v>
          </cell>
          <cell r="J130">
            <v>-573769.77</v>
          </cell>
          <cell r="K130">
            <v>0</v>
          </cell>
        </row>
        <row r="131">
          <cell r="F131">
            <v>-5.05</v>
          </cell>
          <cell r="G131">
            <v>5.05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F132">
            <v>-22048110.909999996</v>
          </cell>
          <cell r="G132">
            <v>5.05</v>
          </cell>
          <cell r="H132">
            <v>-22048105.859999996</v>
          </cell>
          <cell r="I132">
            <v>0</v>
          </cell>
          <cell r="J132">
            <v>-22048105.859999996</v>
          </cell>
          <cell r="K132">
            <v>-9485394.540000001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-901435.23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-901435.23</v>
          </cell>
        </row>
        <row r="137">
          <cell r="F137">
            <v>-25693133.649999999</v>
          </cell>
          <cell r="G137">
            <v>-5930318.5</v>
          </cell>
          <cell r="H137">
            <v>-31623452.149999999</v>
          </cell>
          <cell r="I137">
            <v>0</v>
          </cell>
          <cell r="J137">
            <v>-31623452.149999999</v>
          </cell>
          <cell r="K137">
            <v>-16356721.07</v>
          </cell>
        </row>
        <row r="138">
          <cell r="F138">
            <v>-25693133.649999999</v>
          </cell>
          <cell r="G138">
            <v>-5930318.5</v>
          </cell>
          <cell r="H138">
            <v>-31623452.149999999</v>
          </cell>
          <cell r="I138">
            <v>0</v>
          </cell>
          <cell r="J138">
            <v>-31623452.149999999</v>
          </cell>
          <cell r="K138">
            <v>-16356721.07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-50480.480000000003</v>
          </cell>
        </row>
        <row r="141"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-65555.62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-116036.1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3">
          <cell r="F153">
            <v>-8727898.9600000009</v>
          </cell>
          <cell r="G153">
            <v>81443.199999999997</v>
          </cell>
          <cell r="H153">
            <v>-8646455.7599999998</v>
          </cell>
          <cell r="I153">
            <v>0</v>
          </cell>
          <cell r="J153">
            <v>-8646455.7599999998</v>
          </cell>
          <cell r="K153">
            <v>-7490000</v>
          </cell>
        </row>
        <row r="154">
          <cell r="F154">
            <v>-49472304.369999997</v>
          </cell>
          <cell r="G154">
            <v>-891274.46</v>
          </cell>
          <cell r="H154">
            <v>-50363578.829999998</v>
          </cell>
          <cell r="I154">
            <v>0</v>
          </cell>
          <cell r="J154">
            <v>-50363578.829999998</v>
          </cell>
          <cell r="K154">
            <v>-43804065</v>
          </cell>
        </row>
        <row r="155">
          <cell r="F155">
            <v>-58200203.329999998</v>
          </cell>
          <cell r="G155">
            <v>-809831.26</v>
          </cell>
          <cell r="H155">
            <v>-59010034.589999996</v>
          </cell>
          <cell r="I155">
            <v>0</v>
          </cell>
          <cell r="J155">
            <v>-59010034.589999996</v>
          </cell>
          <cell r="K155">
            <v>-51294065</v>
          </cell>
        </row>
        <row r="157">
          <cell r="F157">
            <v>25045663.989999998</v>
          </cell>
          <cell r="G157">
            <v>0</v>
          </cell>
          <cell r="H157">
            <v>25045663.989999998</v>
          </cell>
          <cell r="I157">
            <v>-805995</v>
          </cell>
          <cell r="J157">
            <v>24239668.989999998</v>
          </cell>
          <cell r="K157">
            <v>171515074.30000001</v>
          </cell>
        </row>
        <row r="158">
          <cell r="F158">
            <v>128125820.12</v>
          </cell>
          <cell r="G158">
            <v>0</v>
          </cell>
          <cell r="H158">
            <v>128125820.12</v>
          </cell>
          <cell r="I158">
            <v>0</v>
          </cell>
          <cell r="J158">
            <v>128125820.12</v>
          </cell>
          <cell r="K158">
            <v>-4205437.79</v>
          </cell>
        </row>
        <row r="159">
          <cell r="F159">
            <v>153171484.11000001</v>
          </cell>
          <cell r="G159">
            <v>0</v>
          </cell>
          <cell r="H159">
            <v>153171484.11000001</v>
          </cell>
          <cell r="I159">
            <v>-805995</v>
          </cell>
          <cell r="J159">
            <v>152365489.11000001</v>
          </cell>
          <cell r="K159">
            <v>167309636.51000002</v>
          </cell>
        </row>
        <row r="161">
          <cell r="F161">
            <v>-22200000</v>
          </cell>
          <cell r="G161">
            <v>0</v>
          </cell>
          <cell r="H161">
            <v>-22200000</v>
          </cell>
          <cell r="I161">
            <v>0</v>
          </cell>
          <cell r="J161">
            <v>-22200000</v>
          </cell>
          <cell r="K161">
            <v>0</v>
          </cell>
        </row>
        <row r="162">
          <cell r="F162">
            <v>-22200000</v>
          </cell>
          <cell r="G162">
            <v>0</v>
          </cell>
          <cell r="H162">
            <v>-22200000</v>
          </cell>
          <cell r="I162">
            <v>0</v>
          </cell>
          <cell r="J162">
            <v>-22200000</v>
          </cell>
          <cell r="K162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-23160.12</v>
          </cell>
        </row>
        <row r="165"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4607.2</v>
          </cell>
        </row>
        <row r="166">
          <cell r="F166">
            <v>-25067055.66</v>
          </cell>
          <cell r="G166">
            <v>-6896854.0800000001</v>
          </cell>
          <cell r="H166">
            <v>-31963909.739999998</v>
          </cell>
          <cell r="I166">
            <v>0</v>
          </cell>
          <cell r="J166">
            <v>-31963909.739999998</v>
          </cell>
          <cell r="K166">
            <v>-44176168.009999998</v>
          </cell>
        </row>
        <row r="167">
          <cell r="F167">
            <v>11903.75</v>
          </cell>
          <cell r="G167">
            <v>-11903.75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F168">
            <v>-25055151.91</v>
          </cell>
          <cell r="G168">
            <v>-6908757.8300000001</v>
          </cell>
          <cell r="H168">
            <v>-31963909.739999998</v>
          </cell>
          <cell r="I168">
            <v>0</v>
          </cell>
          <cell r="J168">
            <v>-31963909.739999998</v>
          </cell>
          <cell r="K168">
            <v>-44194720.93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6"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-13779844.460000001</v>
          </cell>
        </row>
        <row r="187">
          <cell r="F187">
            <v>-6766111.8499999996</v>
          </cell>
          <cell r="G187">
            <v>0</v>
          </cell>
          <cell r="H187">
            <v>-6766111.8499999996</v>
          </cell>
          <cell r="I187">
            <v>0</v>
          </cell>
          <cell r="J187">
            <v>-6766111.8499999996</v>
          </cell>
          <cell r="K187">
            <v>-1557517.03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-24166494.719999999</v>
          </cell>
        </row>
        <row r="189">
          <cell r="F189">
            <v>-16732637.300000001</v>
          </cell>
          <cell r="G189">
            <v>0</v>
          </cell>
          <cell r="H189">
            <v>-16732637.300000001</v>
          </cell>
          <cell r="I189">
            <v>0</v>
          </cell>
          <cell r="J189">
            <v>-16732637.300000001</v>
          </cell>
          <cell r="K189">
            <v>-2605724.96</v>
          </cell>
        </row>
        <row r="190">
          <cell r="F190">
            <v>-6873185.4100000001</v>
          </cell>
          <cell r="G190">
            <v>0</v>
          </cell>
          <cell r="H190">
            <v>-6873185.4100000001</v>
          </cell>
          <cell r="I190">
            <v>0</v>
          </cell>
          <cell r="J190">
            <v>-6873185.4100000001</v>
          </cell>
          <cell r="K190">
            <v>-23660126.219999999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-3703329.9</v>
          </cell>
        </row>
        <row r="192">
          <cell r="F192">
            <v>-12370875.369999999</v>
          </cell>
          <cell r="G192">
            <v>0</v>
          </cell>
          <cell r="H192">
            <v>-12370875.369999999</v>
          </cell>
          <cell r="I192">
            <v>0</v>
          </cell>
          <cell r="J192">
            <v>-12370875.369999999</v>
          </cell>
          <cell r="K192">
            <v>-9773243.1500000004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-1972886.29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-11417958.439999999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-2448999.94</v>
          </cell>
        </row>
        <row r="196">
          <cell r="F196">
            <v>-1760510.79</v>
          </cell>
          <cell r="G196">
            <v>0</v>
          </cell>
          <cell r="H196">
            <v>-1760510.79</v>
          </cell>
          <cell r="I196">
            <v>0</v>
          </cell>
          <cell r="J196">
            <v>-1760510.79</v>
          </cell>
          <cell r="K196">
            <v>-3971578.97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-831857.85</v>
          </cell>
        </row>
        <row r="198">
          <cell r="F198">
            <v>-6639946.0599999996</v>
          </cell>
          <cell r="G198">
            <v>0</v>
          </cell>
          <cell r="H198">
            <v>-6639946.0599999996</v>
          </cell>
          <cell r="I198">
            <v>0</v>
          </cell>
          <cell r="J198">
            <v>-6639946.0599999996</v>
          </cell>
          <cell r="K198">
            <v>-14316028.359999999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-2889919.55</v>
          </cell>
        </row>
        <row r="200">
          <cell r="F200">
            <v>-3227660.96</v>
          </cell>
          <cell r="G200">
            <v>0</v>
          </cell>
          <cell r="H200">
            <v>-3227660.96</v>
          </cell>
          <cell r="I200">
            <v>0</v>
          </cell>
          <cell r="J200">
            <v>-3227660.96</v>
          </cell>
          <cell r="K200">
            <v>-4103253.4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-828307.72</v>
          </cell>
        </row>
        <row r="202">
          <cell r="F202">
            <v>-8360223.3499999996</v>
          </cell>
          <cell r="G202">
            <v>0</v>
          </cell>
          <cell r="H202">
            <v>-8360223.3499999996</v>
          </cell>
          <cell r="I202">
            <v>0</v>
          </cell>
          <cell r="J202">
            <v>-8360223.3499999996</v>
          </cell>
          <cell r="K202">
            <v>-10001769.17</v>
          </cell>
        </row>
        <row r="203">
          <cell r="F203">
            <v>-19043598.210000001</v>
          </cell>
          <cell r="G203">
            <v>0</v>
          </cell>
          <cell r="H203">
            <v>-19043598.210000001</v>
          </cell>
          <cell r="I203">
            <v>0</v>
          </cell>
          <cell r="J203">
            <v>-19043598.210000001</v>
          </cell>
          <cell r="K203">
            <v>-7467388.4699999997</v>
          </cell>
        </row>
        <row r="204">
          <cell r="F204">
            <v>-81774749.300000012</v>
          </cell>
          <cell r="G204">
            <v>0</v>
          </cell>
          <cell r="H204">
            <v>-81774749.300000012</v>
          </cell>
          <cell r="I204">
            <v>0</v>
          </cell>
          <cell r="J204">
            <v>-81774749.300000012</v>
          </cell>
          <cell r="K204">
            <v>-139496228.60000002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8">
          <cell r="F208">
            <v>-20000000</v>
          </cell>
          <cell r="G208">
            <v>0</v>
          </cell>
          <cell r="H208">
            <v>-20000000</v>
          </cell>
          <cell r="I208">
            <v>0</v>
          </cell>
          <cell r="J208">
            <v>-20000000</v>
          </cell>
          <cell r="K208">
            <v>-20000000</v>
          </cell>
        </row>
        <row r="209">
          <cell r="F209">
            <v>30.22</v>
          </cell>
          <cell r="G209">
            <v>-30.22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-19999969.780000001</v>
          </cell>
          <cell r="G210">
            <v>-30.22</v>
          </cell>
          <cell r="H210">
            <v>-20000000</v>
          </cell>
          <cell r="I210">
            <v>0</v>
          </cell>
          <cell r="J210">
            <v>-20000000</v>
          </cell>
          <cell r="K210">
            <v>-20000000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6">
          <cell r="F216">
            <v>-207000000</v>
          </cell>
          <cell r="G216">
            <v>0</v>
          </cell>
          <cell r="H216">
            <v>-207000000</v>
          </cell>
          <cell r="I216">
            <v>0</v>
          </cell>
          <cell r="J216">
            <v>-207000000</v>
          </cell>
          <cell r="K216">
            <v>-207000000</v>
          </cell>
        </row>
        <row r="217">
          <cell r="F217">
            <v>-207000000</v>
          </cell>
          <cell r="G217">
            <v>0</v>
          </cell>
          <cell r="H217">
            <v>-207000000</v>
          </cell>
          <cell r="I217">
            <v>0</v>
          </cell>
          <cell r="J217">
            <v>-207000000</v>
          </cell>
          <cell r="K217">
            <v>-207000000</v>
          </cell>
        </row>
        <row r="219">
          <cell r="F219">
            <v>68962345.599999994</v>
          </cell>
          <cell r="G219">
            <v>0</v>
          </cell>
          <cell r="H219">
            <v>68962345.599999994</v>
          </cell>
          <cell r="I219">
            <v>0</v>
          </cell>
          <cell r="J219">
            <v>68962345.599999994</v>
          </cell>
          <cell r="K219">
            <v>0</v>
          </cell>
        </row>
        <row r="220">
          <cell r="F220">
            <v>-142051.56</v>
          </cell>
          <cell r="G220">
            <v>0</v>
          </cell>
          <cell r="H220">
            <v>-142051.56</v>
          </cell>
          <cell r="I220">
            <v>0</v>
          </cell>
          <cell r="J220">
            <v>-142051.56</v>
          </cell>
          <cell r="K220">
            <v>0</v>
          </cell>
        </row>
        <row r="221">
          <cell r="F221">
            <v>68820294.039999992</v>
          </cell>
          <cell r="G221">
            <v>0</v>
          </cell>
          <cell r="H221">
            <v>68820294.039999992</v>
          </cell>
          <cell r="I221">
            <v>0</v>
          </cell>
          <cell r="J221">
            <v>68820294.039999992</v>
          </cell>
          <cell r="K221">
            <v>0</v>
          </cell>
        </row>
        <row r="223">
          <cell r="F223">
            <v>0</v>
          </cell>
          <cell r="G223">
            <v>-47151385.920000002</v>
          </cell>
          <cell r="H223">
            <v>-47151385.920000002</v>
          </cell>
          <cell r="I223">
            <v>0</v>
          </cell>
          <cell r="J223">
            <v>-47151385.920000002</v>
          </cell>
          <cell r="K223">
            <v>0</v>
          </cell>
        </row>
        <row r="224">
          <cell r="F224">
            <v>0</v>
          </cell>
          <cell r="G224">
            <v>-47151385.920000002</v>
          </cell>
          <cell r="H224">
            <v>-47151385.920000002</v>
          </cell>
          <cell r="I224">
            <v>0</v>
          </cell>
          <cell r="J224">
            <v>-47151385.920000002</v>
          </cell>
          <cell r="K224">
            <v>0</v>
          </cell>
        </row>
        <row r="226">
          <cell r="F226">
            <v>142051.56</v>
          </cell>
          <cell r="G226">
            <v>-142052</v>
          </cell>
          <cell r="H226">
            <v>-0.44</v>
          </cell>
          <cell r="I226">
            <v>0</v>
          </cell>
          <cell r="J226">
            <v>-0.44</v>
          </cell>
          <cell r="K226">
            <v>-142051.56</v>
          </cell>
        </row>
        <row r="227">
          <cell r="F227">
            <v>-22702308</v>
          </cell>
          <cell r="G227">
            <v>0</v>
          </cell>
          <cell r="H227">
            <v>-22702308</v>
          </cell>
          <cell r="I227">
            <v>0</v>
          </cell>
          <cell r="J227">
            <v>-22702308</v>
          </cell>
          <cell r="K227">
            <v>0</v>
          </cell>
        </row>
        <row r="228">
          <cell r="F228">
            <v>-61509084.710000001</v>
          </cell>
          <cell r="G228">
            <v>0</v>
          </cell>
          <cell r="H228">
            <v>-61509084.710000001</v>
          </cell>
          <cell r="I228">
            <v>0</v>
          </cell>
          <cell r="J228">
            <v>-61509084.710000001</v>
          </cell>
          <cell r="K228">
            <v>0</v>
          </cell>
        </row>
        <row r="229">
          <cell r="F229">
            <v>-385004490.89999998</v>
          </cell>
          <cell r="G229">
            <v>0</v>
          </cell>
          <cell r="H229">
            <v>-385004490.89999998</v>
          </cell>
          <cell r="I229">
            <v>0</v>
          </cell>
          <cell r="J229">
            <v>-385004490.89999998</v>
          </cell>
          <cell r="K229">
            <v>-690878662.38999999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-41216134.359999999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-581049</v>
          </cell>
        </row>
        <row r="232">
          <cell r="F232">
            <v>-34326418.729999997</v>
          </cell>
          <cell r="G232">
            <v>67467398.810000002</v>
          </cell>
          <cell r="H232">
            <v>33140980.079999998</v>
          </cell>
          <cell r="I232">
            <v>0</v>
          </cell>
          <cell r="J232">
            <v>33140980.079999998</v>
          </cell>
          <cell r="K232">
            <v>-4000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3885740.9</v>
          </cell>
        </row>
        <row r="234">
          <cell r="F234">
            <v>-503400250.77999997</v>
          </cell>
          <cell r="G234">
            <v>67325346.810000002</v>
          </cell>
          <cell r="H234">
            <v>-436074903.96999997</v>
          </cell>
          <cell r="I234">
            <v>0</v>
          </cell>
          <cell r="J234">
            <v>-436074903.96999997</v>
          </cell>
          <cell r="K234">
            <v>-728936156.40999997</v>
          </cell>
        </row>
        <row r="236">
          <cell r="F236">
            <v>27050572.800000001</v>
          </cell>
          <cell r="G236">
            <v>0</v>
          </cell>
          <cell r="H236">
            <v>27050572.800000001</v>
          </cell>
          <cell r="I236">
            <v>0</v>
          </cell>
          <cell r="J236">
            <v>27050572.800000001</v>
          </cell>
          <cell r="K236">
            <v>0</v>
          </cell>
        </row>
        <row r="237">
          <cell r="F237">
            <v>186365477.12</v>
          </cell>
          <cell r="G237">
            <v>28797.96</v>
          </cell>
          <cell r="H237">
            <v>186394275.08000001</v>
          </cell>
          <cell r="I237">
            <v>0</v>
          </cell>
          <cell r="J237">
            <v>186394275.08000001</v>
          </cell>
          <cell r="K237">
            <v>0</v>
          </cell>
        </row>
        <row r="238">
          <cell r="F238">
            <v>-14257490.449999999</v>
          </cell>
          <cell r="G238">
            <v>0</v>
          </cell>
          <cell r="H238">
            <v>-14257490.449999999</v>
          </cell>
          <cell r="I238">
            <v>0</v>
          </cell>
          <cell r="J238">
            <v>-14257490.449999999</v>
          </cell>
          <cell r="K238">
            <v>0</v>
          </cell>
        </row>
        <row r="239">
          <cell r="F239">
            <v>4418751.7699999996</v>
          </cell>
          <cell r="G239">
            <v>0</v>
          </cell>
          <cell r="H239">
            <v>4418751.7699999996</v>
          </cell>
          <cell r="I239">
            <v>0</v>
          </cell>
          <cell r="J239">
            <v>4418751.7699999996</v>
          </cell>
          <cell r="K239">
            <v>7872585.75</v>
          </cell>
        </row>
        <row r="240">
          <cell r="F240">
            <v>203577311.24000004</v>
          </cell>
          <cell r="G240">
            <v>28797.96</v>
          </cell>
          <cell r="H240">
            <v>203606109.20000005</v>
          </cell>
          <cell r="I240">
            <v>0</v>
          </cell>
          <cell r="J240">
            <v>203606109.20000005</v>
          </cell>
          <cell r="K240">
            <v>7872585.75</v>
          </cell>
        </row>
        <row r="242">
          <cell r="F242">
            <v>5990818.2300000004</v>
          </cell>
          <cell r="G242">
            <v>1343278</v>
          </cell>
          <cell r="H242">
            <v>7334096.2300000004</v>
          </cell>
          <cell r="I242">
            <v>0</v>
          </cell>
          <cell r="J242">
            <v>7334096.2300000004</v>
          </cell>
          <cell r="K242">
            <v>0</v>
          </cell>
        </row>
        <row r="243">
          <cell r="F243">
            <v>4963149.05</v>
          </cell>
          <cell r="G243">
            <v>74500</v>
          </cell>
          <cell r="H243">
            <v>5037649.05</v>
          </cell>
          <cell r="I243">
            <v>0</v>
          </cell>
          <cell r="J243">
            <v>5037649.05</v>
          </cell>
          <cell r="K243">
            <v>0</v>
          </cell>
        </row>
        <row r="244">
          <cell r="F244">
            <v>3882656.13</v>
          </cell>
          <cell r="G244">
            <v>0</v>
          </cell>
          <cell r="H244">
            <v>3882656.13</v>
          </cell>
          <cell r="I244">
            <v>0</v>
          </cell>
          <cell r="J244">
            <v>3882656.13</v>
          </cell>
          <cell r="K244">
            <v>0</v>
          </cell>
        </row>
        <row r="245">
          <cell r="F245">
            <v>435000</v>
          </cell>
          <cell r="G245">
            <v>0</v>
          </cell>
          <cell r="H245">
            <v>435000</v>
          </cell>
          <cell r="I245">
            <v>0</v>
          </cell>
          <cell r="J245">
            <v>435000</v>
          </cell>
          <cell r="K245">
            <v>0</v>
          </cell>
        </row>
        <row r="246">
          <cell r="F246">
            <v>0</v>
          </cell>
          <cell r="G246">
            <v>4388588</v>
          </cell>
          <cell r="H246">
            <v>4388588</v>
          </cell>
          <cell r="I246">
            <v>0</v>
          </cell>
          <cell r="J246">
            <v>4388588</v>
          </cell>
          <cell r="K246">
            <v>0</v>
          </cell>
        </row>
        <row r="247">
          <cell r="F247">
            <v>-25000</v>
          </cell>
          <cell r="G247">
            <v>0</v>
          </cell>
          <cell r="H247">
            <v>-25000</v>
          </cell>
          <cell r="I247">
            <v>0</v>
          </cell>
          <cell r="J247">
            <v>-25000</v>
          </cell>
          <cell r="K247">
            <v>-200000</v>
          </cell>
        </row>
        <row r="248">
          <cell r="F248">
            <v>3000</v>
          </cell>
          <cell r="G248">
            <v>0</v>
          </cell>
          <cell r="H248">
            <v>3000</v>
          </cell>
          <cell r="I248">
            <v>0</v>
          </cell>
          <cell r="J248">
            <v>3000</v>
          </cell>
          <cell r="K248">
            <v>97500</v>
          </cell>
        </row>
        <row r="249">
          <cell r="F249">
            <v>63410</v>
          </cell>
          <cell r="G249">
            <v>0</v>
          </cell>
          <cell r="H249">
            <v>63410</v>
          </cell>
          <cell r="I249">
            <v>0</v>
          </cell>
          <cell r="J249">
            <v>63410</v>
          </cell>
          <cell r="K249">
            <v>-208164.23</v>
          </cell>
        </row>
        <row r="250">
          <cell r="F250">
            <v>15313033.41</v>
          </cell>
          <cell r="G250">
            <v>5806366</v>
          </cell>
          <cell r="H250">
            <v>21119399.41</v>
          </cell>
          <cell r="I250">
            <v>0</v>
          </cell>
          <cell r="J250">
            <v>21119399.41</v>
          </cell>
          <cell r="K250">
            <v>-310664.23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34163838.840000004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34163838.840000004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35807139.490000002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35807139.490000002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26412257.710000001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4997894.54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671100.96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32081253.210000001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5">
          <cell r="F265">
            <v>5000</v>
          </cell>
          <cell r="G265">
            <v>0</v>
          </cell>
          <cell r="H265">
            <v>5000</v>
          </cell>
          <cell r="I265">
            <v>0</v>
          </cell>
          <cell r="J265">
            <v>5000</v>
          </cell>
          <cell r="K265">
            <v>0</v>
          </cell>
        </row>
        <row r="266">
          <cell r="F266">
            <v>10645.13</v>
          </cell>
          <cell r="G266">
            <v>0</v>
          </cell>
          <cell r="H266">
            <v>10645.13</v>
          </cell>
          <cell r="I266">
            <v>0</v>
          </cell>
          <cell r="J266">
            <v>10645.13</v>
          </cell>
          <cell r="K266">
            <v>0</v>
          </cell>
        </row>
        <row r="267">
          <cell r="F267">
            <v>55643056.140000001</v>
          </cell>
          <cell r="G267">
            <v>0</v>
          </cell>
          <cell r="H267">
            <v>55643056.140000001</v>
          </cell>
          <cell r="I267">
            <v>0</v>
          </cell>
          <cell r="J267">
            <v>55643056.140000001</v>
          </cell>
          <cell r="K267">
            <v>102462959.5</v>
          </cell>
        </row>
        <row r="268">
          <cell r="F268">
            <v>35000</v>
          </cell>
          <cell r="G268">
            <v>0</v>
          </cell>
          <cell r="H268">
            <v>35000</v>
          </cell>
          <cell r="I268">
            <v>0</v>
          </cell>
          <cell r="J268">
            <v>35000</v>
          </cell>
          <cell r="K268">
            <v>2904946.43</v>
          </cell>
        </row>
        <row r="269">
          <cell r="F269">
            <v>55693701.270000003</v>
          </cell>
          <cell r="G269">
            <v>0</v>
          </cell>
          <cell r="H269">
            <v>55693701.270000003</v>
          </cell>
          <cell r="I269">
            <v>0</v>
          </cell>
          <cell r="J269">
            <v>55693701.270000003</v>
          </cell>
          <cell r="K269">
            <v>105367905.93000001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83353621.709999993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83353621.709999993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48110.41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30908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79018.41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152846182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152846182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1">
          <cell r="F291">
            <v>1523353.32</v>
          </cell>
          <cell r="G291">
            <v>0</v>
          </cell>
          <cell r="H291">
            <v>1523353.32</v>
          </cell>
          <cell r="I291">
            <v>0</v>
          </cell>
          <cell r="J291">
            <v>1523353.32</v>
          </cell>
          <cell r="K291">
            <v>17385504.210000001</v>
          </cell>
        </row>
        <row r="292">
          <cell r="F292">
            <v>1523353.32</v>
          </cell>
          <cell r="G292">
            <v>0</v>
          </cell>
          <cell r="H292">
            <v>1523353.32</v>
          </cell>
          <cell r="I292">
            <v>0</v>
          </cell>
          <cell r="J292">
            <v>1523353.32</v>
          </cell>
          <cell r="K292">
            <v>17385504.210000001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64374415.280000001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431100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64805515.280000001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2">
          <cell r="F312">
            <v>553070</v>
          </cell>
          <cell r="G312">
            <v>0</v>
          </cell>
          <cell r="H312">
            <v>553070</v>
          </cell>
          <cell r="I312">
            <v>0</v>
          </cell>
          <cell r="J312">
            <v>553070</v>
          </cell>
          <cell r="K312">
            <v>3000</v>
          </cell>
        </row>
        <row r="313">
          <cell r="F313">
            <v>319654</v>
          </cell>
          <cell r="G313">
            <v>0</v>
          </cell>
          <cell r="H313">
            <v>319654</v>
          </cell>
          <cell r="I313">
            <v>0</v>
          </cell>
          <cell r="J313">
            <v>319654</v>
          </cell>
          <cell r="K313">
            <v>498840</v>
          </cell>
        </row>
        <row r="314">
          <cell r="F314">
            <v>432801.91</v>
          </cell>
          <cell r="G314">
            <v>0</v>
          </cell>
          <cell r="H314">
            <v>432801.91</v>
          </cell>
          <cell r="I314">
            <v>0</v>
          </cell>
          <cell r="J314">
            <v>432801.91</v>
          </cell>
          <cell r="K314">
            <v>214595.18</v>
          </cell>
        </row>
        <row r="315">
          <cell r="F315">
            <v>1305525.9099999999</v>
          </cell>
          <cell r="G315">
            <v>0</v>
          </cell>
          <cell r="H315">
            <v>1305525.9099999999</v>
          </cell>
          <cell r="I315">
            <v>0</v>
          </cell>
          <cell r="J315">
            <v>1305525.9099999999</v>
          </cell>
          <cell r="K315">
            <v>716435.17999999993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9">
          <cell r="F319">
            <v>3082759.15</v>
          </cell>
          <cell r="G319">
            <v>138189.99</v>
          </cell>
          <cell r="H319">
            <v>3220949.14</v>
          </cell>
          <cell r="I319">
            <v>0</v>
          </cell>
          <cell r="J319">
            <v>3220949.14</v>
          </cell>
          <cell r="K319">
            <v>0</v>
          </cell>
        </row>
        <row r="320">
          <cell r="F320">
            <v>1035252.23</v>
          </cell>
          <cell r="G320">
            <v>0</v>
          </cell>
          <cell r="H320">
            <v>1035252.23</v>
          </cell>
          <cell r="I320">
            <v>0</v>
          </cell>
          <cell r="J320">
            <v>1035252.23</v>
          </cell>
          <cell r="K320">
            <v>0</v>
          </cell>
        </row>
        <row r="321">
          <cell r="F321">
            <v>177500</v>
          </cell>
          <cell r="G321">
            <v>0</v>
          </cell>
          <cell r="H321">
            <v>177500</v>
          </cell>
          <cell r="I321">
            <v>0</v>
          </cell>
          <cell r="J321">
            <v>177500</v>
          </cell>
          <cell r="K321">
            <v>0</v>
          </cell>
        </row>
        <row r="322">
          <cell r="F322">
            <v>113314.92</v>
          </cell>
          <cell r="G322">
            <v>0</v>
          </cell>
          <cell r="H322">
            <v>113314.92</v>
          </cell>
          <cell r="I322">
            <v>0</v>
          </cell>
          <cell r="J322">
            <v>113314.92</v>
          </cell>
          <cell r="K322">
            <v>117345</v>
          </cell>
        </row>
        <row r="323">
          <cell r="F323">
            <v>4408826.3</v>
          </cell>
          <cell r="G323">
            <v>138189.99</v>
          </cell>
          <cell r="H323">
            <v>4547016.29</v>
          </cell>
          <cell r="I323">
            <v>0</v>
          </cell>
          <cell r="J323">
            <v>4547016.29</v>
          </cell>
          <cell r="K323">
            <v>117345</v>
          </cell>
        </row>
        <row r="325">
          <cell r="F325">
            <v>26171787.899999999</v>
          </cell>
          <cell r="G325">
            <v>0</v>
          </cell>
          <cell r="H325">
            <v>26171787.899999999</v>
          </cell>
          <cell r="I325">
            <v>0</v>
          </cell>
          <cell r="J325">
            <v>26171787.899999999</v>
          </cell>
          <cell r="K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6851823.21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8635329.4499999993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547850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530300</v>
          </cell>
        </row>
        <row r="330">
          <cell r="F330">
            <v>2936852.06</v>
          </cell>
          <cell r="G330">
            <v>0</v>
          </cell>
          <cell r="H330">
            <v>2936852.06</v>
          </cell>
          <cell r="I330">
            <v>0</v>
          </cell>
          <cell r="J330">
            <v>2936852.06</v>
          </cell>
          <cell r="K330">
            <v>1500812.19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8039403.3799999999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866002.11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3414788.15</v>
          </cell>
        </row>
        <row r="334">
          <cell r="F334">
            <v>3808953.25</v>
          </cell>
          <cell r="G334">
            <v>0</v>
          </cell>
          <cell r="H334">
            <v>3808953.25</v>
          </cell>
          <cell r="I334">
            <v>11000</v>
          </cell>
          <cell r="J334">
            <v>3819953.25</v>
          </cell>
          <cell r="K334">
            <v>1511332.62</v>
          </cell>
        </row>
        <row r="335">
          <cell r="F335">
            <v>2210715.92</v>
          </cell>
          <cell r="G335">
            <v>0</v>
          </cell>
          <cell r="H335">
            <v>2210715.92</v>
          </cell>
          <cell r="I335">
            <v>0</v>
          </cell>
          <cell r="J335">
            <v>2210715.92</v>
          </cell>
          <cell r="K335">
            <v>978355.95</v>
          </cell>
        </row>
        <row r="336">
          <cell r="F336">
            <v>2381313.73</v>
          </cell>
          <cell r="G336">
            <v>0</v>
          </cell>
          <cell r="H336">
            <v>2381313.73</v>
          </cell>
          <cell r="I336">
            <v>0</v>
          </cell>
          <cell r="J336">
            <v>2381313.73</v>
          </cell>
          <cell r="K336">
            <v>459140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30772.49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41000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300739.73</v>
          </cell>
        </row>
        <row r="340"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8239039.9100000001</v>
          </cell>
        </row>
        <row r="341">
          <cell r="F341">
            <v>7852572.6299999999</v>
          </cell>
          <cell r="G341">
            <v>0</v>
          </cell>
          <cell r="H341">
            <v>7852572.6299999999</v>
          </cell>
          <cell r="I341">
            <v>0</v>
          </cell>
          <cell r="J341">
            <v>7852572.6299999999</v>
          </cell>
          <cell r="K341">
            <v>5657493.7599999998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1728500</v>
          </cell>
        </row>
        <row r="343">
          <cell r="F343">
            <v>12814129.57</v>
          </cell>
          <cell r="G343">
            <v>0</v>
          </cell>
          <cell r="H343">
            <v>12814129.57</v>
          </cell>
          <cell r="I343">
            <v>0</v>
          </cell>
          <cell r="J343">
            <v>12814129.57</v>
          </cell>
          <cell r="K343">
            <v>4614055.43</v>
          </cell>
        </row>
        <row r="344"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2216800.04</v>
          </cell>
        </row>
        <row r="345"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608480.47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452313.32</v>
          </cell>
        </row>
        <row r="347">
          <cell r="F347">
            <v>90781.68</v>
          </cell>
          <cell r="G347">
            <v>0</v>
          </cell>
          <cell r="H347">
            <v>90781.68</v>
          </cell>
          <cell r="I347">
            <v>0</v>
          </cell>
          <cell r="J347">
            <v>90781.68</v>
          </cell>
          <cell r="K347">
            <v>181500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350230</v>
          </cell>
        </row>
        <row r="349"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655317.35</v>
          </cell>
        </row>
        <row r="350">
          <cell r="F350">
            <v>58267106.739999995</v>
          </cell>
          <cell r="G350">
            <v>0</v>
          </cell>
          <cell r="H350">
            <v>58267106.739999995</v>
          </cell>
          <cell r="I350">
            <v>11000</v>
          </cell>
          <cell r="J350">
            <v>58278106.739999995</v>
          </cell>
          <cell r="K350">
            <v>58411379.559999995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4">
          <cell r="F354">
            <v>330203.63</v>
          </cell>
          <cell r="G354">
            <v>0</v>
          </cell>
          <cell r="H354">
            <v>330203.63</v>
          </cell>
          <cell r="I354">
            <v>0</v>
          </cell>
          <cell r="J354">
            <v>330203.63</v>
          </cell>
          <cell r="K354">
            <v>115697.64</v>
          </cell>
        </row>
        <row r="355">
          <cell r="F355">
            <v>0</v>
          </cell>
          <cell r="G355">
            <v>6896854.0800000001</v>
          </cell>
          <cell r="H355">
            <v>6896854.0800000001</v>
          </cell>
          <cell r="I355">
            <v>0</v>
          </cell>
          <cell r="J355">
            <v>6896854.0800000001</v>
          </cell>
          <cell r="K355">
            <v>79981.61</v>
          </cell>
        </row>
        <row r="356"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595979.18000000005</v>
          </cell>
        </row>
        <row r="357"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320.74</v>
          </cell>
        </row>
        <row r="358">
          <cell r="F358">
            <v>330203.63</v>
          </cell>
          <cell r="G358">
            <v>6896854.0800000001</v>
          </cell>
          <cell r="H358">
            <v>7227057.71</v>
          </cell>
          <cell r="I358">
            <v>0</v>
          </cell>
          <cell r="J358">
            <v>7227057.71</v>
          </cell>
          <cell r="K358">
            <v>791979.17</v>
          </cell>
        </row>
        <row r="360"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123700</v>
          </cell>
        </row>
        <row r="361"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8000</v>
          </cell>
        </row>
        <row r="362">
          <cell r="F362">
            <v>2416840</v>
          </cell>
          <cell r="G362">
            <v>142052</v>
          </cell>
          <cell r="H362">
            <v>2558892</v>
          </cell>
          <cell r="I362">
            <v>0</v>
          </cell>
          <cell r="J362">
            <v>2558892</v>
          </cell>
          <cell r="K362">
            <v>6459076</v>
          </cell>
        </row>
        <row r="363">
          <cell r="F363">
            <v>2416840</v>
          </cell>
          <cell r="G363">
            <v>142052</v>
          </cell>
          <cell r="H363">
            <v>2558892</v>
          </cell>
          <cell r="I363">
            <v>0</v>
          </cell>
          <cell r="J363">
            <v>2558892</v>
          </cell>
          <cell r="K363">
            <v>6590776</v>
          </cell>
        </row>
        <row r="365">
          <cell r="F365">
            <v>5918755.5899999999</v>
          </cell>
          <cell r="G365">
            <v>0</v>
          </cell>
          <cell r="H365">
            <v>5918755.5899999999</v>
          </cell>
          <cell r="I365">
            <v>0</v>
          </cell>
          <cell r="J365">
            <v>5918755.5899999999</v>
          </cell>
          <cell r="K365">
            <v>5388064.9299999997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231250</v>
          </cell>
        </row>
        <row r="367"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3902963.95</v>
          </cell>
        </row>
        <row r="368"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41970</v>
          </cell>
        </row>
        <row r="369">
          <cell r="F369">
            <v>412000</v>
          </cell>
          <cell r="G369">
            <v>0</v>
          </cell>
          <cell r="H369">
            <v>412000</v>
          </cell>
          <cell r="I369">
            <v>0</v>
          </cell>
          <cell r="J369">
            <v>412000</v>
          </cell>
          <cell r="K369">
            <v>1290975</v>
          </cell>
        </row>
        <row r="370">
          <cell r="F370">
            <v>737770</v>
          </cell>
          <cell r="G370">
            <v>0</v>
          </cell>
          <cell r="H370">
            <v>737770</v>
          </cell>
          <cell r="I370">
            <v>0</v>
          </cell>
          <cell r="J370">
            <v>737770</v>
          </cell>
          <cell r="K370">
            <v>1246777</v>
          </cell>
        </row>
        <row r="371"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200040</v>
          </cell>
        </row>
        <row r="372"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817480.5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1500</v>
          </cell>
        </row>
        <row r="374"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416758.95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493740</v>
          </cell>
        </row>
        <row r="376">
          <cell r="F376">
            <v>14540</v>
          </cell>
          <cell r="G376">
            <v>0</v>
          </cell>
          <cell r="H376">
            <v>14540</v>
          </cell>
          <cell r="I376">
            <v>0</v>
          </cell>
          <cell r="J376">
            <v>14540</v>
          </cell>
          <cell r="K376">
            <v>232300</v>
          </cell>
        </row>
        <row r="377"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338950</v>
          </cell>
        </row>
        <row r="378"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24500</v>
          </cell>
        </row>
        <row r="379"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184079.67</v>
          </cell>
        </row>
        <row r="380">
          <cell r="F380">
            <v>7083065.5899999999</v>
          </cell>
          <cell r="G380">
            <v>0</v>
          </cell>
          <cell r="H380">
            <v>7083065.5899999999</v>
          </cell>
          <cell r="I380">
            <v>0</v>
          </cell>
          <cell r="J380">
            <v>7083065.5899999999</v>
          </cell>
          <cell r="K380">
            <v>14811349.999999998</v>
          </cell>
        </row>
        <row r="382">
          <cell r="F382">
            <v>2334602.5</v>
          </cell>
          <cell r="G382">
            <v>0</v>
          </cell>
          <cell r="H382">
            <v>2334602.5</v>
          </cell>
          <cell r="I382">
            <v>0</v>
          </cell>
          <cell r="J382">
            <v>2334602.5</v>
          </cell>
          <cell r="K382">
            <v>0</v>
          </cell>
        </row>
        <row r="383"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37295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800</v>
          </cell>
        </row>
        <row r="385"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168618.5</v>
          </cell>
        </row>
        <row r="386"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233655</v>
          </cell>
        </row>
        <row r="387"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166465</v>
          </cell>
        </row>
        <row r="388"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20000</v>
          </cell>
        </row>
        <row r="389"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1216505</v>
          </cell>
        </row>
        <row r="390">
          <cell r="F390">
            <v>2334602.5</v>
          </cell>
          <cell r="G390">
            <v>0</v>
          </cell>
          <cell r="H390">
            <v>2334602.5</v>
          </cell>
          <cell r="I390">
            <v>0</v>
          </cell>
          <cell r="J390">
            <v>2334602.5</v>
          </cell>
          <cell r="K390">
            <v>1843338.5</v>
          </cell>
        </row>
        <row r="392">
          <cell r="F392">
            <v>789900</v>
          </cell>
          <cell r="G392">
            <v>0</v>
          </cell>
          <cell r="H392">
            <v>789900</v>
          </cell>
          <cell r="I392">
            <v>0</v>
          </cell>
          <cell r="J392">
            <v>789900</v>
          </cell>
          <cell r="K392">
            <v>1216110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140400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161800</v>
          </cell>
        </row>
        <row r="395">
          <cell r="F395">
            <v>789900</v>
          </cell>
          <cell r="G395">
            <v>0</v>
          </cell>
          <cell r="H395">
            <v>789900</v>
          </cell>
          <cell r="I395">
            <v>0</v>
          </cell>
          <cell r="J395">
            <v>789900</v>
          </cell>
          <cell r="K395">
            <v>1518310</v>
          </cell>
        </row>
        <row r="397">
          <cell r="F397">
            <v>1868060.11</v>
          </cell>
          <cell r="G397">
            <v>0</v>
          </cell>
          <cell r="H397">
            <v>1868060.11</v>
          </cell>
          <cell r="I397">
            <v>0</v>
          </cell>
          <cell r="J397">
            <v>1868060.11</v>
          </cell>
          <cell r="K397">
            <v>3848.9</v>
          </cell>
        </row>
        <row r="398">
          <cell r="F398">
            <v>1868060.11</v>
          </cell>
          <cell r="G398">
            <v>0</v>
          </cell>
          <cell r="H398">
            <v>1868060.11</v>
          </cell>
          <cell r="I398">
            <v>0</v>
          </cell>
          <cell r="J398">
            <v>1868060.11</v>
          </cell>
          <cell r="K398">
            <v>3848.9</v>
          </cell>
        </row>
        <row r="400">
          <cell r="F400">
            <v>4857804.43</v>
          </cell>
          <cell r="G400">
            <v>0</v>
          </cell>
          <cell r="H400">
            <v>4857804.43</v>
          </cell>
          <cell r="I400">
            <v>0</v>
          </cell>
          <cell r="J400">
            <v>4857804.43</v>
          </cell>
          <cell r="K400">
            <v>0</v>
          </cell>
        </row>
        <row r="401">
          <cell r="F401">
            <v>141678.48000000001</v>
          </cell>
          <cell r="G401">
            <v>0</v>
          </cell>
          <cell r="H401">
            <v>141678.48000000001</v>
          </cell>
          <cell r="I401">
            <v>0</v>
          </cell>
          <cell r="J401">
            <v>141678.48000000001</v>
          </cell>
          <cell r="K401">
            <v>0</v>
          </cell>
        </row>
        <row r="402">
          <cell r="F402">
            <v>712025</v>
          </cell>
          <cell r="G402">
            <v>0</v>
          </cell>
          <cell r="H402">
            <v>712025</v>
          </cell>
          <cell r="I402">
            <v>0</v>
          </cell>
          <cell r="J402">
            <v>712025</v>
          </cell>
          <cell r="K402">
            <v>0</v>
          </cell>
        </row>
        <row r="403">
          <cell r="F403">
            <v>277119.43</v>
          </cell>
          <cell r="G403">
            <v>0</v>
          </cell>
          <cell r="H403">
            <v>277119.43</v>
          </cell>
          <cell r="I403">
            <v>-277119.43</v>
          </cell>
          <cell r="J403">
            <v>0</v>
          </cell>
          <cell r="K403">
            <v>0</v>
          </cell>
        </row>
        <row r="404">
          <cell r="F404">
            <v>522000</v>
          </cell>
          <cell r="G404">
            <v>0</v>
          </cell>
          <cell r="H404">
            <v>522000</v>
          </cell>
          <cell r="I404">
            <v>0</v>
          </cell>
          <cell r="J404">
            <v>522000</v>
          </cell>
          <cell r="K404">
            <v>0</v>
          </cell>
        </row>
        <row r="405">
          <cell r="F405">
            <v>29400</v>
          </cell>
          <cell r="G405">
            <v>0</v>
          </cell>
          <cell r="H405">
            <v>29400</v>
          </cell>
          <cell r="I405">
            <v>0</v>
          </cell>
          <cell r="J405">
            <v>29400</v>
          </cell>
          <cell r="K405">
            <v>7500</v>
          </cell>
        </row>
        <row r="406"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32500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281428.75</v>
          </cell>
        </row>
        <row r="408">
          <cell r="F408">
            <v>58000</v>
          </cell>
          <cell r="G408">
            <v>0</v>
          </cell>
          <cell r="H408">
            <v>58000</v>
          </cell>
          <cell r="I408">
            <v>0</v>
          </cell>
          <cell r="J408">
            <v>58000</v>
          </cell>
          <cell r="K408">
            <v>36500</v>
          </cell>
        </row>
        <row r="409"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2761719.06</v>
          </cell>
        </row>
        <row r="410">
          <cell r="F410">
            <v>2990395.54</v>
          </cell>
          <cell r="G410">
            <v>0</v>
          </cell>
          <cell r="H410">
            <v>2990395.54</v>
          </cell>
          <cell r="I410">
            <v>23000</v>
          </cell>
          <cell r="J410">
            <v>3013395.54</v>
          </cell>
          <cell r="K410">
            <v>0</v>
          </cell>
        </row>
        <row r="411">
          <cell r="F411">
            <v>9588422.879999999</v>
          </cell>
          <cell r="G411">
            <v>0</v>
          </cell>
          <cell r="H411">
            <v>9588422.879999999</v>
          </cell>
          <cell r="I411">
            <v>-254119.43</v>
          </cell>
          <cell r="J411">
            <v>9334303.4499999993</v>
          </cell>
          <cell r="K411">
            <v>3119647.81</v>
          </cell>
        </row>
        <row r="413"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823671.3</v>
          </cell>
        </row>
        <row r="414"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385503.53</v>
          </cell>
        </row>
        <row r="415">
          <cell r="F415">
            <v>63512.72</v>
          </cell>
          <cell r="G415">
            <v>234081.56</v>
          </cell>
          <cell r="H415">
            <v>297594.28000000003</v>
          </cell>
          <cell r="I415">
            <v>36956.800000000003</v>
          </cell>
          <cell r="J415">
            <v>334551.08</v>
          </cell>
          <cell r="K415">
            <v>71593.56</v>
          </cell>
        </row>
        <row r="416">
          <cell r="F416">
            <v>276786</v>
          </cell>
          <cell r="G416">
            <v>574670.21</v>
          </cell>
          <cell r="H416">
            <v>851456.21</v>
          </cell>
          <cell r="I416">
            <v>0</v>
          </cell>
          <cell r="J416">
            <v>851456.21</v>
          </cell>
          <cell r="K416">
            <v>503419.84</v>
          </cell>
        </row>
        <row r="417">
          <cell r="F417">
            <v>1664590.16</v>
          </cell>
          <cell r="G417">
            <v>722807.59</v>
          </cell>
          <cell r="H417">
            <v>2387397.75</v>
          </cell>
          <cell r="I417">
            <v>0</v>
          </cell>
          <cell r="J417">
            <v>2387397.75</v>
          </cell>
          <cell r="K417">
            <v>3980510</v>
          </cell>
        </row>
        <row r="418">
          <cell r="F418">
            <v>0</v>
          </cell>
          <cell r="G418">
            <v>546505</v>
          </cell>
          <cell r="H418">
            <v>546505</v>
          </cell>
          <cell r="I418">
            <v>0</v>
          </cell>
          <cell r="J418">
            <v>546505</v>
          </cell>
          <cell r="K418">
            <v>661050</v>
          </cell>
        </row>
        <row r="419">
          <cell r="F419">
            <v>2004888.88</v>
          </cell>
          <cell r="G419">
            <v>2078064.3599999999</v>
          </cell>
          <cell r="H419">
            <v>4082953.24</v>
          </cell>
          <cell r="I419">
            <v>36956.800000000003</v>
          </cell>
          <cell r="J419">
            <v>4119910.04</v>
          </cell>
          <cell r="K419">
            <v>6425748.2300000004</v>
          </cell>
        </row>
        <row r="421"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1030532.61</v>
          </cell>
        </row>
        <row r="422"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53776458.030000001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F424">
            <v>30000</v>
          </cell>
          <cell r="G424">
            <v>0</v>
          </cell>
          <cell r="H424">
            <v>30000</v>
          </cell>
          <cell r="I424">
            <v>0</v>
          </cell>
          <cell r="J424">
            <v>30000</v>
          </cell>
          <cell r="K424">
            <v>0</v>
          </cell>
        </row>
        <row r="425">
          <cell r="F425">
            <v>0</v>
          </cell>
          <cell r="G425">
            <v>6660031.3899999997</v>
          </cell>
          <cell r="H425">
            <v>6660031.3899999997</v>
          </cell>
          <cell r="I425">
            <v>0</v>
          </cell>
          <cell r="J425">
            <v>6660031.3899999997</v>
          </cell>
          <cell r="K425">
            <v>0</v>
          </cell>
        </row>
        <row r="426">
          <cell r="F426">
            <v>0</v>
          </cell>
          <cell r="G426">
            <v>11019270.6</v>
          </cell>
          <cell r="H426">
            <v>11019270.6</v>
          </cell>
          <cell r="I426">
            <v>0</v>
          </cell>
          <cell r="J426">
            <v>11019270.6</v>
          </cell>
          <cell r="K426">
            <v>0</v>
          </cell>
        </row>
        <row r="427">
          <cell r="F427">
            <v>36348967.299999997</v>
          </cell>
          <cell r="G427">
            <v>46932412.759999998</v>
          </cell>
          <cell r="H427">
            <v>83281380.060000002</v>
          </cell>
          <cell r="I427">
            <v>0</v>
          </cell>
          <cell r="J427">
            <v>83281380.060000002</v>
          </cell>
          <cell r="K427">
            <v>11876916.220000001</v>
          </cell>
        </row>
        <row r="428">
          <cell r="F428">
            <v>36378967.299999997</v>
          </cell>
          <cell r="G428">
            <v>64611714.75</v>
          </cell>
          <cell r="H428">
            <v>100990682.05</v>
          </cell>
          <cell r="I428">
            <v>0</v>
          </cell>
          <cell r="J428">
            <v>100990682.05</v>
          </cell>
          <cell r="K428">
            <v>66683906.859999999</v>
          </cell>
        </row>
        <row r="430">
          <cell r="F430">
            <v>4628013.08</v>
          </cell>
          <cell r="G430">
            <v>0</v>
          </cell>
          <cell r="H430">
            <v>4628013.08</v>
          </cell>
          <cell r="I430">
            <v>-551356.82999999996</v>
          </cell>
          <cell r="J430">
            <v>4076656.25</v>
          </cell>
          <cell r="K430">
            <v>0</v>
          </cell>
        </row>
        <row r="431">
          <cell r="F431">
            <v>4628013.08</v>
          </cell>
          <cell r="G431">
            <v>0</v>
          </cell>
          <cell r="H431">
            <v>4628013.08</v>
          </cell>
          <cell r="I431">
            <v>-551356.82999999996</v>
          </cell>
          <cell r="J431">
            <v>4076656.25</v>
          </cell>
          <cell r="K431">
            <v>0</v>
          </cell>
        </row>
        <row r="433">
          <cell r="F433">
            <v>13816506.65</v>
          </cell>
          <cell r="G433">
            <v>0</v>
          </cell>
          <cell r="H433">
            <v>13816506.65</v>
          </cell>
          <cell r="I433">
            <v>0</v>
          </cell>
          <cell r="J433">
            <v>13816506.65</v>
          </cell>
          <cell r="K433">
            <v>11921613.550000001</v>
          </cell>
        </row>
        <row r="434">
          <cell r="F434">
            <v>13816506.65</v>
          </cell>
          <cell r="G434">
            <v>0</v>
          </cell>
          <cell r="H434">
            <v>13816506.65</v>
          </cell>
          <cell r="I434">
            <v>0</v>
          </cell>
          <cell r="J434">
            <v>13816506.65</v>
          </cell>
          <cell r="K434">
            <v>11921613.550000001</v>
          </cell>
        </row>
        <row r="436">
          <cell r="F436">
            <v>2000</v>
          </cell>
          <cell r="G436">
            <v>0</v>
          </cell>
          <cell r="H436">
            <v>2000</v>
          </cell>
          <cell r="I436">
            <v>0</v>
          </cell>
          <cell r="J436">
            <v>2000</v>
          </cell>
          <cell r="K436">
            <v>0</v>
          </cell>
        </row>
        <row r="437">
          <cell r="F437">
            <v>-710366.26</v>
          </cell>
          <cell r="G437">
            <v>0</v>
          </cell>
          <cell r="H437">
            <v>-710366.26</v>
          </cell>
          <cell r="I437">
            <v>828476.26</v>
          </cell>
          <cell r="J437">
            <v>118110</v>
          </cell>
          <cell r="K437">
            <v>0</v>
          </cell>
        </row>
        <row r="438">
          <cell r="F438">
            <v>3187749.39</v>
          </cell>
          <cell r="G438">
            <v>0</v>
          </cell>
          <cell r="H438">
            <v>3187749.39</v>
          </cell>
          <cell r="I438">
            <v>0</v>
          </cell>
          <cell r="J438">
            <v>3187749.39</v>
          </cell>
          <cell r="K438">
            <v>7271022.5599999996</v>
          </cell>
        </row>
        <row r="439">
          <cell r="F439">
            <v>2751744.5</v>
          </cell>
          <cell r="G439">
            <v>0</v>
          </cell>
          <cell r="H439">
            <v>2751744.5</v>
          </cell>
          <cell r="I439">
            <v>102500</v>
          </cell>
          <cell r="J439">
            <v>2854244.5</v>
          </cell>
          <cell r="K439">
            <v>4577944.97</v>
          </cell>
        </row>
        <row r="440">
          <cell r="F440">
            <v>519465</v>
          </cell>
          <cell r="G440">
            <v>0</v>
          </cell>
          <cell r="H440">
            <v>519465</v>
          </cell>
          <cell r="I440">
            <v>28000</v>
          </cell>
          <cell r="J440">
            <v>547465</v>
          </cell>
          <cell r="K440">
            <v>253831.04000000001</v>
          </cell>
        </row>
        <row r="441"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140600</v>
          </cell>
        </row>
        <row r="442">
          <cell r="F442">
            <v>104400</v>
          </cell>
          <cell r="G442">
            <v>0</v>
          </cell>
          <cell r="H442">
            <v>104400</v>
          </cell>
          <cell r="I442">
            <v>229350</v>
          </cell>
          <cell r="J442">
            <v>333750</v>
          </cell>
          <cell r="K442">
            <v>923690.17</v>
          </cell>
        </row>
        <row r="443">
          <cell r="F443">
            <v>5854992.6299999999</v>
          </cell>
          <cell r="G443">
            <v>0</v>
          </cell>
          <cell r="H443">
            <v>5854992.6299999999</v>
          </cell>
          <cell r="I443">
            <v>1188326.26</v>
          </cell>
          <cell r="J443">
            <v>7043318.8900000006</v>
          </cell>
          <cell r="K443">
            <v>13167088.739999998</v>
          </cell>
        </row>
        <row r="445">
          <cell r="F445">
            <v>310797.5</v>
          </cell>
          <cell r="G445">
            <v>0</v>
          </cell>
          <cell r="H445">
            <v>310797.5</v>
          </cell>
          <cell r="I445">
            <v>0</v>
          </cell>
          <cell r="J445">
            <v>310797.5</v>
          </cell>
          <cell r="K445">
            <v>826695</v>
          </cell>
        </row>
        <row r="446"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28450</v>
          </cell>
        </row>
        <row r="447">
          <cell r="F447">
            <v>310797.5</v>
          </cell>
          <cell r="G447">
            <v>0</v>
          </cell>
          <cell r="H447">
            <v>310797.5</v>
          </cell>
          <cell r="I447">
            <v>0</v>
          </cell>
          <cell r="J447">
            <v>310797.5</v>
          </cell>
          <cell r="K447">
            <v>855145</v>
          </cell>
        </row>
        <row r="449">
          <cell r="F449">
            <v>18250</v>
          </cell>
          <cell r="G449">
            <v>0</v>
          </cell>
          <cell r="H449">
            <v>18250</v>
          </cell>
          <cell r="I449">
            <v>0</v>
          </cell>
          <cell r="J449">
            <v>18250</v>
          </cell>
          <cell r="K449">
            <v>0</v>
          </cell>
        </row>
        <row r="450">
          <cell r="F450">
            <v>455000</v>
          </cell>
          <cell r="G450">
            <v>0</v>
          </cell>
          <cell r="H450">
            <v>455000</v>
          </cell>
          <cell r="I450">
            <v>0</v>
          </cell>
          <cell r="J450">
            <v>455000</v>
          </cell>
          <cell r="K450">
            <v>240000</v>
          </cell>
        </row>
        <row r="451">
          <cell r="F451">
            <v>410000</v>
          </cell>
          <cell r="G451">
            <v>0</v>
          </cell>
          <cell r="H451">
            <v>410000</v>
          </cell>
          <cell r="I451">
            <v>0</v>
          </cell>
          <cell r="J451">
            <v>410000</v>
          </cell>
          <cell r="K451">
            <v>240000</v>
          </cell>
        </row>
        <row r="452">
          <cell r="F452">
            <v>883250</v>
          </cell>
          <cell r="G452">
            <v>0</v>
          </cell>
          <cell r="H452">
            <v>883250</v>
          </cell>
          <cell r="I452">
            <v>0</v>
          </cell>
          <cell r="J452">
            <v>883250</v>
          </cell>
          <cell r="K452">
            <v>480000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6">
          <cell r="F456">
            <v>1180228.46</v>
          </cell>
          <cell r="G456">
            <v>45552.55</v>
          </cell>
          <cell r="H456">
            <v>1225781.01</v>
          </cell>
          <cell r="I456">
            <v>0</v>
          </cell>
          <cell r="J456">
            <v>1225781.01</v>
          </cell>
          <cell r="K456">
            <v>2914387.37</v>
          </cell>
        </row>
        <row r="457"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116433.33</v>
          </cell>
        </row>
        <row r="458"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107950</v>
          </cell>
        </row>
        <row r="459">
          <cell r="F459">
            <v>1180228.46</v>
          </cell>
          <cell r="G459">
            <v>45552.55</v>
          </cell>
          <cell r="H459">
            <v>1225781.01</v>
          </cell>
          <cell r="I459">
            <v>0</v>
          </cell>
          <cell r="J459">
            <v>1225781.01</v>
          </cell>
          <cell r="K459">
            <v>3138770.7</v>
          </cell>
        </row>
        <row r="461">
          <cell r="F461">
            <v>1253177.25</v>
          </cell>
          <cell r="G461">
            <v>0</v>
          </cell>
          <cell r="H461">
            <v>1253177.25</v>
          </cell>
          <cell r="I461">
            <v>0</v>
          </cell>
          <cell r="J461">
            <v>1253177.25</v>
          </cell>
          <cell r="K461">
            <v>2466518</v>
          </cell>
        </row>
        <row r="462">
          <cell r="F462">
            <v>144672.5</v>
          </cell>
          <cell r="G462">
            <v>0</v>
          </cell>
          <cell r="H462">
            <v>144672.5</v>
          </cell>
          <cell r="I462">
            <v>0</v>
          </cell>
          <cell r="J462">
            <v>144672.5</v>
          </cell>
          <cell r="K462">
            <v>876405</v>
          </cell>
        </row>
        <row r="463">
          <cell r="F463">
            <v>439640.97</v>
          </cell>
          <cell r="G463">
            <v>0</v>
          </cell>
          <cell r="H463">
            <v>439640.97</v>
          </cell>
          <cell r="I463">
            <v>0</v>
          </cell>
          <cell r="J463">
            <v>439640.97</v>
          </cell>
          <cell r="K463">
            <v>1055986.03</v>
          </cell>
        </row>
        <row r="464">
          <cell r="F464">
            <v>1837490.72</v>
          </cell>
          <cell r="G464">
            <v>0</v>
          </cell>
          <cell r="H464">
            <v>1837490.72</v>
          </cell>
          <cell r="I464">
            <v>0</v>
          </cell>
          <cell r="J464">
            <v>1837490.72</v>
          </cell>
          <cell r="K464">
            <v>4398909.03</v>
          </cell>
        </row>
        <row r="466">
          <cell r="F466">
            <v>1773064.6</v>
          </cell>
          <cell r="G466">
            <v>0</v>
          </cell>
          <cell r="H466">
            <v>1773064.6</v>
          </cell>
          <cell r="I466">
            <v>0</v>
          </cell>
          <cell r="J466">
            <v>1773064.6</v>
          </cell>
          <cell r="K466">
            <v>1610025</v>
          </cell>
        </row>
        <row r="467">
          <cell r="F467">
            <v>950000</v>
          </cell>
          <cell r="G467">
            <v>0</v>
          </cell>
          <cell r="H467">
            <v>950000</v>
          </cell>
          <cell r="I467">
            <v>0</v>
          </cell>
          <cell r="J467">
            <v>950000</v>
          </cell>
          <cell r="K467">
            <v>1152000</v>
          </cell>
        </row>
        <row r="468">
          <cell r="F468">
            <v>2723064.6</v>
          </cell>
          <cell r="G468">
            <v>0</v>
          </cell>
          <cell r="H468">
            <v>2723064.6</v>
          </cell>
          <cell r="I468">
            <v>0</v>
          </cell>
          <cell r="J468">
            <v>2723064.6</v>
          </cell>
          <cell r="K468">
            <v>2762025</v>
          </cell>
        </row>
        <row r="470">
          <cell r="F470">
            <v>700000</v>
          </cell>
          <cell r="G470">
            <v>4300000</v>
          </cell>
          <cell r="H470">
            <v>5000000</v>
          </cell>
          <cell r="I470">
            <v>0</v>
          </cell>
          <cell r="J470">
            <v>5000000</v>
          </cell>
          <cell r="K470">
            <v>3000000</v>
          </cell>
        </row>
        <row r="471">
          <cell r="F471">
            <v>700000</v>
          </cell>
          <cell r="G471">
            <v>4300000</v>
          </cell>
          <cell r="H471">
            <v>5000000</v>
          </cell>
          <cell r="I471">
            <v>0</v>
          </cell>
          <cell r="J471">
            <v>5000000</v>
          </cell>
          <cell r="K471">
            <v>3000000</v>
          </cell>
        </row>
        <row r="473"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1721168.33</v>
          </cell>
        </row>
        <row r="474"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1721168.33</v>
          </cell>
        </row>
        <row r="476"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66960.3</v>
          </cell>
        </row>
        <row r="477"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66960.3</v>
          </cell>
        </row>
        <row r="479">
          <cell r="F479">
            <v>1216400</v>
          </cell>
          <cell r="G479">
            <v>0</v>
          </cell>
          <cell r="H479">
            <v>1216400</v>
          </cell>
          <cell r="I479">
            <v>0</v>
          </cell>
          <cell r="J479">
            <v>1216400</v>
          </cell>
          <cell r="K479">
            <v>819800</v>
          </cell>
        </row>
        <row r="480">
          <cell r="F480">
            <v>2863835</v>
          </cell>
          <cell r="G480">
            <v>0</v>
          </cell>
          <cell r="H480">
            <v>2863835</v>
          </cell>
          <cell r="I480">
            <v>0</v>
          </cell>
          <cell r="J480">
            <v>2863835</v>
          </cell>
          <cell r="K480">
            <v>4998500</v>
          </cell>
        </row>
        <row r="481">
          <cell r="F481">
            <v>-422421.18</v>
          </cell>
          <cell r="G481">
            <v>0</v>
          </cell>
          <cell r="H481">
            <v>-422421.18</v>
          </cell>
          <cell r="I481">
            <v>0</v>
          </cell>
          <cell r="J481">
            <v>-422421.18</v>
          </cell>
          <cell r="K481">
            <v>153315</v>
          </cell>
        </row>
        <row r="482">
          <cell r="F482">
            <v>3657813.82</v>
          </cell>
          <cell r="G482">
            <v>0</v>
          </cell>
          <cell r="H482">
            <v>3657813.82</v>
          </cell>
          <cell r="I482">
            <v>0</v>
          </cell>
          <cell r="J482">
            <v>3657813.82</v>
          </cell>
          <cell r="K482">
            <v>5971615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6561183.3300000001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6561183.3300000001</v>
          </cell>
        </row>
        <row r="487">
          <cell r="F487">
            <v>1100660.8700000001</v>
          </cell>
          <cell r="G487">
            <v>55794.89</v>
          </cell>
          <cell r="H487">
            <v>1156455.76</v>
          </cell>
          <cell r="I487">
            <v>0</v>
          </cell>
          <cell r="J487">
            <v>1156455.76</v>
          </cell>
          <cell r="K487">
            <v>7490000</v>
          </cell>
        </row>
        <row r="488">
          <cell r="F488">
            <v>5668304.3700000001</v>
          </cell>
          <cell r="G488">
            <v>891274.46</v>
          </cell>
          <cell r="H488">
            <v>6559578.8300000001</v>
          </cell>
          <cell r="I488">
            <v>0</v>
          </cell>
          <cell r="J488">
            <v>6559578.8300000001</v>
          </cell>
          <cell r="K488">
            <v>43804065</v>
          </cell>
        </row>
        <row r="489">
          <cell r="F489">
            <v>6768965.2400000002</v>
          </cell>
          <cell r="G489">
            <v>947069.35</v>
          </cell>
          <cell r="H489">
            <v>7716034.5899999999</v>
          </cell>
          <cell r="I489">
            <v>0</v>
          </cell>
          <cell r="J489">
            <v>7716034.5899999999</v>
          </cell>
          <cell r="K489">
            <v>51294065</v>
          </cell>
        </row>
        <row r="491">
          <cell r="F491">
            <v>420250</v>
          </cell>
          <cell r="G491">
            <v>0</v>
          </cell>
          <cell r="H491">
            <v>420250</v>
          </cell>
          <cell r="I491">
            <v>0</v>
          </cell>
          <cell r="J491">
            <v>420250</v>
          </cell>
          <cell r="K491">
            <v>561980</v>
          </cell>
        </row>
        <row r="492"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280000</v>
          </cell>
        </row>
        <row r="493">
          <cell r="F493">
            <v>420250</v>
          </cell>
          <cell r="G493">
            <v>0</v>
          </cell>
          <cell r="H493">
            <v>420250</v>
          </cell>
          <cell r="I493">
            <v>0</v>
          </cell>
          <cell r="J493">
            <v>420250</v>
          </cell>
          <cell r="K493">
            <v>841980</v>
          </cell>
        </row>
        <row r="495"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</row>
        <row r="497"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</row>
        <row r="499">
          <cell r="F499">
            <v>199230</v>
          </cell>
          <cell r="G499">
            <v>0</v>
          </cell>
          <cell r="H499">
            <v>199230</v>
          </cell>
          <cell r="I499">
            <v>0</v>
          </cell>
          <cell r="J499">
            <v>199230</v>
          </cell>
          <cell r="K499">
            <v>223125.85</v>
          </cell>
        </row>
        <row r="500"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26070</v>
          </cell>
        </row>
        <row r="501">
          <cell r="F501">
            <v>199230</v>
          </cell>
          <cell r="G501">
            <v>0</v>
          </cell>
          <cell r="H501">
            <v>199230</v>
          </cell>
          <cell r="I501">
            <v>0</v>
          </cell>
          <cell r="J501">
            <v>199230</v>
          </cell>
          <cell r="K501">
            <v>249195.85</v>
          </cell>
        </row>
        <row r="503">
          <cell r="F503">
            <v>3052000</v>
          </cell>
          <cell r="G503">
            <v>0</v>
          </cell>
          <cell r="H503">
            <v>3052000</v>
          </cell>
          <cell r="I503">
            <v>0</v>
          </cell>
          <cell r="J503">
            <v>3052000</v>
          </cell>
          <cell r="K503">
            <v>2439800.16</v>
          </cell>
        </row>
        <row r="504">
          <cell r="F504">
            <v>3052000</v>
          </cell>
          <cell r="G504">
            <v>0</v>
          </cell>
          <cell r="H504">
            <v>3052000</v>
          </cell>
          <cell r="I504">
            <v>0</v>
          </cell>
          <cell r="J504">
            <v>3052000</v>
          </cell>
          <cell r="K504">
            <v>2439800.16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8">
          <cell r="F508">
            <v>-452360</v>
          </cell>
          <cell r="G508">
            <v>0</v>
          </cell>
          <cell r="H508">
            <v>-452360</v>
          </cell>
          <cell r="I508">
            <v>0</v>
          </cell>
          <cell r="J508">
            <v>-452360</v>
          </cell>
          <cell r="K508">
            <v>0</v>
          </cell>
        </row>
        <row r="509">
          <cell r="F509">
            <v>-2447849.4</v>
          </cell>
          <cell r="G509">
            <v>0</v>
          </cell>
          <cell r="H509">
            <v>-2447849.4</v>
          </cell>
          <cell r="I509">
            <v>-393850</v>
          </cell>
          <cell r="J509">
            <v>-2841699.4</v>
          </cell>
          <cell r="K509">
            <v>-183300</v>
          </cell>
        </row>
        <row r="510">
          <cell r="F510">
            <v>-2220389.7200000002</v>
          </cell>
          <cell r="G510">
            <v>0</v>
          </cell>
          <cell r="H510">
            <v>-2220389.7200000002</v>
          </cell>
          <cell r="I510">
            <v>0</v>
          </cell>
          <cell r="J510">
            <v>-2220389.7200000002</v>
          </cell>
          <cell r="K510">
            <v>-10117409.33</v>
          </cell>
        </row>
        <row r="511">
          <cell r="F511">
            <v>-5120599.12</v>
          </cell>
          <cell r="G511">
            <v>0</v>
          </cell>
          <cell r="H511">
            <v>-5120599.12</v>
          </cell>
          <cell r="I511">
            <v>-393850</v>
          </cell>
          <cell r="J511">
            <v>-5514449.1200000001</v>
          </cell>
          <cell r="K511">
            <v>-10300709.33</v>
          </cell>
        </row>
        <row r="513">
          <cell r="F513">
            <v>4500</v>
          </cell>
          <cell r="G513">
            <v>0</v>
          </cell>
          <cell r="H513">
            <v>4500</v>
          </cell>
          <cell r="I513">
            <v>0</v>
          </cell>
          <cell r="J513">
            <v>4500</v>
          </cell>
          <cell r="K513">
            <v>204097.01</v>
          </cell>
        </row>
        <row r="514">
          <cell r="F514">
            <v>2642137.1</v>
          </cell>
          <cell r="G514">
            <v>0</v>
          </cell>
          <cell r="H514">
            <v>2642137.1</v>
          </cell>
          <cell r="I514">
            <v>0</v>
          </cell>
          <cell r="J514">
            <v>2642137.1</v>
          </cell>
          <cell r="K514">
            <v>4497672.1900000004</v>
          </cell>
        </row>
        <row r="515">
          <cell r="F515">
            <v>2646637.1</v>
          </cell>
          <cell r="G515">
            <v>0</v>
          </cell>
          <cell r="H515">
            <v>2646637.1</v>
          </cell>
          <cell r="I515">
            <v>0</v>
          </cell>
          <cell r="J515">
            <v>2646637.1</v>
          </cell>
          <cell r="K515">
            <v>4701769.2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9"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1"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F522">
            <v>5.1222741603851318E-9</v>
          </cell>
          <cell r="G522">
            <v>-6.1700120568275452E-9</v>
          </cell>
          <cell r="H522">
            <v>-1.5366822481155396E-8</v>
          </cell>
          <cell r="I522">
            <v>2.3283064365386963E-10</v>
          </cell>
          <cell r="J522">
            <v>-7.8696757555007935E-8</v>
          </cell>
          <cell r="K522">
            <v>30.219999958761036</v>
          </cell>
        </row>
      </sheetData>
      <sheetData sheetId="2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1630338.43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-150000</v>
          </cell>
        </row>
        <row r="6">
          <cell r="F6">
            <v>906001.55</v>
          </cell>
          <cell r="H6">
            <v>0</v>
          </cell>
          <cell r="I6">
            <v>906001.55</v>
          </cell>
          <cell r="J6">
            <v>0</v>
          </cell>
          <cell r="K6">
            <v>906001.55</v>
          </cell>
          <cell r="M6">
            <v>0</v>
          </cell>
        </row>
        <row r="7">
          <cell r="F7">
            <v>-398141.5</v>
          </cell>
          <cell r="H7">
            <v>0</v>
          </cell>
          <cell r="I7">
            <v>-398141.5</v>
          </cell>
          <cell r="J7">
            <v>0</v>
          </cell>
          <cell r="K7">
            <v>-398141.5</v>
          </cell>
          <cell r="M7">
            <v>0</v>
          </cell>
        </row>
        <row r="8">
          <cell r="F8">
            <v>-3052858.28</v>
          </cell>
          <cell r="H8">
            <v>0</v>
          </cell>
          <cell r="I8">
            <v>-3052858.28</v>
          </cell>
          <cell r="J8">
            <v>0</v>
          </cell>
          <cell r="K8">
            <v>-3052858.28</v>
          </cell>
          <cell r="M8">
            <v>0</v>
          </cell>
        </row>
        <row r="9">
          <cell r="F9">
            <v>437914.87</v>
          </cell>
          <cell r="H9">
            <v>0</v>
          </cell>
          <cell r="I9">
            <v>437914.87</v>
          </cell>
          <cell r="J9">
            <v>0</v>
          </cell>
          <cell r="K9">
            <v>437914.87</v>
          </cell>
          <cell r="M9">
            <v>0</v>
          </cell>
        </row>
        <row r="10">
          <cell r="F10">
            <v>816090.12</v>
          </cell>
          <cell r="H10">
            <v>0</v>
          </cell>
          <cell r="I10">
            <v>816090.12</v>
          </cell>
          <cell r="J10">
            <v>0</v>
          </cell>
          <cell r="K10">
            <v>816090.12</v>
          </cell>
          <cell r="M10">
            <v>0</v>
          </cell>
        </row>
        <row r="11">
          <cell r="F11">
            <v>-1290993.2399999993</v>
          </cell>
          <cell r="H11">
            <v>0</v>
          </cell>
          <cell r="I11">
            <v>-1290993.2399999993</v>
          </cell>
          <cell r="J11">
            <v>0</v>
          </cell>
          <cell r="K11">
            <v>-1290993.2399999993</v>
          </cell>
          <cell r="M11">
            <v>1480338.43</v>
          </cell>
        </row>
        <row r="13"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30070.91</v>
          </cell>
        </row>
        <row r="14">
          <cell r="F14">
            <v>4583.4399999999996</v>
          </cell>
          <cell r="H14">
            <v>0</v>
          </cell>
          <cell r="I14">
            <v>4583.4399999999996</v>
          </cell>
          <cell r="J14">
            <v>0</v>
          </cell>
          <cell r="K14">
            <v>4583.4399999999996</v>
          </cell>
          <cell r="M14">
            <v>4583.4399999999996</v>
          </cell>
        </row>
        <row r="15">
          <cell r="F15">
            <v>20045.36</v>
          </cell>
          <cell r="H15">
            <v>0</v>
          </cell>
          <cell r="I15">
            <v>20045.36</v>
          </cell>
          <cell r="J15">
            <v>0</v>
          </cell>
          <cell r="K15">
            <v>20045.36</v>
          </cell>
          <cell r="M15">
            <v>20045.36</v>
          </cell>
        </row>
        <row r="16">
          <cell r="F16">
            <v>15193.26</v>
          </cell>
          <cell r="H16">
            <v>0</v>
          </cell>
          <cell r="I16">
            <v>15193.26</v>
          </cell>
          <cell r="J16">
            <v>0</v>
          </cell>
          <cell r="K16">
            <v>15193.26</v>
          </cell>
          <cell r="M16">
            <v>15193.26</v>
          </cell>
        </row>
        <row r="17">
          <cell r="F17">
            <v>37442.83</v>
          </cell>
          <cell r="H17">
            <v>0</v>
          </cell>
          <cell r="I17">
            <v>37442.83</v>
          </cell>
          <cell r="J17">
            <v>0</v>
          </cell>
          <cell r="K17">
            <v>37442.83</v>
          </cell>
          <cell r="M17">
            <v>37442.83</v>
          </cell>
        </row>
        <row r="18">
          <cell r="F18">
            <v>7023.25</v>
          </cell>
          <cell r="H18">
            <v>0</v>
          </cell>
          <cell r="I18">
            <v>7023.25</v>
          </cell>
          <cell r="J18">
            <v>0</v>
          </cell>
          <cell r="K18">
            <v>7023.25</v>
          </cell>
          <cell r="M18">
            <v>7023.25</v>
          </cell>
        </row>
        <row r="19">
          <cell r="F19">
            <v>13111.14</v>
          </cell>
          <cell r="H19">
            <v>787827.28</v>
          </cell>
          <cell r="I19">
            <v>800938.42</v>
          </cell>
          <cell r="J19">
            <v>0</v>
          </cell>
          <cell r="K19">
            <v>800938.42</v>
          </cell>
          <cell r="M19">
            <v>384836.44</v>
          </cell>
        </row>
        <row r="20">
          <cell r="F20">
            <v>1027256.59</v>
          </cell>
          <cell r="H20">
            <v>0</v>
          </cell>
          <cell r="I20">
            <v>1027256.59</v>
          </cell>
          <cell r="J20">
            <v>0</v>
          </cell>
          <cell r="K20">
            <v>1027256.59</v>
          </cell>
          <cell r="M20">
            <v>2663240.08</v>
          </cell>
        </row>
        <row r="21">
          <cell r="F21">
            <v>41811.81</v>
          </cell>
          <cell r="H21">
            <v>0</v>
          </cell>
          <cell r="I21">
            <v>41811.81</v>
          </cell>
          <cell r="J21">
            <v>0</v>
          </cell>
          <cell r="K21">
            <v>41811.81</v>
          </cell>
          <cell r="M21">
            <v>909742.38</v>
          </cell>
        </row>
        <row r="22">
          <cell r="F22">
            <v>-52188.12</v>
          </cell>
          <cell r="H22">
            <v>-37443</v>
          </cell>
          <cell r="I22">
            <v>-89631.12</v>
          </cell>
          <cell r="J22">
            <v>0</v>
          </cell>
          <cell r="K22">
            <v>-89631.12</v>
          </cell>
          <cell r="M22">
            <v>-76916.22</v>
          </cell>
        </row>
        <row r="23">
          <cell r="F23">
            <v>8121129.4500000002</v>
          </cell>
          <cell r="H23">
            <v>-4228108.2699999996</v>
          </cell>
          <cell r="I23">
            <v>3893021.18</v>
          </cell>
          <cell r="J23">
            <v>0</v>
          </cell>
          <cell r="K23">
            <v>3893021.18</v>
          </cell>
          <cell r="M23">
            <v>0</v>
          </cell>
        </row>
        <row r="24">
          <cell r="F24">
            <v>4340380.37</v>
          </cell>
          <cell r="H24">
            <v>-77665.179999999993</v>
          </cell>
          <cell r="I24">
            <v>4262715.1900000004</v>
          </cell>
          <cell r="J24">
            <v>0</v>
          </cell>
          <cell r="K24">
            <v>4262715.1900000004</v>
          </cell>
          <cell r="M24">
            <v>0</v>
          </cell>
        </row>
        <row r="25">
          <cell r="F25">
            <v>67018</v>
          </cell>
          <cell r="H25">
            <v>0</v>
          </cell>
          <cell r="I25">
            <v>67018</v>
          </cell>
          <cell r="J25">
            <v>0</v>
          </cell>
          <cell r="K25">
            <v>67018</v>
          </cell>
          <cell r="M25">
            <v>0</v>
          </cell>
        </row>
        <row r="26">
          <cell r="F26">
            <v>871269.69</v>
          </cell>
          <cell r="H26">
            <v>0</v>
          </cell>
          <cell r="I26">
            <v>871269.69</v>
          </cell>
          <cell r="J26">
            <v>0</v>
          </cell>
          <cell r="K26">
            <v>871269.69</v>
          </cell>
          <cell r="M26">
            <v>0</v>
          </cell>
        </row>
        <row r="27">
          <cell r="F27">
            <v>4419443.5</v>
          </cell>
          <cell r="H27">
            <v>0</v>
          </cell>
          <cell r="I27">
            <v>4419443.5</v>
          </cell>
          <cell r="J27">
            <v>0</v>
          </cell>
          <cell r="K27">
            <v>4419443.5</v>
          </cell>
          <cell r="M27">
            <v>0</v>
          </cell>
        </row>
        <row r="28">
          <cell r="F28">
            <v>-6660031.3899999997</v>
          </cell>
          <cell r="H28">
            <v>0</v>
          </cell>
          <cell r="I28">
            <v>-6660031.3899999997</v>
          </cell>
          <cell r="J28">
            <v>0</v>
          </cell>
          <cell r="K28">
            <v>-6660031.3899999997</v>
          </cell>
          <cell r="M28">
            <v>0</v>
          </cell>
        </row>
        <row r="29">
          <cell r="F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55798.559999999998</v>
          </cell>
        </row>
        <row r="30"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445432.77</v>
          </cell>
        </row>
        <row r="31"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23941.62</v>
          </cell>
        </row>
        <row r="32">
          <cell r="F32">
            <v>12273489.18</v>
          </cell>
          <cell r="H32">
            <v>-3555389.1699999995</v>
          </cell>
          <cell r="I32">
            <v>8718100.0100000016</v>
          </cell>
          <cell r="J32">
            <v>0</v>
          </cell>
          <cell r="K32">
            <v>8718100.0100000016</v>
          </cell>
          <cell r="M32">
            <v>4520434.6800000006</v>
          </cell>
        </row>
        <row r="34">
          <cell r="F34">
            <v>-110262.39999999999</v>
          </cell>
          <cell r="H34">
            <v>0</v>
          </cell>
          <cell r="I34">
            <v>-110262.39999999999</v>
          </cell>
          <cell r="J34">
            <v>0</v>
          </cell>
          <cell r="K34">
            <v>-110262.39999999999</v>
          </cell>
          <cell r="M34">
            <v>0</v>
          </cell>
        </row>
        <row r="35">
          <cell r="F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-164672.07999999999</v>
          </cell>
        </row>
        <row r="36"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-5607225.3099999996</v>
          </cell>
        </row>
        <row r="37">
          <cell r="F37">
            <v>49040.85</v>
          </cell>
          <cell r="H37">
            <v>-291116</v>
          </cell>
          <cell r="I37">
            <v>-242075.15</v>
          </cell>
          <cell r="J37">
            <v>0</v>
          </cell>
          <cell r="K37">
            <v>-242075.15</v>
          </cell>
          <cell r="M37">
            <v>0</v>
          </cell>
        </row>
        <row r="38">
          <cell r="F38">
            <v>5342.81</v>
          </cell>
          <cell r="H38">
            <v>-150791.82999999999</v>
          </cell>
          <cell r="I38">
            <v>-145449.01999999999</v>
          </cell>
          <cell r="J38">
            <v>0</v>
          </cell>
          <cell r="K38">
            <v>-145449.01999999999</v>
          </cell>
          <cell r="M38">
            <v>0</v>
          </cell>
        </row>
        <row r="39">
          <cell r="F39">
            <v>-135242.46</v>
          </cell>
          <cell r="H39">
            <v>-2700177.39</v>
          </cell>
          <cell r="I39">
            <v>-2835419.85</v>
          </cell>
          <cell r="J39">
            <v>0</v>
          </cell>
          <cell r="K39">
            <v>-2835419.85</v>
          </cell>
          <cell r="M39">
            <v>0</v>
          </cell>
        </row>
        <row r="40">
          <cell r="F40">
            <v>-191121.19999999998</v>
          </cell>
          <cell r="H40">
            <v>-3142085.22</v>
          </cell>
          <cell r="I40">
            <v>-3333206.42</v>
          </cell>
          <cell r="J40">
            <v>0</v>
          </cell>
          <cell r="K40">
            <v>-3333206.42</v>
          </cell>
          <cell r="M40">
            <v>-5771897.3899999997</v>
          </cell>
        </row>
        <row r="42">
          <cell r="F42">
            <v>220985322.03</v>
          </cell>
          <cell r="H42">
            <v>0</v>
          </cell>
          <cell r="I42">
            <v>220985322.03</v>
          </cell>
          <cell r="J42">
            <v>0</v>
          </cell>
          <cell r="K42">
            <v>220985322.03</v>
          </cell>
          <cell r="M42">
            <v>133071260.63</v>
          </cell>
        </row>
        <row r="43">
          <cell r="F43">
            <v>-36348967.299999997</v>
          </cell>
          <cell r="H43">
            <v>-46894969.759999998</v>
          </cell>
          <cell r="I43">
            <v>-83243937.060000002</v>
          </cell>
          <cell r="J43">
            <v>0</v>
          </cell>
          <cell r="K43">
            <v>-83243937.060000002</v>
          </cell>
          <cell r="M43">
            <v>0</v>
          </cell>
        </row>
        <row r="44">
          <cell r="F44">
            <v>184636354.73000002</v>
          </cell>
          <cell r="H44">
            <v>-46894969.759999998</v>
          </cell>
          <cell r="I44">
            <v>137741384.97</v>
          </cell>
          <cell r="J44">
            <v>0</v>
          </cell>
          <cell r="K44">
            <v>137741384.97</v>
          </cell>
          <cell r="M44">
            <v>133071260.63</v>
          </cell>
        </row>
        <row r="46"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3475147.96</v>
          </cell>
        </row>
        <row r="47">
          <cell r="F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M47">
            <v>0</v>
          </cell>
        </row>
        <row r="48"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M48">
            <v>0</v>
          </cell>
        </row>
        <row r="49">
          <cell r="F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M49">
            <v>0</v>
          </cell>
        </row>
        <row r="50">
          <cell r="F50">
            <v>3414335.67</v>
          </cell>
          <cell r="H50">
            <v>0</v>
          </cell>
          <cell r="I50">
            <v>3414335.67</v>
          </cell>
          <cell r="J50">
            <v>0</v>
          </cell>
          <cell r="K50">
            <v>3414335.67</v>
          </cell>
          <cell r="M50">
            <v>0</v>
          </cell>
        </row>
        <row r="51">
          <cell r="F51">
            <v>4388588.43</v>
          </cell>
          <cell r="H51">
            <v>0</v>
          </cell>
          <cell r="I51">
            <v>4388588.43</v>
          </cell>
          <cell r="J51">
            <v>0</v>
          </cell>
          <cell r="K51">
            <v>4388588.43</v>
          </cell>
          <cell r="M51">
            <v>0</v>
          </cell>
        </row>
        <row r="52">
          <cell r="F52">
            <v>-366522.97</v>
          </cell>
          <cell r="H52">
            <v>0</v>
          </cell>
          <cell r="I52">
            <v>-366522.97</v>
          </cell>
          <cell r="J52">
            <v>0</v>
          </cell>
          <cell r="K52">
            <v>-366522.97</v>
          </cell>
          <cell r="M52">
            <v>0</v>
          </cell>
        </row>
        <row r="53">
          <cell r="F53">
            <v>0</v>
          </cell>
          <cell r="H53">
            <v>-4388588</v>
          </cell>
          <cell r="I53">
            <v>-4388588</v>
          </cell>
          <cell r="J53">
            <v>0</v>
          </cell>
          <cell r="K53">
            <v>-4388588</v>
          </cell>
          <cell r="M53">
            <v>0</v>
          </cell>
        </row>
        <row r="54">
          <cell r="F54">
            <v>7436401.1299999999</v>
          </cell>
          <cell r="H54">
            <v>-4388588</v>
          </cell>
          <cell r="I54">
            <v>3047813.13</v>
          </cell>
          <cell r="J54">
            <v>0</v>
          </cell>
          <cell r="K54">
            <v>3047813.13</v>
          </cell>
          <cell r="M54">
            <v>3475147.96</v>
          </cell>
        </row>
        <row r="56"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788153.67</v>
          </cell>
        </row>
        <row r="57">
          <cell r="F57">
            <v>173450468.78</v>
          </cell>
          <cell r="H57">
            <v>0</v>
          </cell>
          <cell r="I57">
            <v>173450468.78</v>
          </cell>
          <cell r="J57">
            <v>0</v>
          </cell>
          <cell r="K57">
            <v>173450468.78</v>
          </cell>
          <cell r="M57">
            <v>0</v>
          </cell>
        </row>
        <row r="58">
          <cell r="F58">
            <v>-171340529.44999999</v>
          </cell>
          <cell r="H58">
            <v>0</v>
          </cell>
          <cell r="I58">
            <v>-171340529.44999999</v>
          </cell>
          <cell r="J58">
            <v>0</v>
          </cell>
          <cell r="K58">
            <v>-171340529.44999999</v>
          </cell>
          <cell r="M58">
            <v>0</v>
          </cell>
        </row>
        <row r="59">
          <cell r="F59">
            <v>24250</v>
          </cell>
          <cell r="H59">
            <v>0</v>
          </cell>
          <cell r="I59">
            <v>24250</v>
          </cell>
          <cell r="J59">
            <v>0</v>
          </cell>
          <cell r="K59">
            <v>24250</v>
          </cell>
          <cell r="M59">
            <v>0</v>
          </cell>
        </row>
        <row r="60">
          <cell r="F60">
            <v>-358340</v>
          </cell>
          <cell r="H60">
            <v>0</v>
          </cell>
          <cell r="I60">
            <v>-358340</v>
          </cell>
          <cell r="J60">
            <v>0</v>
          </cell>
          <cell r="K60">
            <v>-358340</v>
          </cell>
          <cell r="M60">
            <v>0</v>
          </cell>
        </row>
        <row r="61">
          <cell r="F61">
            <v>2563933.5499999998</v>
          </cell>
          <cell r="H61">
            <v>0</v>
          </cell>
          <cell r="I61">
            <v>2563933.5499999998</v>
          </cell>
          <cell r="J61">
            <v>0</v>
          </cell>
          <cell r="K61">
            <v>2563933.5499999998</v>
          </cell>
          <cell r="M61">
            <v>0</v>
          </cell>
        </row>
        <row r="62">
          <cell r="F62">
            <v>0</v>
          </cell>
          <cell r="H62">
            <v>-4339782.88</v>
          </cell>
          <cell r="I62">
            <v>-4339782.88</v>
          </cell>
          <cell r="J62">
            <v>0</v>
          </cell>
          <cell r="K62">
            <v>-4339782.88</v>
          </cell>
          <cell r="M62">
            <v>0</v>
          </cell>
        </row>
        <row r="63">
          <cell r="F63">
            <v>4339782.8800000129</v>
          </cell>
          <cell r="H63">
            <v>-4339782.88</v>
          </cell>
          <cell r="I63">
            <v>1.3038516044616699E-8</v>
          </cell>
          <cell r="J63">
            <v>0</v>
          </cell>
          <cell r="K63">
            <v>1.3038516044616699E-8</v>
          </cell>
          <cell r="M63">
            <v>788153.67</v>
          </cell>
        </row>
        <row r="65">
          <cell r="F65">
            <v>2235668.41</v>
          </cell>
          <cell r="H65">
            <v>0</v>
          </cell>
          <cell r="I65">
            <v>2235668.41</v>
          </cell>
          <cell r="J65">
            <v>0</v>
          </cell>
          <cell r="K65">
            <v>2235668.41</v>
          </cell>
          <cell r="M65">
            <v>2028000</v>
          </cell>
        </row>
        <row r="66">
          <cell r="F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M66">
            <v>595041.57999999996</v>
          </cell>
        </row>
        <row r="67">
          <cell r="F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>
            <v>387168.22</v>
          </cell>
        </row>
        <row r="68">
          <cell r="F68">
            <v>2502916.67</v>
          </cell>
          <cell r="H68">
            <v>0</v>
          </cell>
          <cell r="I68">
            <v>2502916.67</v>
          </cell>
          <cell r="J68">
            <v>0</v>
          </cell>
          <cell r="K68">
            <v>2502916.67</v>
          </cell>
          <cell r="M68">
            <v>4966416.67</v>
          </cell>
        </row>
        <row r="69">
          <cell r="F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</row>
        <row r="70">
          <cell r="F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0</v>
          </cell>
        </row>
        <row r="71">
          <cell r="F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403333.34</v>
          </cell>
        </row>
        <row r="72">
          <cell r="F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-0.02</v>
          </cell>
        </row>
        <row r="73">
          <cell r="F73">
            <v>11629128.789999999</v>
          </cell>
          <cell r="H73">
            <v>0</v>
          </cell>
          <cell r="I73">
            <v>11629128.789999999</v>
          </cell>
          <cell r="J73">
            <v>0</v>
          </cell>
          <cell r="K73">
            <v>11629128.789999999</v>
          </cell>
          <cell r="M73">
            <v>15804069.1</v>
          </cell>
        </row>
        <row r="74">
          <cell r="F74">
            <v>62313511.909999996</v>
          </cell>
          <cell r="H74">
            <v>-20316012.890000001</v>
          </cell>
          <cell r="I74">
            <v>41997499.020000003</v>
          </cell>
          <cell r="J74">
            <v>0</v>
          </cell>
          <cell r="K74">
            <v>41997499.020000003</v>
          </cell>
          <cell r="M74">
            <v>0</v>
          </cell>
        </row>
        <row r="75">
          <cell r="F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20322.810000000001</v>
          </cell>
        </row>
        <row r="76">
          <cell r="F76">
            <v>10231550.189999999</v>
          </cell>
          <cell r="H76">
            <v>-137238.09</v>
          </cell>
          <cell r="I76">
            <v>10094312.1</v>
          </cell>
          <cell r="J76">
            <v>0</v>
          </cell>
          <cell r="K76">
            <v>10094312.1</v>
          </cell>
          <cell r="M76">
            <v>3450858.6</v>
          </cell>
        </row>
        <row r="77">
          <cell r="F77">
            <v>-1030532.61</v>
          </cell>
          <cell r="H77">
            <v>0</v>
          </cell>
          <cell r="I77">
            <v>-1030532.61</v>
          </cell>
          <cell r="J77">
            <v>0</v>
          </cell>
          <cell r="K77">
            <v>-1030532.61</v>
          </cell>
          <cell r="M77">
            <v>-1030532.61</v>
          </cell>
        </row>
        <row r="78">
          <cell r="F78">
            <v>87882243.359999999</v>
          </cell>
          <cell r="H78">
            <v>-20453250.98</v>
          </cell>
          <cell r="I78">
            <v>67428992.379999995</v>
          </cell>
          <cell r="J78">
            <v>0</v>
          </cell>
          <cell r="K78">
            <v>67428992.379999995</v>
          </cell>
          <cell r="M78">
            <v>26624677.690000001</v>
          </cell>
        </row>
        <row r="80">
          <cell r="F80">
            <v>6472669.1100000003</v>
          </cell>
          <cell r="H80">
            <v>0</v>
          </cell>
          <cell r="I80">
            <v>6472669.1100000003</v>
          </cell>
          <cell r="J80">
            <v>0</v>
          </cell>
          <cell r="K80">
            <v>6472669.1100000003</v>
          </cell>
          <cell r="M80">
            <v>4218119.1100000003</v>
          </cell>
        </row>
        <row r="81">
          <cell r="F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152550</v>
          </cell>
        </row>
        <row r="82">
          <cell r="F82">
            <v>-1046405.09</v>
          </cell>
          <cell r="H82">
            <v>-574670.21</v>
          </cell>
          <cell r="I82">
            <v>-1621075.3</v>
          </cell>
          <cell r="J82">
            <v>0</v>
          </cell>
          <cell r="K82">
            <v>-1621075.3</v>
          </cell>
          <cell r="M82">
            <v>-888923.33</v>
          </cell>
        </row>
        <row r="83">
          <cell r="F83">
            <v>5426264.0200000005</v>
          </cell>
          <cell r="H83">
            <v>-574670.21</v>
          </cell>
          <cell r="I83">
            <v>4851593.8100000005</v>
          </cell>
          <cell r="J83">
            <v>0</v>
          </cell>
          <cell r="K83">
            <v>4851593.8100000005</v>
          </cell>
          <cell r="M83">
            <v>3481745.7800000003</v>
          </cell>
        </row>
        <row r="85">
          <cell r="F85">
            <v>83154062.629999995</v>
          </cell>
          <cell r="H85">
            <v>0</v>
          </cell>
          <cell r="I85">
            <v>83154062.629999995</v>
          </cell>
          <cell r="J85">
            <v>0</v>
          </cell>
          <cell r="K85">
            <v>83154062.629999995</v>
          </cell>
          <cell r="M85">
            <v>274171804</v>
          </cell>
        </row>
        <row r="86">
          <cell r="F86">
            <v>-38553485.700000003</v>
          </cell>
          <cell r="H86">
            <v>0</v>
          </cell>
          <cell r="I86">
            <v>-38553485.700000003</v>
          </cell>
          <cell r="J86">
            <v>0</v>
          </cell>
          <cell r="K86">
            <v>-38553485.700000003</v>
          </cell>
          <cell r="M86">
            <v>-148144192</v>
          </cell>
        </row>
        <row r="87">
          <cell r="F87">
            <v>44600576.929999992</v>
          </cell>
          <cell r="H87">
            <v>0</v>
          </cell>
          <cell r="I87">
            <v>44600576.929999992</v>
          </cell>
          <cell r="J87">
            <v>0</v>
          </cell>
          <cell r="K87">
            <v>44600576.929999992</v>
          </cell>
          <cell r="M87">
            <v>126027612</v>
          </cell>
        </row>
        <row r="89">
          <cell r="F89">
            <v>8813469.7100000009</v>
          </cell>
          <cell r="H89">
            <v>0</v>
          </cell>
          <cell r="I89">
            <v>8813469.7100000009</v>
          </cell>
          <cell r="J89">
            <v>0</v>
          </cell>
          <cell r="K89">
            <v>8813469.7100000009</v>
          </cell>
          <cell r="M89">
            <v>9336959.1600000001</v>
          </cell>
        </row>
        <row r="90">
          <cell r="F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M90">
            <v>129.55000000000001</v>
          </cell>
        </row>
        <row r="91">
          <cell r="F91">
            <v>-4804885.2</v>
          </cell>
          <cell r="H91">
            <v>-722807.59</v>
          </cell>
          <cell r="I91">
            <v>-5527692.79</v>
          </cell>
          <cell r="J91">
            <v>0</v>
          </cell>
          <cell r="K91">
            <v>-5527692.79</v>
          </cell>
          <cell r="M91">
            <v>-3788306</v>
          </cell>
        </row>
        <row r="92"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</row>
        <row r="93">
          <cell r="F93">
            <v>4008584.5100000007</v>
          </cell>
          <cell r="H93">
            <v>-722807.59</v>
          </cell>
          <cell r="I93">
            <v>3285776.9200000009</v>
          </cell>
          <cell r="J93">
            <v>0</v>
          </cell>
          <cell r="K93">
            <v>3285776.9200000009</v>
          </cell>
          <cell r="M93">
            <v>5548782.7100000009</v>
          </cell>
        </row>
        <row r="95">
          <cell r="F95">
            <v>0</v>
          </cell>
          <cell r="H95">
            <v>0</v>
          </cell>
          <cell r="I95">
            <v>0</v>
          </cell>
          <cell r="J95">
            <v>2956218</v>
          </cell>
          <cell r="K95">
            <v>2956218</v>
          </cell>
          <cell r="M95">
            <v>2093618.23</v>
          </cell>
        </row>
        <row r="96">
          <cell r="F96">
            <v>0</v>
          </cell>
          <cell r="H96">
            <v>-546505</v>
          </cell>
          <cell r="I96">
            <v>-546505</v>
          </cell>
          <cell r="J96">
            <v>-661050</v>
          </cell>
          <cell r="K96">
            <v>-1207555</v>
          </cell>
          <cell r="M96">
            <v>-661050</v>
          </cell>
        </row>
        <row r="97">
          <cell r="F97">
            <v>0</v>
          </cell>
          <cell r="H97">
            <v>-546505</v>
          </cell>
          <cell r="I97">
            <v>-546505</v>
          </cell>
          <cell r="J97">
            <v>2295168</v>
          </cell>
          <cell r="K97">
            <v>1748663</v>
          </cell>
          <cell r="M97">
            <v>1432568.23</v>
          </cell>
        </row>
        <row r="99">
          <cell r="F99">
            <v>5988526.2300000004</v>
          </cell>
          <cell r="H99">
            <v>0</v>
          </cell>
          <cell r="I99">
            <v>5988526.2300000004</v>
          </cell>
          <cell r="J99">
            <v>-2993174.8</v>
          </cell>
          <cell r="K99">
            <v>2995351.43</v>
          </cell>
          <cell r="M99">
            <v>2915321.25</v>
          </cell>
        </row>
        <row r="100"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M100">
            <v>53179.95</v>
          </cell>
        </row>
        <row r="101">
          <cell r="F101">
            <v>-1863349.64</v>
          </cell>
          <cell r="H101">
            <v>-234081.56</v>
          </cell>
          <cell r="I101">
            <v>-2097431.2000000002</v>
          </cell>
          <cell r="J101">
            <v>661050</v>
          </cell>
          <cell r="K101">
            <v>-1436381.2</v>
          </cell>
          <cell r="M101">
            <v>-823118.3</v>
          </cell>
        </row>
        <row r="102">
          <cell r="F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M102">
            <v>-25179.63</v>
          </cell>
        </row>
        <row r="103">
          <cell r="F103">
            <v>4125176.5900000008</v>
          </cell>
          <cell r="H103">
            <v>-234081.56</v>
          </cell>
          <cell r="I103">
            <v>3891095.0300000003</v>
          </cell>
          <cell r="J103">
            <v>-2332124.7999999998</v>
          </cell>
          <cell r="K103">
            <v>1558970.2300000002</v>
          </cell>
          <cell r="M103">
            <v>2120203.2700000005</v>
          </cell>
        </row>
        <row r="105">
          <cell r="F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M105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M106">
            <v>0</v>
          </cell>
        </row>
        <row r="108">
          <cell r="F108">
            <v>-31642274.210000001</v>
          </cell>
          <cell r="H108">
            <v>0</v>
          </cell>
          <cell r="I108">
            <v>-31642274.210000001</v>
          </cell>
          <cell r="J108">
            <v>805995</v>
          </cell>
          <cell r="K108">
            <v>-30836279.210000001</v>
          </cell>
          <cell r="M108">
            <v>-34963742.710000001</v>
          </cell>
        </row>
        <row r="109">
          <cell r="F109">
            <v>-31642274.210000001</v>
          </cell>
          <cell r="H109">
            <v>0</v>
          </cell>
          <cell r="I109">
            <v>-31642274.210000001</v>
          </cell>
          <cell r="J109">
            <v>805995</v>
          </cell>
          <cell r="K109">
            <v>-30836279.210000001</v>
          </cell>
          <cell r="M109">
            <v>-34963742.710000001</v>
          </cell>
        </row>
        <row r="111">
          <cell r="F111">
            <v>-20628556.949999999</v>
          </cell>
          <cell r="H111">
            <v>0</v>
          </cell>
          <cell r="I111">
            <v>-20628556.949999999</v>
          </cell>
          <cell r="J111">
            <v>0</v>
          </cell>
          <cell r="K111">
            <v>-20628556.949999999</v>
          </cell>
          <cell r="M111">
            <v>-8086593.9500000002</v>
          </cell>
        </row>
        <row r="112">
          <cell r="F112">
            <v>47105.42</v>
          </cell>
          <cell r="H112">
            <v>-47105.42</v>
          </cell>
          <cell r="I112">
            <v>0</v>
          </cell>
          <cell r="J112">
            <v>0</v>
          </cell>
          <cell r="K112">
            <v>0</v>
          </cell>
          <cell r="M112">
            <v>-106845.02</v>
          </cell>
        </row>
        <row r="113">
          <cell r="F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M113">
            <v>-118066.76</v>
          </cell>
        </row>
        <row r="114"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M114">
            <v>-24930.01</v>
          </cell>
        </row>
        <row r="115">
          <cell r="F115">
            <v>6620453.3799999999</v>
          </cell>
          <cell r="H115">
            <v>-6620453.3799999999</v>
          </cell>
          <cell r="I115">
            <v>0</v>
          </cell>
          <cell r="J115">
            <v>0</v>
          </cell>
          <cell r="K115">
            <v>0</v>
          </cell>
          <cell r="M115">
            <v>-3733596.56</v>
          </cell>
        </row>
        <row r="116">
          <cell r="F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-715542.09</v>
          </cell>
        </row>
        <row r="117">
          <cell r="F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M117">
            <v>-1218082.01</v>
          </cell>
        </row>
        <row r="118"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M118">
            <v>-149005.29999999999</v>
          </cell>
        </row>
        <row r="119"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M119">
            <v>-968017.33</v>
          </cell>
        </row>
        <row r="120">
          <cell r="F120">
            <v>-5720722.8600000003</v>
          </cell>
          <cell r="H120">
            <v>0</v>
          </cell>
          <cell r="I120">
            <v>-5720722.8600000003</v>
          </cell>
          <cell r="J120">
            <v>0</v>
          </cell>
          <cell r="K120">
            <v>-5720722.8600000003</v>
          </cell>
          <cell r="M120">
            <v>0</v>
          </cell>
        </row>
        <row r="121">
          <cell r="F121">
            <v>-200603</v>
          </cell>
          <cell r="H121">
            <v>0</v>
          </cell>
          <cell r="I121">
            <v>-200603</v>
          </cell>
          <cell r="J121">
            <v>0</v>
          </cell>
          <cell r="K121">
            <v>-200603</v>
          </cell>
          <cell r="M121">
            <v>0</v>
          </cell>
        </row>
        <row r="122">
          <cell r="F122">
            <v>-3075979.64</v>
          </cell>
          <cell r="H122">
            <v>0</v>
          </cell>
          <cell r="I122">
            <v>-3075979.64</v>
          </cell>
          <cell r="J122">
            <v>0</v>
          </cell>
          <cell r="K122">
            <v>-3075979.64</v>
          </cell>
          <cell r="M122">
            <v>0</v>
          </cell>
        </row>
        <row r="123">
          <cell r="F123">
            <v>-1400000</v>
          </cell>
          <cell r="H123">
            <v>0</v>
          </cell>
          <cell r="I123">
            <v>-1400000</v>
          </cell>
          <cell r="J123">
            <v>0</v>
          </cell>
          <cell r="K123">
            <v>-1400000</v>
          </cell>
          <cell r="M123">
            <v>0</v>
          </cell>
        </row>
        <row r="124">
          <cell r="F124">
            <v>-308839.28000000003</v>
          </cell>
          <cell r="H124">
            <v>0</v>
          </cell>
          <cell r="I124">
            <v>-308839.28000000003</v>
          </cell>
          <cell r="J124">
            <v>0</v>
          </cell>
          <cell r="K124">
            <v>-308839.28000000003</v>
          </cell>
          <cell r="M124">
            <v>0</v>
          </cell>
        </row>
        <row r="125">
          <cell r="F125">
            <v>-24667142.93</v>
          </cell>
          <cell r="H125">
            <v>-6667558.7999999998</v>
          </cell>
          <cell r="I125">
            <v>-31334701.73</v>
          </cell>
          <cell r="J125">
            <v>0</v>
          </cell>
          <cell r="K125">
            <v>-31334701.73</v>
          </cell>
          <cell r="M125">
            <v>-15120679.029999999</v>
          </cell>
        </row>
        <row r="127">
          <cell r="F127">
            <v>-18902488.809999999</v>
          </cell>
          <cell r="H127">
            <v>0</v>
          </cell>
          <cell r="I127">
            <v>-18902488.809999999</v>
          </cell>
          <cell r="J127">
            <v>0</v>
          </cell>
          <cell r="K127">
            <v>-18902488.809999999</v>
          </cell>
          <cell r="M127">
            <v>-4952562.58</v>
          </cell>
        </row>
        <row r="128">
          <cell r="F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M128">
            <v>-940471.24</v>
          </cell>
        </row>
        <row r="129">
          <cell r="F129">
            <v>-4038011.81</v>
          </cell>
          <cell r="H129">
            <v>0</v>
          </cell>
          <cell r="I129">
            <v>-4038011.81</v>
          </cell>
          <cell r="J129">
            <v>0</v>
          </cell>
          <cell r="K129">
            <v>-4038011.81</v>
          </cell>
          <cell r="M129">
            <v>-3592360.72</v>
          </cell>
        </row>
        <row r="130">
          <cell r="F130">
            <v>1466164.53</v>
          </cell>
          <cell r="H130">
            <v>0</v>
          </cell>
          <cell r="I130">
            <v>1466164.53</v>
          </cell>
          <cell r="J130">
            <v>0</v>
          </cell>
          <cell r="K130">
            <v>1466164.53</v>
          </cell>
          <cell r="M130">
            <v>0</v>
          </cell>
        </row>
        <row r="131">
          <cell r="F131">
            <v>-573769.77</v>
          </cell>
          <cell r="H131">
            <v>0</v>
          </cell>
          <cell r="I131">
            <v>-573769.77</v>
          </cell>
          <cell r="J131">
            <v>0</v>
          </cell>
          <cell r="K131">
            <v>-573769.77</v>
          </cell>
          <cell r="M131">
            <v>0</v>
          </cell>
        </row>
        <row r="132">
          <cell r="F132">
            <v>-5.05</v>
          </cell>
          <cell r="H132">
            <v>5.05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</row>
        <row r="133">
          <cell r="F133">
            <v>-22048110.909999996</v>
          </cell>
          <cell r="H133">
            <v>5.05</v>
          </cell>
          <cell r="I133">
            <v>-22048105.859999996</v>
          </cell>
          <cell r="J133">
            <v>0</v>
          </cell>
          <cell r="K133">
            <v>-22048105.859999996</v>
          </cell>
          <cell r="M133">
            <v>-9485394.540000001</v>
          </cell>
        </row>
        <row r="135">
          <cell r="F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M135">
            <v>-901435.23</v>
          </cell>
        </row>
        <row r="136"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M136">
            <v>-901435.23</v>
          </cell>
        </row>
        <row r="138">
          <cell r="F138">
            <v>-25693133.649999999</v>
          </cell>
          <cell r="H138">
            <v>-5930318.5</v>
          </cell>
          <cell r="I138">
            <v>-31623452.149999999</v>
          </cell>
          <cell r="J138">
            <v>0</v>
          </cell>
          <cell r="K138">
            <v>-31623452.149999999</v>
          </cell>
          <cell r="M138">
            <v>-16356721.07</v>
          </cell>
        </row>
        <row r="139">
          <cell r="F139">
            <v>-25693133.649999999</v>
          </cell>
          <cell r="H139">
            <v>-5930318.5</v>
          </cell>
          <cell r="I139">
            <v>-31623452.149999999</v>
          </cell>
          <cell r="J139">
            <v>0</v>
          </cell>
          <cell r="K139">
            <v>-31623452.149999999</v>
          </cell>
          <cell r="M139">
            <v>-16356721.07</v>
          </cell>
        </row>
        <row r="141"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M141">
            <v>-50480.480000000003</v>
          </cell>
        </row>
        <row r="142"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M142">
            <v>-65555.62</v>
          </cell>
        </row>
        <row r="143">
          <cell r="F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M143">
            <v>-116036.1</v>
          </cell>
        </row>
        <row r="145">
          <cell r="F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M145">
            <v>0</v>
          </cell>
        </row>
        <row r="147">
          <cell r="F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M147">
            <v>0</v>
          </cell>
        </row>
        <row r="149">
          <cell r="F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M149">
            <v>0</v>
          </cell>
        </row>
        <row r="151">
          <cell r="F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M151">
            <v>0</v>
          </cell>
        </row>
        <row r="152">
          <cell r="F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M152">
            <v>0</v>
          </cell>
        </row>
        <row r="154">
          <cell r="F154">
            <v>-8727898.9600000009</v>
          </cell>
          <cell r="H154">
            <v>81443.199999999997</v>
          </cell>
          <cell r="I154">
            <v>-8646455.7599999998</v>
          </cell>
          <cell r="J154">
            <v>0</v>
          </cell>
          <cell r="K154">
            <v>-8646455.7599999998</v>
          </cell>
          <cell r="M154">
            <v>-7490000</v>
          </cell>
        </row>
        <row r="155">
          <cell r="F155">
            <v>-49472304.369999997</v>
          </cell>
          <cell r="H155">
            <v>-891274.46</v>
          </cell>
          <cell r="I155">
            <v>-50363578.829999998</v>
          </cell>
          <cell r="J155">
            <v>0</v>
          </cell>
          <cell r="K155">
            <v>-50363578.829999998</v>
          </cell>
          <cell r="M155">
            <v>-43804065</v>
          </cell>
        </row>
        <row r="156">
          <cell r="F156">
            <v>-58200203.329999998</v>
          </cell>
          <cell r="H156">
            <v>-809831.26</v>
          </cell>
          <cell r="I156">
            <v>-59010034.589999996</v>
          </cell>
          <cell r="J156">
            <v>0</v>
          </cell>
          <cell r="K156">
            <v>-59010034.589999996</v>
          </cell>
          <cell r="M156">
            <v>-51294065</v>
          </cell>
        </row>
        <row r="158">
          <cell r="F158">
            <v>25045663.989999998</v>
          </cell>
          <cell r="H158">
            <v>0</v>
          </cell>
          <cell r="I158">
            <v>25045663.989999998</v>
          </cell>
          <cell r="J158">
            <v>-805995</v>
          </cell>
          <cell r="K158">
            <v>24239668.989999998</v>
          </cell>
          <cell r="M158">
            <v>171515074.30000001</v>
          </cell>
        </row>
        <row r="159">
          <cell r="F159">
            <v>128125820.12</v>
          </cell>
          <cell r="H159">
            <v>0</v>
          </cell>
          <cell r="I159">
            <v>128125820.12</v>
          </cell>
          <cell r="J159">
            <v>0</v>
          </cell>
          <cell r="K159">
            <v>128125820.12</v>
          </cell>
          <cell r="M159">
            <v>-4205437.79</v>
          </cell>
        </row>
        <row r="160">
          <cell r="F160">
            <v>153171484.11000001</v>
          </cell>
          <cell r="H160">
            <v>0</v>
          </cell>
          <cell r="I160">
            <v>153171484.11000001</v>
          </cell>
          <cell r="J160">
            <v>-805995</v>
          </cell>
          <cell r="K160">
            <v>152365489.11000001</v>
          </cell>
          <cell r="M160">
            <v>167309636.51000002</v>
          </cell>
        </row>
        <row r="162">
          <cell r="F162">
            <v>-22200000</v>
          </cell>
          <cell r="H162">
            <v>0</v>
          </cell>
          <cell r="I162">
            <v>-22200000</v>
          </cell>
          <cell r="J162">
            <v>0</v>
          </cell>
          <cell r="K162">
            <v>-22200000</v>
          </cell>
          <cell r="M162">
            <v>0</v>
          </cell>
        </row>
        <row r="163">
          <cell r="F163">
            <v>-22200000</v>
          </cell>
          <cell r="H163">
            <v>0</v>
          </cell>
          <cell r="I163">
            <v>-22200000</v>
          </cell>
          <cell r="J163">
            <v>0</v>
          </cell>
          <cell r="K163">
            <v>-22200000</v>
          </cell>
          <cell r="M163">
            <v>0</v>
          </cell>
        </row>
        <row r="165">
          <cell r="F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M165">
            <v>-23160.12</v>
          </cell>
        </row>
        <row r="166">
          <cell r="F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M166">
            <v>4607.2</v>
          </cell>
        </row>
        <row r="167">
          <cell r="F167">
            <v>-25067055.66</v>
          </cell>
          <cell r="H167">
            <v>-6896854.0800000001</v>
          </cell>
          <cell r="I167">
            <v>-31963909.739999998</v>
          </cell>
          <cell r="J167">
            <v>0</v>
          </cell>
          <cell r="K167">
            <v>-31963909.739999998</v>
          </cell>
          <cell r="M167">
            <v>-44176168.009999998</v>
          </cell>
        </row>
        <row r="168">
          <cell r="F168">
            <v>11903.75</v>
          </cell>
          <cell r="H168">
            <v>-11903.75</v>
          </cell>
          <cell r="I168">
            <v>0</v>
          </cell>
          <cell r="J168">
            <v>0</v>
          </cell>
          <cell r="K168">
            <v>0</v>
          </cell>
          <cell r="M168">
            <v>0</v>
          </cell>
        </row>
        <row r="169">
          <cell r="F169">
            <v>-25055151.91</v>
          </cell>
          <cell r="H169">
            <v>-6908757.8300000001</v>
          </cell>
          <cell r="I169">
            <v>-31963909.739999998</v>
          </cell>
          <cell r="J169">
            <v>0</v>
          </cell>
          <cell r="K169">
            <v>-31963909.739999998</v>
          </cell>
          <cell r="M169">
            <v>-44194720.93</v>
          </cell>
        </row>
        <row r="171">
          <cell r="F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M171">
            <v>0</v>
          </cell>
        </row>
        <row r="173">
          <cell r="F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M173">
            <v>0</v>
          </cell>
        </row>
        <row r="175">
          <cell r="F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M175">
            <v>0</v>
          </cell>
        </row>
        <row r="177">
          <cell r="F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M177">
            <v>0</v>
          </cell>
        </row>
        <row r="179">
          <cell r="F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</row>
        <row r="181">
          <cell r="F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M181">
            <v>0</v>
          </cell>
        </row>
        <row r="183">
          <cell r="F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M183">
            <v>0</v>
          </cell>
        </row>
        <row r="185"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M185">
            <v>0</v>
          </cell>
        </row>
        <row r="187">
          <cell r="F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M187">
            <v>-13779844.460000001</v>
          </cell>
        </row>
        <row r="188">
          <cell r="F188">
            <v>-6766111.8499999996</v>
          </cell>
          <cell r="H188">
            <v>0</v>
          </cell>
          <cell r="I188">
            <v>-6766111.8499999996</v>
          </cell>
          <cell r="J188">
            <v>0</v>
          </cell>
          <cell r="K188">
            <v>-6766111.8499999996</v>
          </cell>
          <cell r="M188">
            <v>-1557517.03</v>
          </cell>
        </row>
        <row r="189">
          <cell r="F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-24166494.719999999</v>
          </cell>
        </row>
        <row r="190">
          <cell r="F190">
            <v>-16732637.300000001</v>
          </cell>
          <cell r="H190">
            <v>0</v>
          </cell>
          <cell r="I190">
            <v>-16732637.300000001</v>
          </cell>
          <cell r="J190">
            <v>0</v>
          </cell>
          <cell r="K190">
            <v>-16732637.300000001</v>
          </cell>
          <cell r="M190">
            <v>-2605724.96</v>
          </cell>
        </row>
        <row r="191">
          <cell r="F191">
            <v>-6873185.4100000001</v>
          </cell>
          <cell r="H191">
            <v>0</v>
          </cell>
          <cell r="I191">
            <v>-6873185.4100000001</v>
          </cell>
          <cell r="J191">
            <v>0</v>
          </cell>
          <cell r="K191">
            <v>-6873185.4100000001</v>
          </cell>
          <cell r="M191">
            <v>-23660126.219999999</v>
          </cell>
        </row>
        <row r="192">
          <cell r="F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M192">
            <v>-3703329.9</v>
          </cell>
        </row>
        <row r="193">
          <cell r="F193">
            <v>-12370875.369999999</v>
          </cell>
          <cell r="H193">
            <v>0</v>
          </cell>
          <cell r="I193">
            <v>-12370875.369999999</v>
          </cell>
          <cell r="J193">
            <v>0</v>
          </cell>
          <cell r="K193">
            <v>-12370875.369999999</v>
          </cell>
          <cell r="M193">
            <v>-9773243.1500000004</v>
          </cell>
        </row>
        <row r="194">
          <cell r="F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M194">
            <v>-1972886.29</v>
          </cell>
        </row>
        <row r="195">
          <cell r="F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M195">
            <v>-11417958.439999999</v>
          </cell>
        </row>
        <row r="196">
          <cell r="F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M196">
            <v>-2448999.94</v>
          </cell>
        </row>
        <row r="197">
          <cell r="F197">
            <v>-1760510.79</v>
          </cell>
          <cell r="H197">
            <v>0</v>
          </cell>
          <cell r="I197">
            <v>-1760510.79</v>
          </cell>
          <cell r="J197">
            <v>0</v>
          </cell>
          <cell r="K197">
            <v>-1760510.79</v>
          </cell>
          <cell r="M197">
            <v>-3971578.97</v>
          </cell>
        </row>
        <row r="198">
          <cell r="F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M198">
            <v>-831857.85</v>
          </cell>
        </row>
        <row r="199">
          <cell r="F199">
            <v>-6639946.0599999996</v>
          </cell>
          <cell r="H199">
            <v>0</v>
          </cell>
          <cell r="I199">
            <v>-6639946.0599999996</v>
          </cell>
          <cell r="J199">
            <v>0</v>
          </cell>
          <cell r="K199">
            <v>-6639946.0599999996</v>
          </cell>
          <cell r="M199">
            <v>-14316028.359999999</v>
          </cell>
        </row>
        <row r="200">
          <cell r="F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M200">
            <v>-2889919.55</v>
          </cell>
        </row>
        <row r="201">
          <cell r="F201">
            <v>-3227660.96</v>
          </cell>
          <cell r="H201">
            <v>0</v>
          </cell>
          <cell r="I201">
            <v>-3227660.96</v>
          </cell>
          <cell r="J201">
            <v>0</v>
          </cell>
          <cell r="K201">
            <v>-3227660.96</v>
          </cell>
          <cell r="M201">
            <v>-4103253.4</v>
          </cell>
        </row>
        <row r="202">
          <cell r="F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M202">
            <v>-828307.72</v>
          </cell>
        </row>
        <row r="203">
          <cell r="F203">
            <v>-8360223.3499999996</v>
          </cell>
          <cell r="H203">
            <v>0</v>
          </cell>
          <cell r="I203">
            <v>-8360223.3499999996</v>
          </cell>
          <cell r="J203">
            <v>0</v>
          </cell>
          <cell r="K203">
            <v>-8360223.3499999996</v>
          </cell>
          <cell r="M203">
            <v>-10001769.17</v>
          </cell>
        </row>
        <row r="204">
          <cell r="F204">
            <v>-19043598.210000001</v>
          </cell>
          <cell r="H204">
            <v>0</v>
          </cell>
          <cell r="I204">
            <v>-19043598.210000001</v>
          </cell>
          <cell r="J204">
            <v>0</v>
          </cell>
          <cell r="K204">
            <v>-19043598.210000001</v>
          </cell>
          <cell r="M204">
            <v>-7467388.4699999997</v>
          </cell>
        </row>
        <row r="205">
          <cell r="F205">
            <v>-81774749.300000012</v>
          </cell>
          <cell r="H205">
            <v>0</v>
          </cell>
          <cell r="I205">
            <v>-81774749.300000012</v>
          </cell>
          <cell r="J205">
            <v>0</v>
          </cell>
          <cell r="K205">
            <v>-81774749.300000012</v>
          </cell>
          <cell r="M205">
            <v>-139496228.60000002</v>
          </cell>
        </row>
        <row r="207">
          <cell r="F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</row>
        <row r="209">
          <cell r="F209">
            <v>-20000000</v>
          </cell>
          <cell r="H209">
            <v>0</v>
          </cell>
          <cell r="I209">
            <v>-20000000</v>
          </cell>
          <cell r="J209">
            <v>0</v>
          </cell>
          <cell r="K209">
            <v>-20000000</v>
          </cell>
          <cell r="M209">
            <v>-20000000</v>
          </cell>
        </row>
        <row r="210">
          <cell r="F210">
            <v>30.22</v>
          </cell>
          <cell r="H210">
            <v>-30.22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</row>
        <row r="211">
          <cell r="F211">
            <v>-19999969.780000001</v>
          </cell>
          <cell r="H211">
            <v>-30.22</v>
          </cell>
          <cell r="I211">
            <v>-20000000</v>
          </cell>
          <cell r="J211">
            <v>0</v>
          </cell>
          <cell r="K211">
            <v>-20000000</v>
          </cell>
          <cell r="M211">
            <v>-20000000</v>
          </cell>
        </row>
        <row r="213">
          <cell r="F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</row>
        <row r="215">
          <cell r="F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M215">
            <v>0</v>
          </cell>
        </row>
        <row r="217">
          <cell r="F217">
            <v>-207000000</v>
          </cell>
          <cell r="H217">
            <v>0</v>
          </cell>
          <cell r="I217">
            <v>-207000000</v>
          </cell>
          <cell r="J217">
            <v>0</v>
          </cell>
          <cell r="K217">
            <v>-207000000</v>
          </cell>
          <cell r="M217">
            <v>-207000000</v>
          </cell>
        </row>
        <row r="218">
          <cell r="F218">
            <v>-207000000</v>
          </cell>
          <cell r="H218">
            <v>0</v>
          </cell>
          <cell r="I218">
            <v>-207000000</v>
          </cell>
          <cell r="J218">
            <v>0</v>
          </cell>
          <cell r="K218">
            <v>-207000000</v>
          </cell>
          <cell r="M218">
            <v>-207000000</v>
          </cell>
        </row>
        <row r="220">
          <cell r="F220">
            <v>68962345.599999994</v>
          </cell>
          <cell r="H220">
            <v>0</v>
          </cell>
          <cell r="I220">
            <v>68962345.599999994</v>
          </cell>
          <cell r="J220">
            <v>0</v>
          </cell>
          <cell r="K220">
            <v>68962345.599999994</v>
          </cell>
          <cell r="M220">
            <v>0</v>
          </cell>
        </row>
        <row r="221">
          <cell r="F221">
            <v>-142051.56</v>
          </cell>
          <cell r="H221">
            <v>0</v>
          </cell>
          <cell r="I221">
            <v>-142051.56</v>
          </cell>
          <cell r="J221">
            <v>0</v>
          </cell>
          <cell r="K221">
            <v>-142051.56</v>
          </cell>
          <cell r="M221">
            <v>0</v>
          </cell>
        </row>
        <row r="222">
          <cell r="F222">
            <v>68820294.039999992</v>
          </cell>
          <cell r="H222">
            <v>0</v>
          </cell>
          <cell r="I222">
            <v>68820294.039999992</v>
          </cell>
          <cell r="J222">
            <v>0</v>
          </cell>
          <cell r="K222">
            <v>68820294.039999992</v>
          </cell>
          <cell r="M222">
            <v>0</v>
          </cell>
        </row>
        <row r="224">
          <cell r="F224">
            <v>0</v>
          </cell>
          <cell r="H224">
            <v>-47151385.920000002</v>
          </cell>
          <cell r="I224">
            <v>-47151385.920000002</v>
          </cell>
          <cell r="J224">
            <v>0</v>
          </cell>
          <cell r="K224">
            <v>-47151385.920000002</v>
          </cell>
          <cell r="M224">
            <v>0</v>
          </cell>
        </row>
        <row r="225">
          <cell r="F225">
            <v>0</v>
          </cell>
          <cell r="H225">
            <v>-47151385.920000002</v>
          </cell>
          <cell r="I225">
            <v>-47151385.920000002</v>
          </cell>
          <cell r="J225">
            <v>0</v>
          </cell>
          <cell r="K225">
            <v>-47151385.920000002</v>
          </cell>
          <cell r="M225">
            <v>0</v>
          </cell>
        </row>
        <row r="227">
          <cell r="F227">
            <v>142051.56</v>
          </cell>
          <cell r="H227">
            <v>-142052</v>
          </cell>
          <cell r="I227">
            <v>-0.44</v>
          </cell>
          <cell r="J227">
            <v>0</v>
          </cell>
          <cell r="K227">
            <v>-0.44</v>
          </cell>
          <cell r="M227">
            <v>-142051.56</v>
          </cell>
        </row>
        <row r="228">
          <cell r="F228">
            <v>-22702308</v>
          </cell>
          <cell r="H228">
            <v>0</v>
          </cell>
          <cell r="I228">
            <v>-22702308</v>
          </cell>
          <cell r="J228">
            <v>0</v>
          </cell>
          <cell r="K228">
            <v>-22702308</v>
          </cell>
          <cell r="M228">
            <v>0</v>
          </cell>
        </row>
        <row r="229">
          <cell r="F229">
            <v>-61509084.710000001</v>
          </cell>
          <cell r="H229">
            <v>0</v>
          </cell>
          <cell r="I229">
            <v>-61509084.710000001</v>
          </cell>
          <cell r="J229">
            <v>0</v>
          </cell>
          <cell r="K229">
            <v>-61509084.710000001</v>
          </cell>
          <cell r="M229">
            <v>0</v>
          </cell>
        </row>
        <row r="230">
          <cell r="F230">
            <v>-385004490.89999998</v>
          </cell>
          <cell r="H230">
            <v>0</v>
          </cell>
          <cell r="I230">
            <v>-385004490.89999998</v>
          </cell>
          <cell r="J230">
            <v>0</v>
          </cell>
          <cell r="K230">
            <v>-385004490.89999998</v>
          </cell>
          <cell r="M230">
            <v>-690878662.38999999</v>
          </cell>
        </row>
        <row r="231">
          <cell r="F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-41216134.359999999</v>
          </cell>
        </row>
        <row r="232">
          <cell r="F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M232">
            <v>-581049</v>
          </cell>
        </row>
        <row r="233">
          <cell r="F233">
            <v>-34326418.729999997</v>
          </cell>
          <cell r="H233">
            <v>67467398.810000002</v>
          </cell>
          <cell r="I233">
            <v>33140980.079999998</v>
          </cell>
          <cell r="J233">
            <v>0</v>
          </cell>
          <cell r="K233">
            <v>33140980.079999998</v>
          </cell>
          <cell r="M233">
            <v>-4000</v>
          </cell>
        </row>
        <row r="234">
          <cell r="F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M234">
            <v>3885740.9</v>
          </cell>
        </row>
        <row r="235">
          <cell r="F235">
            <v>-503400250.77999997</v>
          </cell>
          <cell r="H235">
            <v>67325346.810000002</v>
          </cell>
          <cell r="I235">
            <v>-436074903.96999997</v>
          </cell>
          <cell r="J235">
            <v>0</v>
          </cell>
          <cell r="K235">
            <v>-436074903.96999997</v>
          </cell>
          <cell r="M235">
            <v>-728936156.40999997</v>
          </cell>
        </row>
        <row r="237">
          <cell r="F237">
            <v>27050572.800000001</v>
          </cell>
          <cell r="H237">
            <v>0</v>
          </cell>
          <cell r="I237">
            <v>27050572.800000001</v>
          </cell>
          <cell r="J237">
            <v>0</v>
          </cell>
          <cell r="K237">
            <v>27050572.800000001</v>
          </cell>
          <cell r="M237">
            <v>0</v>
          </cell>
        </row>
        <row r="238">
          <cell r="F238">
            <v>186365477.12</v>
          </cell>
          <cell r="H238">
            <v>28797.96</v>
          </cell>
          <cell r="I238">
            <v>186394275.08000001</v>
          </cell>
          <cell r="J238">
            <v>0</v>
          </cell>
          <cell r="K238">
            <v>186394275.08000001</v>
          </cell>
          <cell r="M238">
            <v>0</v>
          </cell>
        </row>
        <row r="239">
          <cell r="F239">
            <v>-14257490.449999999</v>
          </cell>
          <cell r="H239">
            <v>0</v>
          </cell>
          <cell r="I239">
            <v>-14257490.449999999</v>
          </cell>
          <cell r="J239">
            <v>0</v>
          </cell>
          <cell r="K239">
            <v>-14257490.449999999</v>
          </cell>
          <cell r="M239">
            <v>0</v>
          </cell>
        </row>
        <row r="240">
          <cell r="F240">
            <v>4418751.7699999996</v>
          </cell>
          <cell r="H240">
            <v>0</v>
          </cell>
          <cell r="I240">
            <v>4418751.7699999996</v>
          </cell>
          <cell r="J240">
            <v>0</v>
          </cell>
          <cell r="K240">
            <v>4418751.7699999996</v>
          </cell>
          <cell r="M240">
            <v>7872585.75</v>
          </cell>
        </row>
        <row r="241">
          <cell r="F241">
            <v>203577311.24000004</v>
          </cell>
          <cell r="H241">
            <v>28797.96</v>
          </cell>
          <cell r="I241">
            <v>203606109.20000005</v>
          </cell>
          <cell r="J241">
            <v>0</v>
          </cell>
          <cell r="K241">
            <v>203606109.20000005</v>
          </cell>
          <cell r="M241">
            <v>7872585.75</v>
          </cell>
        </row>
        <row r="243">
          <cell r="F243">
            <v>5990818.2300000004</v>
          </cell>
          <cell r="H243">
            <v>1343278</v>
          </cell>
          <cell r="I243">
            <v>7334096.2300000004</v>
          </cell>
          <cell r="J243">
            <v>0</v>
          </cell>
          <cell r="K243">
            <v>7334096.2300000004</v>
          </cell>
          <cell r="M243">
            <v>0</v>
          </cell>
        </row>
        <row r="244">
          <cell r="F244">
            <v>4963149.05</v>
          </cell>
          <cell r="H244">
            <v>74500</v>
          </cell>
          <cell r="I244">
            <v>5037649.05</v>
          </cell>
          <cell r="J244">
            <v>0</v>
          </cell>
          <cell r="K244">
            <v>5037649.05</v>
          </cell>
          <cell r="M244">
            <v>0</v>
          </cell>
        </row>
        <row r="245">
          <cell r="F245">
            <v>3882656.13</v>
          </cell>
          <cell r="H245">
            <v>0</v>
          </cell>
          <cell r="I245">
            <v>3882656.13</v>
          </cell>
          <cell r="J245">
            <v>0</v>
          </cell>
          <cell r="K245">
            <v>3882656.13</v>
          </cell>
          <cell r="M245">
            <v>0</v>
          </cell>
        </row>
        <row r="246">
          <cell r="F246">
            <v>435000</v>
          </cell>
          <cell r="H246">
            <v>0</v>
          </cell>
          <cell r="I246">
            <v>435000</v>
          </cell>
          <cell r="J246">
            <v>0</v>
          </cell>
          <cell r="K246">
            <v>435000</v>
          </cell>
          <cell r="M246">
            <v>0</v>
          </cell>
        </row>
        <row r="247">
          <cell r="F247">
            <v>0</v>
          </cell>
          <cell r="H247">
            <v>4388588</v>
          </cell>
          <cell r="I247">
            <v>4388588</v>
          </cell>
          <cell r="J247">
            <v>0</v>
          </cell>
          <cell r="K247">
            <v>4388588</v>
          </cell>
          <cell r="M247">
            <v>0</v>
          </cell>
        </row>
        <row r="248">
          <cell r="F248">
            <v>-25000</v>
          </cell>
          <cell r="H248">
            <v>0</v>
          </cell>
          <cell r="I248">
            <v>-25000</v>
          </cell>
          <cell r="J248">
            <v>0</v>
          </cell>
          <cell r="K248">
            <v>-25000</v>
          </cell>
          <cell r="M248">
            <v>-200000</v>
          </cell>
        </row>
        <row r="249">
          <cell r="F249">
            <v>3000</v>
          </cell>
          <cell r="H249">
            <v>0</v>
          </cell>
          <cell r="I249">
            <v>3000</v>
          </cell>
          <cell r="J249">
            <v>0</v>
          </cell>
          <cell r="K249">
            <v>3000</v>
          </cell>
          <cell r="M249">
            <v>97500</v>
          </cell>
        </row>
        <row r="250">
          <cell r="F250">
            <v>63410</v>
          </cell>
          <cell r="H250">
            <v>0</v>
          </cell>
          <cell r="I250">
            <v>63410</v>
          </cell>
          <cell r="J250">
            <v>0</v>
          </cell>
          <cell r="K250">
            <v>63410</v>
          </cell>
          <cell r="M250">
            <v>-208164.23</v>
          </cell>
        </row>
        <row r="251">
          <cell r="F251">
            <v>15313033.41</v>
          </cell>
          <cell r="H251">
            <v>5806366</v>
          </cell>
          <cell r="I251">
            <v>21119399.41</v>
          </cell>
          <cell r="J251">
            <v>0</v>
          </cell>
          <cell r="K251">
            <v>21119399.41</v>
          </cell>
          <cell r="M251">
            <v>-310664.23</v>
          </cell>
        </row>
        <row r="253">
          <cell r="F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M253">
            <v>34163838.840000004</v>
          </cell>
        </row>
        <row r="254">
          <cell r="F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M254">
            <v>34163838.840000004</v>
          </cell>
        </row>
        <row r="256">
          <cell r="F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M256">
            <v>35807139.490000002</v>
          </cell>
        </row>
        <row r="257">
          <cell r="F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M257">
            <v>35807139.490000002</v>
          </cell>
        </row>
        <row r="259">
          <cell r="F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M259">
            <v>26412257.710000001</v>
          </cell>
        </row>
        <row r="260">
          <cell r="F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M260">
            <v>4997894.54</v>
          </cell>
        </row>
        <row r="261">
          <cell r="F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M261">
            <v>671100.96</v>
          </cell>
        </row>
        <row r="262">
          <cell r="F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M262">
            <v>32081253.210000001</v>
          </cell>
        </row>
        <row r="264">
          <cell r="F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</row>
        <row r="266">
          <cell r="F266">
            <v>5000</v>
          </cell>
          <cell r="H266">
            <v>0</v>
          </cell>
          <cell r="I266">
            <v>5000</v>
          </cell>
          <cell r="J266">
            <v>0</v>
          </cell>
          <cell r="K266">
            <v>5000</v>
          </cell>
          <cell r="M266">
            <v>0</v>
          </cell>
        </row>
        <row r="267">
          <cell r="F267">
            <v>10645.13</v>
          </cell>
          <cell r="H267">
            <v>0</v>
          </cell>
          <cell r="I267">
            <v>10645.13</v>
          </cell>
          <cell r="J267">
            <v>0</v>
          </cell>
          <cell r="K267">
            <v>10645.13</v>
          </cell>
          <cell r="M267">
            <v>0</v>
          </cell>
        </row>
        <row r="268">
          <cell r="F268">
            <v>55643056.140000001</v>
          </cell>
          <cell r="H268">
            <v>0</v>
          </cell>
          <cell r="I268">
            <v>55643056.140000001</v>
          </cell>
          <cell r="J268">
            <v>0</v>
          </cell>
          <cell r="K268">
            <v>55643056.140000001</v>
          </cell>
          <cell r="M268">
            <v>102462959.5</v>
          </cell>
        </row>
        <row r="269">
          <cell r="F269">
            <v>35000</v>
          </cell>
          <cell r="H269">
            <v>0</v>
          </cell>
          <cell r="I269">
            <v>35000</v>
          </cell>
          <cell r="J269">
            <v>0</v>
          </cell>
          <cell r="K269">
            <v>35000</v>
          </cell>
          <cell r="M269">
            <v>2904946.43</v>
          </cell>
        </row>
        <row r="270">
          <cell r="F270">
            <v>55693701.270000003</v>
          </cell>
          <cell r="H270">
            <v>0</v>
          </cell>
          <cell r="I270">
            <v>55693701.270000003</v>
          </cell>
          <cell r="J270">
            <v>0</v>
          </cell>
          <cell r="K270">
            <v>55693701.270000003</v>
          </cell>
          <cell r="M270">
            <v>105367905.93000001</v>
          </cell>
        </row>
        <row r="272">
          <cell r="F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</row>
        <row r="274">
          <cell r="F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</row>
        <row r="276">
          <cell r="F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M276">
            <v>83353621.709999993</v>
          </cell>
        </row>
        <row r="277">
          <cell r="F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M277">
            <v>83353621.709999993</v>
          </cell>
        </row>
        <row r="279">
          <cell r="F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M279">
            <v>0</v>
          </cell>
        </row>
        <row r="281">
          <cell r="F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M281">
            <v>0</v>
          </cell>
        </row>
        <row r="283">
          <cell r="F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M283">
            <v>48110.41</v>
          </cell>
        </row>
        <row r="284">
          <cell r="F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M284">
            <v>30908</v>
          </cell>
        </row>
        <row r="285">
          <cell r="F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M285">
            <v>79018.41</v>
          </cell>
        </row>
        <row r="287">
          <cell r="F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M287">
            <v>152846182</v>
          </cell>
        </row>
        <row r="288">
          <cell r="F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M288">
            <v>152846182</v>
          </cell>
        </row>
        <row r="290">
          <cell r="F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M290">
            <v>0</v>
          </cell>
        </row>
        <row r="292">
          <cell r="F292">
            <v>1523353.32</v>
          </cell>
          <cell r="H292">
            <v>0</v>
          </cell>
          <cell r="I292">
            <v>1523353.32</v>
          </cell>
          <cell r="J292">
            <v>0</v>
          </cell>
          <cell r="K292">
            <v>1523353.32</v>
          </cell>
          <cell r="M292">
            <v>17385504.210000001</v>
          </cell>
        </row>
        <row r="293">
          <cell r="F293">
            <v>1523353.32</v>
          </cell>
          <cell r="H293">
            <v>0</v>
          </cell>
          <cell r="I293">
            <v>1523353.32</v>
          </cell>
          <cell r="J293">
            <v>0</v>
          </cell>
          <cell r="K293">
            <v>1523353.32</v>
          </cell>
          <cell r="M293">
            <v>17385504.210000001</v>
          </cell>
        </row>
        <row r="295">
          <cell r="F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M295">
            <v>0</v>
          </cell>
        </row>
        <row r="297">
          <cell r="F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M297">
            <v>0</v>
          </cell>
        </row>
        <row r="299">
          <cell r="F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M299">
            <v>64374415.280000001</v>
          </cell>
        </row>
        <row r="300">
          <cell r="F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M300">
            <v>431100</v>
          </cell>
        </row>
        <row r="301">
          <cell r="F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M301">
            <v>64805515.280000001</v>
          </cell>
        </row>
        <row r="303">
          <cell r="F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</row>
        <row r="305">
          <cell r="F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M305">
            <v>0</v>
          </cell>
        </row>
        <row r="307">
          <cell r="F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M307">
            <v>0</v>
          </cell>
        </row>
        <row r="309">
          <cell r="F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M309">
            <v>0</v>
          </cell>
        </row>
        <row r="311">
          <cell r="F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M311">
            <v>0</v>
          </cell>
        </row>
        <row r="313">
          <cell r="F313">
            <v>553070</v>
          </cell>
          <cell r="H313">
            <v>0</v>
          </cell>
          <cell r="I313">
            <v>553070</v>
          </cell>
          <cell r="J313">
            <v>0</v>
          </cell>
          <cell r="K313">
            <v>553070</v>
          </cell>
          <cell r="M313">
            <v>3000</v>
          </cell>
        </row>
        <row r="314">
          <cell r="F314">
            <v>319654</v>
          </cell>
          <cell r="H314">
            <v>0</v>
          </cell>
          <cell r="I314">
            <v>319654</v>
          </cell>
          <cell r="J314">
            <v>0</v>
          </cell>
          <cell r="K314">
            <v>319654</v>
          </cell>
          <cell r="M314">
            <v>498840</v>
          </cell>
        </row>
        <row r="315">
          <cell r="F315">
            <v>432801.91</v>
          </cell>
          <cell r="H315">
            <v>0</v>
          </cell>
          <cell r="I315">
            <v>432801.91</v>
          </cell>
          <cell r="J315">
            <v>0</v>
          </cell>
          <cell r="K315">
            <v>432801.91</v>
          </cell>
          <cell r="M315">
            <v>214595.18</v>
          </cell>
        </row>
        <row r="316">
          <cell r="F316">
            <v>1305525.9099999999</v>
          </cell>
          <cell r="H316">
            <v>0</v>
          </cell>
          <cell r="I316">
            <v>1305525.9099999999</v>
          </cell>
          <cell r="J316">
            <v>0</v>
          </cell>
          <cell r="K316">
            <v>1305525.9099999999</v>
          </cell>
          <cell r="M316">
            <v>716435.17999999993</v>
          </cell>
        </row>
        <row r="318">
          <cell r="F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</row>
        <row r="320">
          <cell r="F320">
            <v>3082759.15</v>
          </cell>
          <cell r="H320">
            <v>138189.99</v>
          </cell>
          <cell r="I320">
            <v>3220949.14</v>
          </cell>
          <cell r="J320">
            <v>0</v>
          </cell>
          <cell r="K320">
            <v>3220949.14</v>
          </cell>
          <cell r="M320">
            <v>0</v>
          </cell>
        </row>
        <row r="321">
          <cell r="F321">
            <v>1035252.23</v>
          </cell>
          <cell r="H321">
            <v>0</v>
          </cell>
          <cell r="I321">
            <v>1035252.23</v>
          </cell>
          <cell r="J321">
            <v>0</v>
          </cell>
          <cell r="K321">
            <v>1035252.23</v>
          </cell>
          <cell r="M321">
            <v>0</v>
          </cell>
        </row>
        <row r="322">
          <cell r="F322">
            <v>177500</v>
          </cell>
          <cell r="H322">
            <v>0</v>
          </cell>
          <cell r="I322">
            <v>177500</v>
          </cell>
          <cell r="J322">
            <v>0</v>
          </cell>
          <cell r="K322">
            <v>177500</v>
          </cell>
          <cell r="M322">
            <v>0</v>
          </cell>
        </row>
        <row r="323">
          <cell r="F323">
            <v>113314.92</v>
          </cell>
          <cell r="H323">
            <v>0</v>
          </cell>
          <cell r="I323">
            <v>113314.92</v>
          </cell>
          <cell r="J323">
            <v>0</v>
          </cell>
          <cell r="K323">
            <v>113314.92</v>
          </cell>
          <cell r="M323">
            <v>117345</v>
          </cell>
        </row>
        <row r="324">
          <cell r="F324">
            <v>4408826.3</v>
          </cell>
          <cell r="H324">
            <v>138189.99</v>
          </cell>
          <cell r="I324">
            <v>4547016.29</v>
          </cell>
          <cell r="J324">
            <v>0</v>
          </cell>
          <cell r="K324">
            <v>4547016.29</v>
          </cell>
          <cell r="M324">
            <v>117345</v>
          </cell>
        </row>
        <row r="326">
          <cell r="F326">
            <v>26171787.899999999</v>
          </cell>
          <cell r="H326">
            <v>0</v>
          </cell>
          <cell r="I326">
            <v>26171787.899999999</v>
          </cell>
          <cell r="J326">
            <v>0</v>
          </cell>
          <cell r="K326">
            <v>26171787.899999999</v>
          </cell>
          <cell r="M326">
            <v>0</v>
          </cell>
        </row>
        <row r="327">
          <cell r="F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M327">
            <v>6851823.21</v>
          </cell>
        </row>
        <row r="328">
          <cell r="F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8635329.4499999993</v>
          </cell>
        </row>
        <row r="329">
          <cell r="F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M329">
            <v>547850</v>
          </cell>
        </row>
        <row r="330">
          <cell r="F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M330">
            <v>530300</v>
          </cell>
        </row>
        <row r="331">
          <cell r="F331">
            <v>2936852.06</v>
          </cell>
          <cell r="H331">
            <v>0</v>
          </cell>
          <cell r="I331">
            <v>2936852.06</v>
          </cell>
          <cell r="J331">
            <v>0</v>
          </cell>
          <cell r="K331">
            <v>2936852.06</v>
          </cell>
          <cell r="M331">
            <v>1500812.19</v>
          </cell>
        </row>
        <row r="332">
          <cell r="F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M332">
            <v>8039403.3799999999</v>
          </cell>
        </row>
        <row r="333">
          <cell r="F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M333">
            <v>866002.11</v>
          </cell>
        </row>
        <row r="334">
          <cell r="F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M334">
            <v>3414788.15</v>
          </cell>
        </row>
        <row r="335">
          <cell r="F335">
            <v>3808953.25</v>
          </cell>
          <cell r="H335">
            <v>0</v>
          </cell>
          <cell r="I335">
            <v>3808953.25</v>
          </cell>
          <cell r="J335">
            <v>11000</v>
          </cell>
          <cell r="K335">
            <v>3819953.25</v>
          </cell>
          <cell r="M335">
            <v>1511332.62</v>
          </cell>
        </row>
        <row r="336">
          <cell r="F336">
            <v>2210715.92</v>
          </cell>
          <cell r="H336">
            <v>0</v>
          </cell>
          <cell r="I336">
            <v>2210715.92</v>
          </cell>
          <cell r="J336">
            <v>0</v>
          </cell>
          <cell r="K336">
            <v>2210715.92</v>
          </cell>
          <cell r="M336">
            <v>978355.95</v>
          </cell>
        </row>
        <row r="337">
          <cell r="F337">
            <v>2381313.73</v>
          </cell>
          <cell r="H337">
            <v>0</v>
          </cell>
          <cell r="I337">
            <v>2381313.73</v>
          </cell>
          <cell r="J337">
            <v>0</v>
          </cell>
          <cell r="K337">
            <v>2381313.73</v>
          </cell>
          <cell r="M337">
            <v>459140</v>
          </cell>
        </row>
        <row r="338">
          <cell r="F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M338">
            <v>30772.49</v>
          </cell>
        </row>
        <row r="339">
          <cell r="F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M339">
            <v>41000</v>
          </cell>
        </row>
        <row r="340">
          <cell r="F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M340">
            <v>300739.73</v>
          </cell>
        </row>
        <row r="341">
          <cell r="F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M341">
            <v>8239039.9100000001</v>
          </cell>
        </row>
        <row r="342">
          <cell r="F342">
            <v>7852572.6299999999</v>
          </cell>
          <cell r="H342">
            <v>0</v>
          </cell>
          <cell r="I342">
            <v>7852572.6299999999</v>
          </cell>
          <cell r="J342">
            <v>0</v>
          </cell>
          <cell r="K342">
            <v>7852572.6299999999</v>
          </cell>
          <cell r="M342">
            <v>5657493.7599999998</v>
          </cell>
        </row>
        <row r="343">
          <cell r="F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M343">
            <v>1728500</v>
          </cell>
        </row>
        <row r="344">
          <cell r="F344">
            <v>12814129.57</v>
          </cell>
          <cell r="H344">
            <v>0</v>
          </cell>
          <cell r="I344">
            <v>12814129.57</v>
          </cell>
          <cell r="J344">
            <v>0</v>
          </cell>
          <cell r="K344">
            <v>12814129.57</v>
          </cell>
          <cell r="M344">
            <v>4614055.43</v>
          </cell>
        </row>
        <row r="345">
          <cell r="F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M345">
            <v>2216800.04</v>
          </cell>
        </row>
        <row r="346">
          <cell r="F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M346">
            <v>608480.47</v>
          </cell>
        </row>
        <row r="347">
          <cell r="F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452313.32</v>
          </cell>
        </row>
        <row r="348">
          <cell r="F348">
            <v>90781.68</v>
          </cell>
          <cell r="H348">
            <v>0</v>
          </cell>
          <cell r="I348">
            <v>90781.68</v>
          </cell>
          <cell r="J348">
            <v>0</v>
          </cell>
          <cell r="K348">
            <v>90781.68</v>
          </cell>
          <cell r="M348">
            <v>181500</v>
          </cell>
        </row>
        <row r="349">
          <cell r="F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M349">
            <v>350230</v>
          </cell>
        </row>
        <row r="350">
          <cell r="F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M350">
            <v>655317.35</v>
          </cell>
        </row>
        <row r="351">
          <cell r="F351">
            <v>58267106.739999995</v>
          </cell>
          <cell r="H351">
            <v>0</v>
          </cell>
          <cell r="I351">
            <v>58267106.739999995</v>
          </cell>
          <cell r="J351">
            <v>11000</v>
          </cell>
          <cell r="K351">
            <v>58278106.739999995</v>
          </cell>
          <cell r="M351">
            <v>58411379.559999995</v>
          </cell>
        </row>
        <row r="353">
          <cell r="F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M353">
            <v>0</v>
          </cell>
        </row>
        <row r="355">
          <cell r="F355">
            <v>330203.63</v>
          </cell>
          <cell r="H355">
            <v>0</v>
          </cell>
          <cell r="I355">
            <v>330203.63</v>
          </cell>
          <cell r="J355">
            <v>0</v>
          </cell>
          <cell r="K355">
            <v>330203.63</v>
          </cell>
          <cell r="M355">
            <v>115697.64</v>
          </cell>
        </row>
        <row r="356">
          <cell r="F356">
            <v>0</v>
          </cell>
          <cell r="H356">
            <v>6896854.0800000001</v>
          </cell>
          <cell r="I356">
            <v>6896854.0800000001</v>
          </cell>
          <cell r="J356">
            <v>0</v>
          </cell>
          <cell r="K356">
            <v>6896854.0800000001</v>
          </cell>
          <cell r="M356">
            <v>79981.61</v>
          </cell>
        </row>
        <row r="357">
          <cell r="F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M357">
            <v>595979.18000000005</v>
          </cell>
        </row>
        <row r="358">
          <cell r="F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M358">
            <v>320.74</v>
          </cell>
        </row>
        <row r="359">
          <cell r="F359">
            <v>330203.63</v>
          </cell>
          <cell r="H359">
            <v>6896854.0800000001</v>
          </cell>
          <cell r="I359">
            <v>7227057.71</v>
          </cell>
          <cell r="J359">
            <v>0</v>
          </cell>
          <cell r="K359">
            <v>7227057.71</v>
          </cell>
          <cell r="M359">
            <v>791979.17</v>
          </cell>
        </row>
        <row r="361">
          <cell r="F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M361">
            <v>123700</v>
          </cell>
        </row>
        <row r="362">
          <cell r="F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M362">
            <v>8000</v>
          </cell>
        </row>
        <row r="363">
          <cell r="F363">
            <v>2416840</v>
          </cell>
          <cell r="H363">
            <v>142052</v>
          </cell>
          <cell r="I363">
            <v>2558892</v>
          </cell>
          <cell r="J363">
            <v>0</v>
          </cell>
          <cell r="K363">
            <v>2558892</v>
          </cell>
          <cell r="M363">
            <v>6459076</v>
          </cell>
        </row>
        <row r="364">
          <cell r="F364">
            <v>2416840</v>
          </cell>
          <cell r="H364">
            <v>142052</v>
          </cell>
          <cell r="I364">
            <v>2558892</v>
          </cell>
          <cell r="J364">
            <v>0</v>
          </cell>
          <cell r="K364">
            <v>2558892</v>
          </cell>
          <cell r="M364">
            <v>6590776</v>
          </cell>
        </row>
        <row r="366">
          <cell r="F366">
            <v>5918755.5899999999</v>
          </cell>
          <cell r="H366">
            <v>0</v>
          </cell>
          <cell r="I366">
            <v>5918755.5899999999</v>
          </cell>
          <cell r="J366">
            <v>0</v>
          </cell>
          <cell r="K366">
            <v>5918755.5899999999</v>
          </cell>
          <cell r="M366">
            <v>5388064.9299999997</v>
          </cell>
        </row>
        <row r="367">
          <cell r="F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M367">
            <v>231250</v>
          </cell>
        </row>
        <row r="368">
          <cell r="F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M368">
            <v>3902963.95</v>
          </cell>
        </row>
        <row r="369">
          <cell r="F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M369">
            <v>41970</v>
          </cell>
        </row>
        <row r="370">
          <cell r="F370">
            <v>412000</v>
          </cell>
          <cell r="H370">
            <v>0</v>
          </cell>
          <cell r="I370">
            <v>412000</v>
          </cell>
          <cell r="J370">
            <v>0</v>
          </cell>
          <cell r="K370">
            <v>412000</v>
          </cell>
          <cell r="M370">
            <v>1290975</v>
          </cell>
        </row>
        <row r="371">
          <cell r="F371">
            <v>737770</v>
          </cell>
          <cell r="H371">
            <v>0</v>
          </cell>
          <cell r="I371">
            <v>737770</v>
          </cell>
          <cell r="J371">
            <v>0</v>
          </cell>
          <cell r="K371">
            <v>737770</v>
          </cell>
          <cell r="M371">
            <v>1246777</v>
          </cell>
        </row>
        <row r="372">
          <cell r="F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M372">
            <v>200040</v>
          </cell>
        </row>
        <row r="373">
          <cell r="F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M373">
            <v>817480.5</v>
          </cell>
        </row>
        <row r="374">
          <cell r="F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M374">
            <v>1500</v>
          </cell>
        </row>
        <row r="375">
          <cell r="F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M375">
            <v>416758.95</v>
          </cell>
        </row>
        <row r="376">
          <cell r="F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M376">
            <v>493740</v>
          </cell>
        </row>
        <row r="377">
          <cell r="F377">
            <v>14540</v>
          </cell>
          <cell r="H377">
            <v>0</v>
          </cell>
          <cell r="I377">
            <v>14540</v>
          </cell>
          <cell r="J377">
            <v>0</v>
          </cell>
          <cell r="K377">
            <v>14540</v>
          </cell>
          <cell r="M377">
            <v>232300</v>
          </cell>
        </row>
        <row r="378"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338950</v>
          </cell>
        </row>
        <row r="379">
          <cell r="F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M379">
            <v>24500</v>
          </cell>
        </row>
        <row r="380">
          <cell r="F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M380">
            <v>184079.67</v>
          </cell>
        </row>
        <row r="381">
          <cell r="F381">
            <v>7083065.5899999999</v>
          </cell>
          <cell r="H381">
            <v>0</v>
          </cell>
          <cell r="I381">
            <v>7083065.5899999999</v>
          </cell>
          <cell r="J381">
            <v>0</v>
          </cell>
          <cell r="K381">
            <v>7083065.5899999999</v>
          </cell>
          <cell r="M381">
            <v>14811349.999999998</v>
          </cell>
        </row>
        <row r="383">
          <cell r="F383">
            <v>2334602.5</v>
          </cell>
          <cell r="H383">
            <v>0</v>
          </cell>
          <cell r="I383">
            <v>2334602.5</v>
          </cell>
          <cell r="J383">
            <v>0</v>
          </cell>
          <cell r="K383">
            <v>2334602.5</v>
          </cell>
          <cell r="M383">
            <v>0</v>
          </cell>
        </row>
        <row r="384"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37295</v>
          </cell>
        </row>
        <row r="385">
          <cell r="F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800</v>
          </cell>
        </row>
        <row r="386">
          <cell r="F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M386">
            <v>168618.5</v>
          </cell>
        </row>
        <row r="387">
          <cell r="F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M387">
            <v>233655</v>
          </cell>
        </row>
        <row r="388">
          <cell r="F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M388">
            <v>166465</v>
          </cell>
        </row>
        <row r="389">
          <cell r="F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M389">
            <v>20000</v>
          </cell>
        </row>
        <row r="390">
          <cell r="F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M390">
            <v>1216505</v>
          </cell>
        </row>
        <row r="391">
          <cell r="F391">
            <v>2334602.5</v>
          </cell>
          <cell r="H391">
            <v>0</v>
          </cell>
          <cell r="I391">
            <v>2334602.5</v>
          </cell>
          <cell r="J391">
            <v>0</v>
          </cell>
          <cell r="K391">
            <v>2334602.5</v>
          </cell>
          <cell r="M391">
            <v>1843338.5</v>
          </cell>
        </row>
        <row r="393">
          <cell r="F393">
            <v>789900</v>
          </cell>
          <cell r="H393">
            <v>0</v>
          </cell>
          <cell r="I393">
            <v>789900</v>
          </cell>
          <cell r="J393">
            <v>0</v>
          </cell>
          <cell r="K393">
            <v>789900</v>
          </cell>
          <cell r="M393">
            <v>1216110</v>
          </cell>
        </row>
        <row r="394">
          <cell r="F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M394">
            <v>140400</v>
          </cell>
        </row>
        <row r="395">
          <cell r="F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M395">
            <v>161800</v>
          </cell>
        </row>
        <row r="396">
          <cell r="F396">
            <v>789900</v>
          </cell>
          <cell r="H396">
            <v>0</v>
          </cell>
          <cell r="I396">
            <v>789900</v>
          </cell>
          <cell r="J396">
            <v>0</v>
          </cell>
          <cell r="K396">
            <v>789900</v>
          </cell>
          <cell r="M396">
            <v>1518310</v>
          </cell>
        </row>
        <row r="398">
          <cell r="F398">
            <v>1868060.11</v>
          </cell>
          <cell r="H398">
            <v>0</v>
          </cell>
          <cell r="I398">
            <v>1868060.11</v>
          </cell>
          <cell r="J398">
            <v>0</v>
          </cell>
          <cell r="K398">
            <v>1868060.11</v>
          </cell>
          <cell r="M398">
            <v>3848.9</v>
          </cell>
        </row>
        <row r="399">
          <cell r="F399">
            <v>1868060.11</v>
          </cell>
          <cell r="H399">
            <v>0</v>
          </cell>
          <cell r="I399">
            <v>1868060.11</v>
          </cell>
          <cell r="J399">
            <v>0</v>
          </cell>
          <cell r="K399">
            <v>1868060.11</v>
          </cell>
          <cell r="M399">
            <v>3848.9</v>
          </cell>
        </row>
        <row r="401">
          <cell r="F401">
            <v>4857804.43</v>
          </cell>
          <cell r="H401">
            <v>0</v>
          </cell>
          <cell r="I401">
            <v>4857804.43</v>
          </cell>
          <cell r="J401">
            <v>0</v>
          </cell>
          <cell r="K401">
            <v>4857804.43</v>
          </cell>
          <cell r="M401">
            <v>0</v>
          </cell>
        </row>
        <row r="402">
          <cell r="F402">
            <v>141678.48000000001</v>
          </cell>
          <cell r="H402">
            <v>0</v>
          </cell>
          <cell r="I402">
            <v>141678.48000000001</v>
          </cell>
          <cell r="J402">
            <v>0</v>
          </cell>
          <cell r="K402">
            <v>141678.48000000001</v>
          </cell>
          <cell r="M402">
            <v>0</v>
          </cell>
        </row>
        <row r="403">
          <cell r="F403">
            <v>712025</v>
          </cell>
          <cell r="H403">
            <v>0</v>
          </cell>
          <cell r="I403">
            <v>712025</v>
          </cell>
          <cell r="J403">
            <v>0</v>
          </cell>
          <cell r="K403">
            <v>712025</v>
          </cell>
          <cell r="M403">
            <v>0</v>
          </cell>
        </row>
        <row r="404">
          <cell r="F404">
            <v>277119.43</v>
          </cell>
          <cell r="H404">
            <v>0</v>
          </cell>
          <cell r="I404">
            <v>277119.43</v>
          </cell>
          <cell r="J404">
            <v>-277119.43</v>
          </cell>
          <cell r="K404">
            <v>0</v>
          </cell>
          <cell r="M404">
            <v>0</v>
          </cell>
        </row>
        <row r="405">
          <cell r="F405">
            <v>522000</v>
          </cell>
          <cell r="H405">
            <v>0</v>
          </cell>
          <cell r="I405">
            <v>522000</v>
          </cell>
          <cell r="J405">
            <v>0</v>
          </cell>
          <cell r="K405">
            <v>522000</v>
          </cell>
          <cell r="M405">
            <v>0</v>
          </cell>
        </row>
        <row r="406">
          <cell r="F406">
            <v>29400</v>
          </cell>
          <cell r="H406">
            <v>0</v>
          </cell>
          <cell r="I406">
            <v>29400</v>
          </cell>
          <cell r="J406">
            <v>0</v>
          </cell>
          <cell r="K406">
            <v>29400</v>
          </cell>
          <cell r="M406">
            <v>7500</v>
          </cell>
        </row>
        <row r="407">
          <cell r="F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M407">
            <v>32500</v>
          </cell>
        </row>
        <row r="408">
          <cell r="F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M408">
            <v>281428.75</v>
          </cell>
        </row>
        <row r="409">
          <cell r="F409">
            <v>58000</v>
          </cell>
          <cell r="H409">
            <v>0</v>
          </cell>
          <cell r="I409">
            <v>58000</v>
          </cell>
          <cell r="J409">
            <v>0</v>
          </cell>
          <cell r="K409">
            <v>58000</v>
          </cell>
          <cell r="M409">
            <v>36500</v>
          </cell>
        </row>
        <row r="410">
          <cell r="F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M410">
            <v>2761719.06</v>
          </cell>
        </row>
        <row r="411">
          <cell r="F411">
            <v>2990395.54</v>
          </cell>
          <cell r="H411">
            <v>0</v>
          </cell>
          <cell r="I411">
            <v>2990395.54</v>
          </cell>
          <cell r="J411">
            <v>23000</v>
          </cell>
          <cell r="K411">
            <v>3013395.54</v>
          </cell>
          <cell r="M411">
            <v>0</v>
          </cell>
        </row>
        <row r="412">
          <cell r="F412">
            <v>9588422.879999999</v>
          </cell>
          <cell r="H412">
            <v>0</v>
          </cell>
          <cell r="I412">
            <v>9588422.879999999</v>
          </cell>
          <cell r="J412">
            <v>-254119.43</v>
          </cell>
          <cell r="K412">
            <v>9334303.4499999993</v>
          </cell>
          <cell r="M412">
            <v>3119647.81</v>
          </cell>
        </row>
        <row r="414"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M414">
            <v>823671.3</v>
          </cell>
        </row>
        <row r="415">
          <cell r="F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M415">
            <v>385503.53</v>
          </cell>
        </row>
        <row r="416">
          <cell r="F416">
            <v>63512.72</v>
          </cell>
          <cell r="H416">
            <v>234081.56</v>
          </cell>
          <cell r="I416">
            <v>297594.28000000003</v>
          </cell>
          <cell r="J416">
            <v>36956.800000000003</v>
          </cell>
          <cell r="K416">
            <v>334551.08</v>
          </cell>
          <cell r="M416">
            <v>71593.56</v>
          </cell>
        </row>
        <row r="417">
          <cell r="F417">
            <v>276786</v>
          </cell>
          <cell r="H417">
            <v>574670.21</v>
          </cell>
          <cell r="I417">
            <v>851456.21</v>
          </cell>
          <cell r="J417">
            <v>0</v>
          </cell>
          <cell r="K417">
            <v>851456.21</v>
          </cell>
          <cell r="M417">
            <v>503419.84</v>
          </cell>
        </row>
        <row r="418">
          <cell r="F418">
            <v>1664590.16</v>
          </cell>
          <cell r="H418">
            <v>722807.59</v>
          </cell>
          <cell r="I418">
            <v>2387397.75</v>
          </cell>
          <cell r="J418">
            <v>0</v>
          </cell>
          <cell r="K418">
            <v>2387397.75</v>
          </cell>
          <cell r="M418">
            <v>3980510</v>
          </cell>
        </row>
        <row r="419">
          <cell r="F419">
            <v>0</v>
          </cell>
          <cell r="H419">
            <v>546505</v>
          </cell>
          <cell r="I419">
            <v>546505</v>
          </cell>
          <cell r="J419">
            <v>0</v>
          </cell>
          <cell r="K419">
            <v>546505</v>
          </cell>
          <cell r="M419">
            <v>661050</v>
          </cell>
        </row>
        <row r="420">
          <cell r="F420">
            <v>2004888.88</v>
          </cell>
          <cell r="H420">
            <v>2078064.3599999999</v>
          </cell>
          <cell r="I420">
            <v>4082953.24</v>
          </cell>
          <cell r="J420">
            <v>36956.800000000003</v>
          </cell>
          <cell r="K420">
            <v>4119910.04</v>
          </cell>
          <cell r="M420">
            <v>6425748.2300000004</v>
          </cell>
        </row>
        <row r="422">
          <cell r="F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M422">
            <v>1030532.61</v>
          </cell>
        </row>
        <row r="423">
          <cell r="F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M423">
            <v>53776458.030000001</v>
          </cell>
        </row>
        <row r="424">
          <cell r="F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M424">
            <v>0</v>
          </cell>
        </row>
        <row r="425">
          <cell r="F425">
            <v>30000</v>
          </cell>
          <cell r="H425">
            <v>0</v>
          </cell>
          <cell r="I425">
            <v>30000</v>
          </cell>
          <cell r="J425">
            <v>0</v>
          </cell>
          <cell r="K425">
            <v>30000</v>
          </cell>
          <cell r="M425">
            <v>0</v>
          </cell>
        </row>
        <row r="426">
          <cell r="F426">
            <v>0</v>
          </cell>
          <cell r="H426">
            <v>6660031.3899999997</v>
          </cell>
          <cell r="I426">
            <v>6660031.3899999997</v>
          </cell>
          <cell r="J426">
            <v>0</v>
          </cell>
          <cell r="K426">
            <v>6660031.3899999997</v>
          </cell>
          <cell r="M426">
            <v>0</v>
          </cell>
        </row>
        <row r="427">
          <cell r="F427">
            <v>0</v>
          </cell>
          <cell r="H427">
            <v>11019270.6</v>
          </cell>
          <cell r="I427">
            <v>11019270.6</v>
          </cell>
          <cell r="J427">
            <v>0</v>
          </cell>
          <cell r="K427">
            <v>11019270.6</v>
          </cell>
          <cell r="M427">
            <v>0</v>
          </cell>
        </row>
        <row r="428">
          <cell r="F428">
            <v>36348967.299999997</v>
          </cell>
          <cell r="H428">
            <v>46932412.759999998</v>
          </cell>
          <cell r="I428">
            <v>83281380.060000002</v>
          </cell>
          <cell r="J428">
            <v>0</v>
          </cell>
          <cell r="K428">
            <v>83281380.060000002</v>
          </cell>
          <cell r="M428">
            <v>11876916.220000001</v>
          </cell>
        </row>
        <row r="429">
          <cell r="F429">
            <v>36378967.299999997</v>
          </cell>
          <cell r="H429">
            <v>64611714.75</v>
          </cell>
          <cell r="I429">
            <v>100990682.05</v>
          </cell>
          <cell r="J429">
            <v>0</v>
          </cell>
          <cell r="K429">
            <v>100990682.05</v>
          </cell>
          <cell r="M429">
            <v>66683906.859999999</v>
          </cell>
        </row>
        <row r="431">
          <cell r="F431">
            <v>4628013.08</v>
          </cell>
          <cell r="H431">
            <v>0</v>
          </cell>
          <cell r="I431">
            <v>4628013.08</v>
          </cell>
          <cell r="J431">
            <v>-551356.82999999996</v>
          </cell>
          <cell r="K431">
            <v>4076656.25</v>
          </cell>
          <cell r="M431">
            <v>0</v>
          </cell>
        </row>
        <row r="432">
          <cell r="F432">
            <v>4628013.08</v>
          </cell>
          <cell r="H432">
            <v>0</v>
          </cell>
          <cell r="I432">
            <v>4628013.08</v>
          </cell>
          <cell r="J432">
            <v>-551356.82999999996</v>
          </cell>
          <cell r="K432">
            <v>4076656.25</v>
          </cell>
          <cell r="M432">
            <v>0</v>
          </cell>
        </row>
        <row r="434">
          <cell r="F434">
            <v>13816506.65</v>
          </cell>
          <cell r="H434">
            <v>0</v>
          </cell>
          <cell r="I434">
            <v>13816506.65</v>
          </cell>
          <cell r="J434">
            <v>0</v>
          </cell>
          <cell r="K434">
            <v>13816506.65</v>
          </cell>
          <cell r="M434">
            <v>11921613.550000001</v>
          </cell>
        </row>
        <row r="435">
          <cell r="F435">
            <v>13816506.65</v>
          </cell>
          <cell r="H435">
            <v>0</v>
          </cell>
          <cell r="I435">
            <v>13816506.65</v>
          </cell>
          <cell r="J435">
            <v>0</v>
          </cell>
          <cell r="K435">
            <v>13816506.65</v>
          </cell>
          <cell r="M435">
            <v>11921613.550000001</v>
          </cell>
        </row>
        <row r="437">
          <cell r="F437">
            <v>2000</v>
          </cell>
          <cell r="H437">
            <v>0</v>
          </cell>
          <cell r="I437">
            <v>2000</v>
          </cell>
          <cell r="J437">
            <v>0</v>
          </cell>
          <cell r="K437">
            <v>2000</v>
          </cell>
          <cell r="M437">
            <v>0</v>
          </cell>
        </row>
        <row r="438">
          <cell r="F438">
            <v>-710366.26</v>
          </cell>
          <cell r="H438">
            <v>0</v>
          </cell>
          <cell r="I438">
            <v>-710366.26</v>
          </cell>
          <cell r="J438">
            <v>828476.26</v>
          </cell>
          <cell r="K438">
            <v>118110</v>
          </cell>
          <cell r="M438">
            <v>0</v>
          </cell>
        </row>
        <row r="439">
          <cell r="F439">
            <v>3187749.39</v>
          </cell>
          <cell r="H439">
            <v>0</v>
          </cell>
          <cell r="I439">
            <v>3187749.39</v>
          </cell>
          <cell r="J439">
            <v>0</v>
          </cell>
          <cell r="K439">
            <v>3187749.39</v>
          </cell>
          <cell r="M439">
            <v>7271022.5599999996</v>
          </cell>
        </row>
        <row r="440">
          <cell r="F440">
            <v>2751744.5</v>
          </cell>
          <cell r="H440">
            <v>0</v>
          </cell>
          <cell r="I440">
            <v>2751744.5</v>
          </cell>
          <cell r="J440">
            <v>102500</v>
          </cell>
          <cell r="K440">
            <v>2854244.5</v>
          </cell>
          <cell r="M440">
            <v>4577944.97</v>
          </cell>
        </row>
        <row r="441">
          <cell r="F441">
            <v>519465</v>
          </cell>
          <cell r="H441">
            <v>0</v>
          </cell>
          <cell r="I441">
            <v>519465</v>
          </cell>
          <cell r="J441">
            <v>28000</v>
          </cell>
          <cell r="K441">
            <v>547465</v>
          </cell>
          <cell r="M441">
            <v>253831.04000000001</v>
          </cell>
        </row>
        <row r="442">
          <cell r="F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M442">
            <v>140600</v>
          </cell>
        </row>
        <row r="443">
          <cell r="F443">
            <v>104400</v>
          </cell>
          <cell r="H443">
            <v>0</v>
          </cell>
          <cell r="I443">
            <v>104400</v>
          </cell>
          <cell r="J443">
            <v>229350</v>
          </cell>
          <cell r="K443">
            <v>333750</v>
          </cell>
          <cell r="M443">
            <v>923690.17</v>
          </cell>
        </row>
        <row r="444">
          <cell r="F444">
            <v>5854992.6299999999</v>
          </cell>
          <cell r="H444">
            <v>0</v>
          </cell>
          <cell r="I444">
            <v>5854992.6299999999</v>
          </cell>
          <cell r="J444">
            <v>1188326.26</v>
          </cell>
          <cell r="K444">
            <v>7043318.8900000006</v>
          </cell>
          <cell r="M444">
            <v>13167088.739999998</v>
          </cell>
        </row>
        <row r="446">
          <cell r="F446">
            <v>310797.5</v>
          </cell>
          <cell r="H446">
            <v>0</v>
          </cell>
          <cell r="I446">
            <v>310797.5</v>
          </cell>
          <cell r="J446">
            <v>0</v>
          </cell>
          <cell r="K446">
            <v>310797.5</v>
          </cell>
          <cell r="M446">
            <v>826695</v>
          </cell>
        </row>
        <row r="447">
          <cell r="F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M447">
            <v>28450</v>
          </cell>
        </row>
        <row r="448">
          <cell r="F448">
            <v>310797.5</v>
          </cell>
          <cell r="H448">
            <v>0</v>
          </cell>
          <cell r="I448">
            <v>310797.5</v>
          </cell>
          <cell r="J448">
            <v>0</v>
          </cell>
          <cell r="K448">
            <v>310797.5</v>
          </cell>
          <cell r="M448">
            <v>855145</v>
          </cell>
        </row>
        <row r="450">
          <cell r="F450">
            <v>18250</v>
          </cell>
          <cell r="H450">
            <v>0</v>
          </cell>
          <cell r="I450">
            <v>18250</v>
          </cell>
          <cell r="J450">
            <v>0</v>
          </cell>
          <cell r="K450">
            <v>18250</v>
          </cell>
          <cell r="M450">
            <v>0</v>
          </cell>
        </row>
        <row r="451">
          <cell r="F451">
            <v>455000</v>
          </cell>
          <cell r="H451">
            <v>0</v>
          </cell>
          <cell r="I451">
            <v>455000</v>
          </cell>
          <cell r="J451">
            <v>0</v>
          </cell>
          <cell r="K451">
            <v>455000</v>
          </cell>
          <cell r="M451">
            <v>240000</v>
          </cell>
        </row>
        <row r="452">
          <cell r="F452">
            <v>410000</v>
          </cell>
          <cell r="H452">
            <v>0</v>
          </cell>
          <cell r="I452">
            <v>410000</v>
          </cell>
          <cell r="J452">
            <v>0</v>
          </cell>
          <cell r="K452">
            <v>410000</v>
          </cell>
          <cell r="M452">
            <v>240000</v>
          </cell>
        </row>
        <row r="453">
          <cell r="F453">
            <v>883250</v>
          </cell>
          <cell r="H453">
            <v>0</v>
          </cell>
          <cell r="I453">
            <v>883250</v>
          </cell>
          <cell r="J453">
            <v>0</v>
          </cell>
          <cell r="K453">
            <v>883250</v>
          </cell>
          <cell r="M453">
            <v>480000</v>
          </cell>
        </row>
        <row r="455">
          <cell r="F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</row>
        <row r="457">
          <cell r="F457">
            <v>1180228.46</v>
          </cell>
          <cell r="H457">
            <v>45552.55</v>
          </cell>
          <cell r="I457">
            <v>1225781.01</v>
          </cell>
          <cell r="J457">
            <v>0</v>
          </cell>
          <cell r="K457">
            <v>1225781.01</v>
          </cell>
          <cell r="M457">
            <v>2914387.37</v>
          </cell>
        </row>
        <row r="458">
          <cell r="F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M458">
            <v>116433.33</v>
          </cell>
        </row>
        <row r="459">
          <cell r="F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M459">
            <v>107950</v>
          </cell>
        </row>
        <row r="460">
          <cell r="F460">
            <v>1180228.46</v>
          </cell>
          <cell r="H460">
            <v>45552.55</v>
          </cell>
          <cell r="I460">
            <v>1225781.01</v>
          </cell>
          <cell r="J460">
            <v>0</v>
          </cell>
          <cell r="K460">
            <v>1225781.01</v>
          </cell>
          <cell r="M460">
            <v>3138770.7</v>
          </cell>
        </row>
        <row r="462">
          <cell r="F462">
            <v>1253177.25</v>
          </cell>
          <cell r="H462">
            <v>0</v>
          </cell>
          <cell r="I462">
            <v>1253177.25</v>
          </cell>
          <cell r="J462">
            <v>0</v>
          </cell>
          <cell r="K462">
            <v>1253177.25</v>
          </cell>
          <cell r="M462">
            <v>2466518</v>
          </cell>
        </row>
        <row r="463">
          <cell r="F463">
            <v>144672.5</v>
          </cell>
          <cell r="H463">
            <v>0</v>
          </cell>
          <cell r="I463">
            <v>144672.5</v>
          </cell>
          <cell r="J463">
            <v>0</v>
          </cell>
          <cell r="K463">
            <v>144672.5</v>
          </cell>
          <cell r="M463">
            <v>876405</v>
          </cell>
        </row>
        <row r="464">
          <cell r="F464">
            <v>439640.97</v>
          </cell>
          <cell r="H464">
            <v>0</v>
          </cell>
          <cell r="I464">
            <v>439640.97</v>
          </cell>
          <cell r="J464">
            <v>0</v>
          </cell>
          <cell r="K464">
            <v>439640.97</v>
          </cell>
          <cell r="M464">
            <v>1055986.03</v>
          </cell>
        </row>
        <row r="465">
          <cell r="F465">
            <v>1837490.72</v>
          </cell>
          <cell r="H465">
            <v>0</v>
          </cell>
          <cell r="I465">
            <v>1837490.72</v>
          </cell>
          <cell r="J465">
            <v>0</v>
          </cell>
          <cell r="K465">
            <v>1837490.72</v>
          </cell>
          <cell r="M465">
            <v>4398909.03</v>
          </cell>
        </row>
        <row r="467">
          <cell r="F467">
            <v>1773064.6</v>
          </cell>
          <cell r="H467">
            <v>0</v>
          </cell>
          <cell r="I467">
            <v>1773064.6</v>
          </cell>
          <cell r="J467">
            <v>0</v>
          </cell>
          <cell r="K467">
            <v>1773064.6</v>
          </cell>
          <cell r="M467">
            <v>1610025</v>
          </cell>
        </row>
        <row r="468">
          <cell r="F468">
            <v>950000</v>
          </cell>
          <cell r="H468">
            <v>0</v>
          </cell>
          <cell r="I468">
            <v>950000</v>
          </cell>
          <cell r="J468">
            <v>0</v>
          </cell>
          <cell r="K468">
            <v>950000</v>
          </cell>
          <cell r="M468">
            <v>1152000</v>
          </cell>
        </row>
        <row r="469">
          <cell r="F469">
            <v>2723064.6</v>
          </cell>
          <cell r="H469">
            <v>0</v>
          </cell>
          <cell r="I469">
            <v>2723064.6</v>
          </cell>
          <cell r="J469">
            <v>0</v>
          </cell>
          <cell r="K469">
            <v>2723064.6</v>
          </cell>
          <cell r="M469">
            <v>2762025</v>
          </cell>
        </row>
        <row r="471">
          <cell r="F471">
            <v>700000</v>
          </cell>
          <cell r="H471">
            <v>4300000</v>
          </cell>
          <cell r="I471">
            <v>5000000</v>
          </cell>
          <cell r="J471">
            <v>0</v>
          </cell>
          <cell r="K471">
            <v>5000000</v>
          </cell>
          <cell r="M471">
            <v>3000000</v>
          </cell>
        </row>
        <row r="472">
          <cell r="F472">
            <v>700000</v>
          </cell>
          <cell r="H472">
            <v>4300000</v>
          </cell>
          <cell r="I472">
            <v>5000000</v>
          </cell>
          <cell r="J472">
            <v>0</v>
          </cell>
          <cell r="K472">
            <v>5000000</v>
          </cell>
          <cell r="M472">
            <v>3000000</v>
          </cell>
        </row>
        <row r="474">
          <cell r="F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M474">
            <v>1721168.33</v>
          </cell>
        </row>
        <row r="475">
          <cell r="F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M475">
            <v>1721168.33</v>
          </cell>
        </row>
        <row r="477">
          <cell r="F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M477">
            <v>66960.3</v>
          </cell>
        </row>
        <row r="478">
          <cell r="F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66960.3</v>
          </cell>
        </row>
        <row r="480">
          <cell r="F480">
            <v>1216400</v>
          </cell>
          <cell r="H480">
            <v>0</v>
          </cell>
          <cell r="I480">
            <v>1216400</v>
          </cell>
          <cell r="J480">
            <v>0</v>
          </cell>
          <cell r="K480">
            <v>1216400</v>
          </cell>
          <cell r="M480">
            <v>819800</v>
          </cell>
        </row>
        <row r="481">
          <cell r="F481">
            <v>2863835</v>
          </cell>
          <cell r="H481">
            <v>0</v>
          </cell>
          <cell r="I481">
            <v>2863835</v>
          </cell>
          <cell r="J481">
            <v>0</v>
          </cell>
          <cell r="K481">
            <v>2863835</v>
          </cell>
          <cell r="M481">
            <v>4998500</v>
          </cell>
        </row>
        <row r="482">
          <cell r="F482">
            <v>-422421.18</v>
          </cell>
          <cell r="H482">
            <v>0</v>
          </cell>
          <cell r="I482">
            <v>-422421.18</v>
          </cell>
          <cell r="J482">
            <v>0</v>
          </cell>
          <cell r="K482">
            <v>-422421.18</v>
          </cell>
          <cell r="M482">
            <v>153315</v>
          </cell>
        </row>
        <row r="483">
          <cell r="F483">
            <v>3657813.82</v>
          </cell>
          <cell r="H483">
            <v>0</v>
          </cell>
          <cell r="I483">
            <v>3657813.82</v>
          </cell>
          <cell r="J483">
            <v>0</v>
          </cell>
          <cell r="K483">
            <v>3657813.82</v>
          </cell>
          <cell r="M483">
            <v>5971615</v>
          </cell>
        </row>
        <row r="485">
          <cell r="F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M485">
            <v>6561183.3300000001</v>
          </cell>
        </row>
        <row r="486">
          <cell r="F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M486">
            <v>6561183.3300000001</v>
          </cell>
        </row>
        <row r="488">
          <cell r="F488">
            <v>1100660.8700000001</v>
          </cell>
          <cell r="H488">
            <v>55794.89</v>
          </cell>
          <cell r="I488">
            <v>1156455.76</v>
          </cell>
          <cell r="J488">
            <v>0</v>
          </cell>
          <cell r="K488">
            <v>1156455.76</v>
          </cell>
          <cell r="M488">
            <v>7490000</v>
          </cell>
        </row>
        <row r="489">
          <cell r="F489">
            <v>5668304.3700000001</v>
          </cell>
          <cell r="H489">
            <v>891274.46</v>
          </cell>
          <cell r="I489">
            <v>6559578.8300000001</v>
          </cell>
          <cell r="J489">
            <v>0</v>
          </cell>
          <cell r="K489">
            <v>6559578.8300000001</v>
          </cell>
          <cell r="M489">
            <v>43804065</v>
          </cell>
        </row>
        <row r="490">
          <cell r="F490">
            <v>6768965.2400000002</v>
          </cell>
          <cell r="H490">
            <v>947069.35</v>
          </cell>
          <cell r="I490">
            <v>7716034.5899999999</v>
          </cell>
          <cell r="J490">
            <v>0</v>
          </cell>
          <cell r="K490">
            <v>7716034.5899999999</v>
          </cell>
          <cell r="M490">
            <v>51294065</v>
          </cell>
        </row>
        <row r="492">
          <cell r="F492">
            <v>420250</v>
          </cell>
          <cell r="H492">
            <v>0</v>
          </cell>
          <cell r="I492">
            <v>420250</v>
          </cell>
          <cell r="J492">
            <v>0</v>
          </cell>
          <cell r="K492">
            <v>420250</v>
          </cell>
          <cell r="M492">
            <v>561980</v>
          </cell>
        </row>
        <row r="493">
          <cell r="F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M493">
            <v>280000</v>
          </cell>
        </row>
        <row r="494">
          <cell r="F494">
            <v>420250</v>
          </cell>
          <cell r="H494">
            <v>0</v>
          </cell>
          <cell r="I494">
            <v>420250</v>
          </cell>
          <cell r="J494">
            <v>0</v>
          </cell>
          <cell r="K494">
            <v>420250</v>
          </cell>
          <cell r="M494">
            <v>841980</v>
          </cell>
        </row>
        <row r="496">
          <cell r="F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M496">
            <v>0</v>
          </cell>
        </row>
        <row r="498">
          <cell r="F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M498">
            <v>0</v>
          </cell>
        </row>
        <row r="500">
          <cell r="F500">
            <v>199230</v>
          </cell>
          <cell r="H500">
            <v>0</v>
          </cell>
          <cell r="I500">
            <v>199230</v>
          </cell>
          <cell r="J500">
            <v>0</v>
          </cell>
          <cell r="K500">
            <v>199230</v>
          </cell>
          <cell r="M500">
            <v>223125.85</v>
          </cell>
        </row>
        <row r="501">
          <cell r="F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26070</v>
          </cell>
        </row>
        <row r="502">
          <cell r="F502">
            <v>199230</v>
          </cell>
          <cell r="H502">
            <v>0</v>
          </cell>
          <cell r="I502">
            <v>199230</v>
          </cell>
          <cell r="J502">
            <v>0</v>
          </cell>
          <cell r="K502">
            <v>199230</v>
          </cell>
          <cell r="M502">
            <v>249195.85</v>
          </cell>
        </row>
        <row r="504">
          <cell r="F504">
            <v>3052000</v>
          </cell>
          <cell r="H504">
            <v>0</v>
          </cell>
          <cell r="I504">
            <v>3052000</v>
          </cell>
          <cell r="J504">
            <v>0</v>
          </cell>
          <cell r="K504">
            <v>3052000</v>
          </cell>
          <cell r="M504">
            <v>2439800.16</v>
          </cell>
        </row>
        <row r="505">
          <cell r="F505">
            <v>3052000</v>
          </cell>
          <cell r="H505">
            <v>0</v>
          </cell>
          <cell r="I505">
            <v>3052000</v>
          </cell>
          <cell r="J505">
            <v>0</v>
          </cell>
          <cell r="K505">
            <v>3052000</v>
          </cell>
          <cell r="M505">
            <v>2439800.16</v>
          </cell>
        </row>
        <row r="507">
          <cell r="F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M507">
            <v>0</v>
          </cell>
        </row>
        <row r="509">
          <cell r="F509">
            <v>-452360</v>
          </cell>
          <cell r="H509">
            <v>0</v>
          </cell>
          <cell r="I509">
            <v>-452360</v>
          </cell>
          <cell r="J509">
            <v>0</v>
          </cell>
          <cell r="K509">
            <v>-452360</v>
          </cell>
          <cell r="M509">
            <v>0</v>
          </cell>
        </row>
        <row r="510">
          <cell r="F510">
            <v>-2447849.4</v>
          </cell>
          <cell r="H510">
            <v>0</v>
          </cell>
          <cell r="I510">
            <v>-2447849.4</v>
          </cell>
          <cell r="J510">
            <v>-393850</v>
          </cell>
          <cell r="K510">
            <v>-2841699.4</v>
          </cell>
          <cell r="M510">
            <v>-183300</v>
          </cell>
        </row>
        <row r="511">
          <cell r="F511">
            <v>-2220389.7200000002</v>
          </cell>
          <cell r="H511">
            <v>0</v>
          </cell>
          <cell r="I511">
            <v>-2220389.7200000002</v>
          </cell>
          <cell r="J511">
            <v>0</v>
          </cell>
          <cell r="K511">
            <v>-2220389.7200000002</v>
          </cell>
          <cell r="M511">
            <v>-10117409.33</v>
          </cell>
        </row>
        <row r="512">
          <cell r="F512">
            <v>-5120599.12</v>
          </cell>
          <cell r="H512">
            <v>0</v>
          </cell>
          <cell r="I512">
            <v>-5120599.12</v>
          </cell>
          <cell r="J512">
            <v>-393850</v>
          </cell>
          <cell r="K512">
            <v>-5514449.1200000001</v>
          </cell>
          <cell r="M512">
            <v>-10300709.33</v>
          </cell>
        </row>
        <row r="514">
          <cell r="F514">
            <v>4500</v>
          </cell>
          <cell r="H514">
            <v>0</v>
          </cell>
          <cell r="I514">
            <v>4500</v>
          </cell>
          <cell r="J514">
            <v>0</v>
          </cell>
          <cell r="K514">
            <v>4500</v>
          </cell>
          <cell r="M514">
            <v>204097.01</v>
          </cell>
        </row>
        <row r="515">
          <cell r="F515">
            <v>2642137.1</v>
          </cell>
          <cell r="H515">
            <v>0</v>
          </cell>
          <cell r="I515">
            <v>2642137.1</v>
          </cell>
          <cell r="J515">
            <v>0</v>
          </cell>
          <cell r="K515">
            <v>2642137.1</v>
          </cell>
          <cell r="M515">
            <v>4497672.1900000004</v>
          </cell>
        </row>
        <row r="516">
          <cell r="F516">
            <v>2646637.1</v>
          </cell>
          <cell r="H516">
            <v>0</v>
          </cell>
          <cell r="I516">
            <v>2646637.1</v>
          </cell>
          <cell r="J516">
            <v>0</v>
          </cell>
          <cell r="K516">
            <v>2646637.1</v>
          </cell>
          <cell r="M516">
            <v>4701769.2</v>
          </cell>
        </row>
        <row r="518">
          <cell r="F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M518">
            <v>0</v>
          </cell>
        </row>
        <row r="520">
          <cell r="F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</row>
        <row r="522">
          <cell r="F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</row>
        <row r="523">
          <cell r="F523">
            <v>5.1222741603851318E-9</v>
          </cell>
          <cell r="H523">
            <v>-6.1700120568275452E-9</v>
          </cell>
          <cell r="I523">
            <v>-1.5366822481155396E-8</v>
          </cell>
          <cell r="J523">
            <v>2.3283064365386963E-10</v>
          </cell>
          <cell r="K523">
            <v>-7.8696757555007935E-8</v>
          </cell>
          <cell r="M523">
            <v>30.219999958761036</v>
          </cell>
        </row>
      </sheetData>
      <sheetData sheetId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1630338.43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-150000</v>
          </cell>
        </row>
        <row r="5">
          <cell r="F5">
            <v>906001.55</v>
          </cell>
          <cell r="G5">
            <v>0</v>
          </cell>
          <cell r="H5">
            <v>906001.55</v>
          </cell>
          <cell r="I5">
            <v>0</v>
          </cell>
          <cell r="J5">
            <v>906001.55</v>
          </cell>
          <cell r="K5">
            <v>0</v>
          </cell>
        </row>
        <row r="6">
          <cell r="F6">
            <v>-398141.5</v>
          </cell>
          <cell r="G6">
            <v>0</v>
          </cell>
          <cell r="H6">
            <v>-398141.5</v>
          </cell>
          <cell r="I6">
            <v>0</v>
          </cell>
          <cell r="J6">
            <v>-398141.5</v>
          </cell>
          <cell r="K6">
            <v>0</v>
          </cell>
        </row>
        <row r="7">
          <cell r="F7">
            <v>-3052858.28</v>
          </cell>
          <cell r="G7">
            <v>0</v>
          </cell>
          <cell r="H7">
            <v>-3052858.28</v>
          </cell>
          <cell r="I7">
            <v>0</v>
          </cell>
          <cell r="J7">
            <v>-3052858.28</v>
          </cell>
          <cell r="K7">
            <v>0</v>
          </cell>
        </row>
        <row r="8">
          <cell r="F8">
            <v>437914.87</v>
          </cell>
          <cell r="G8">
            <v>0</v>
          </cell>
          <cell r="H8">
            <v>437914.87</v>
          </cell>
          <cell r="I8">
            <v>0</v>
          </cell>
          <cell r="J8">
            <v>437914.87</v>
          </cell>
          <cell r="K8">
            <v>0</v>
          </cell>
        </row>
        <row r="9">
          <cell r="F9">
            <v>816090.12</v>
          </cell>
          <cell r="G9">
            <v>0</v>
          </cell>
          <cell r="H9">
            <v>816090.12</v>
          </cell>
          <cell r="I9">
            <v>0</v>
          </cell>
          <cell r="J9">
            <v>816090.12</v>
          </cell>
          <cell r="K9">
            <v>0</v>
          </cell>
        </row>
        <row r="10">
          <cell r="F10">
            <v>-1290993.2399999993</v>
          </cell>
          <cell r="G10">
            <v>0</v>
          </cell>
          <cell r="H10">
            <v>-1290993.2399999993</v>
          </cell>
          <cell r="I10">
            <v>0</v>
          </cell>
          <cell r="J10">
            <v>-1290993.2399999993</v>
          </cell>
          <cell r="K10">
            <v>1480338.43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30070.91</v>
          </cell>
        </row>
        <row r="13">
          <cell r="F13">
            <v>4583.4399999999996</v>
          </cell>
          <cell r="G13">
            <v>0</v>
          </cell>
          <cell r="H13">
            <v>4583.4399999999996</v>
          </cell>
          <cell r="I13">
            <v>0</v>
          </cell>
          <cell r="J13">
            <v>4583.4399999999996</v>
          </cell>
          <cell r="K13">
            <v>4583.4399999999996</v>
          </cell>
        </row>
        <row r="14">
          <cell r="F14">
            <v>20045.36</v>
          </cell>
          <cell r="G14">
            <v>0</v>
          </cell>
          <cell r="H14">
            <v>20045.36</v>
          </cell>
          <cell r="I14">
            <v>0</v>
          </cell>
          <cell r="J14">
            <v>20045.36</v>
          </cell>
          <cell r="K14">
            <v>20045.36</v>
          </cell>
        </row>
        <row r="15">
          <cell r="F15">
            <v>15193.26</v>
          </cell>
          <cell r="G15">
            <v>0</v>
          </cell>
          <cell r="H15">
            <v>15193.26</v>
          </cell>
          <cell r="I15">
            <v>0</v>
          </cell>
          <cell r="J15">
            <v>15193.26</v>
          </cell>
          <cell r="K15">
            <v>15193.26</v>
          </cell>
        </row>
        <row r="16">
          <cell r="F16">
            <v>37442.83</v>
          </cell>
          <cell r="G16">
            <v>0</v>
          </cell>
          <cell r="H16">
            <v>37442.83</v>
          </cell>
          <cell r="I16">
            <v>0</v>
          </cell>
          <cell r="J16">
            <v>37442.83</v>
          </cell>
          <cell r="K16">
            <v>37442.83</v>
          </cell>
        </row>
        <row r="17">
          <cell r="F17">
            <v>7023.25</v>
          </cell>
          <cell r="G17">
            <v>0</v>
          </cell>
          <cell r="H17">
            <v>7023.25</v>
          </cell>
          <cell r="I17">
            <v>0</v>
          </cell>
          <cell r="J17">
            <v>7023.25</v>
          </cell>
          <cell r="K17">
            <v>7023.25</v>
          </cell>
        </row>
        <row r="18">
          <cell r="F18">
            <v>13111.14</v>
          </cell>
          <cell r="G18">
            <v>787827.28</v>
          </cell>
          <cell r="H18">
            <v>800938.42</v>
          </cell>
          <cell r="I18">
            <v>0</v>
          </cell>
          <cell r="J18">
            <v>800938.42</v>
          </cell>
          <cell r="K18">
            <v>384836.44</v>
          </cell>
        </row>
        <row r="19">
          <cell r="F19">
            <v>1027256.59</v>
          </cell>
          <cell r="G19">
            <v>0</v>
          </cell>
          <cell r="H19">
            <v>1027256.59</v>
          </cell>
          <cell r="I19">
            <v>0</v>
          </cell>
          <cell r="J19">
            <v>1027256.59</v>
          </cell>
          <cell r="K19">
            <v>2663240.08</v>
          </cell>
        </row>
        <row r="20">
          <cell r="F20">
            <v>41811.81</v>
          </cell>
          <cell r="G20">
            <v>0</v>
          </cell>
          <cell r="H20">
            <v>41811.81</v>
          </cell>
          <cell r="I20">
            <v>0</v>
          </cell>
          <cell r="J20">
            <v>41811.81</v>
          </cell>
          <cell r="K20">
            <v>909742.38</v>
          </cell>
        </row>
        <row r="21">
          <cell r="F21">
            <v>-52188.12</v>
          </cell>
          <cell r="G21">
            <v>-37443</v>
          </cell>
          <cell r="H21">
            <v>-89631.12</v>
          </cell>
          <cell r="I21">
            <v>0</v>
          </cell>
          <cell r="J21">
            <v>-89631.12</v>
          </cell>
          <cell r="K21">
            <v>-76916.22</v>
          </cell>
        </row>
        <row r="22">
          <cell r="F22">
            <v>8121129.4500000002</v>
          </cell>
          <cell r="G22">
            <v>-4228108.2699999996</v>
          </cell>
          <cell r="H22">
            <v>3893021.18</v>
          </cell>
          <cell r="I22">
            <v>0</v>
          </cell>
          <cell r="J22">
            <v>3893021.18</v>
          </cell>
          <cell r="K22">
            <v>0</v>
          </cell>
        </row>
        <row r="23">
          <cell r="F23">
            <v>4340380.37</v>
          </cell>
          <cell r="G23">
            <v>-77665.179999999993</v>
          </cell>
          <cell r="H23">
            <v>4262715.1900000004</v>
          </cell>
          <cell r="I23">
            <v>0</v>
          </cell>
          <cell r="J23">
            <v>4262715.1900000004</v>
          </cell>
          <cell r="K23">
            <v>0</v>
          </cell>
        </row>
        <row r="24">
          <cell r="F24">
            <v>67018</v>
          </cell>
          <cell r="G24">
            <v>0</v>
          </cell>
          <cell r="H24">
            <v>67018</v>
          </cell>
          <cell r="I24">
            <v>0</v>
          </cell>
          <cell r="J24">
            <v>67018</v>
          </cell>
          <cell r="K24">
            <v>0</v>
          </cell>
        </row>
        <row r="25">
          <cell r="F25">
            <v>871269.69</v>
          </cell>
          <cell r="G25">
            <v>0</v>
          </cell>
          <cell r="H25">
            <v>871269.69</v>
          </cell>
          <cell r="I25">
            <v>0</v>
          </cell>
          <cell r="J25">
            <v>871269.69</v>
          </cell>
          <cell r="K25">
            <v>0</v>
          </cell>
        </row>
        <row r="26">
          <cell r="F26">
            <v>4419443.5</v>
          </cell>
          <cell r="G26">
            <v>0</v>
          </cell>
          <cell r="H26">
            <v>4419443.5</v>
          </cell>
          <cell r="I26">
            <v>0</v>
          </cell>
          <cell r="J26">
            <v>4419443.5</v>
          </cell>
          <cell r="K26">
            <v>0</v>
          </cell>
        </row>
        <row r="27">
          <cell r="F27">
            <v>-6660031.3899999997</v>
          </cell>
          <cell r="G27">
            <v>0</v>
          </cell>
          <cell r="H27">
            <v>-6660031.3899999997</v>
          </cell>
          <cell r="I27">
            <v>0</v>
          </cell>
          <cell r="J27">
            <v>-6660031.3899999997</v>
          </cell>
          <cell r="K27">
            <v>0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55798.559999999998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445432.77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23941.62</v>
          </cell>
        </row>
        <row r="31">
          <cell r="F31">
            <v>12273489.18</v>
          </cell>
          <cell r="G31">
            <v>-3555389.1699999995</v>
          </cell>
          <cell r="H31">
            <v>8718100.0100000016</v>
          </cell>
          <cell r="I31">
            <v>0</v>
          </cell>
          <cell r="J31">
            <v>8718100.0100000016</v>
          </cell>
          <cell r="K31">
            <v>4520434.6800000006</v>
          </cell>
        </row>
        <row r="33">
          <cell r="F33">
            <v>-110262.39999999999</v>
          </cell>
          <cell r="G33">
            <v>0</v>
          </cell>
          <cell r="H33">
            <v>-110262.39999999999</v>
          </cell>
          <cell r="I33">
            <v>0</v>
          </cell>
          <cell r="J33">
            <v>-110262.39999999999</v>
          </cell>
          <cell r="K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-164672.07999999999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-5607225.3099999996</v>
          </cell>
        </row>
        <row r="36">
          <cell r="F36">
            <v>49040.85</v>
          </cell>
          <cell r="G36">
            <v>-291116</v>
          </cell>
          <cell r="H36">
            <v>-242075.15</v>
          </cell>
          <cell r="I36">
            <v>0</v>
          </cell>
          <cell r="J36">
            <v>-242075.15</v>
          </cell>
          <cell r="K36">
            <v>0</v>
          </cell>
        </row>
        <row r="37">
          <cell r="F37">
            <v>5342.81</v>
          </cell>
          <cell r="G37">
            <v>-150791.82999999999</v>
          </cell>
          <cell r="H37">
            <v>-145449.01999999999</v>
          </cell>
          <cell r="I37">
            <v>0</v>
          </cell>
          <cell r="J37">
            <v>-145449.01999999999</v>
          </cell>
          <cell r="K37">
            <v>0</v>
          </cell>
        </row>
        <row r="38">
          <cell r="F38">
            <v>-135242.46</v>
          </cell>
          <cell r="G38">
            <v>-2700177.39</v>
          </cell>
          <cell r="H38">
            <v>-2835419.85</v>
          </cell>
          <cell r="I38">
            <v>0</v>
          </cell>
          <cell r="J38">
            <v>-2835419.85</v>
          </cell>
          <cell r="K38">
            <v>0</v>
          </cell>
        </row>
        <row r="39">
          <cell r="F39">
            <v>-191121.19999999998</v>
          </cell>
          <cell r="G39">
            <v>-3142085.22</v>
          </cell>
          <cell r="H39">
            <v>-3333206.42</v>
          </cell>
          <cell r="I39">
            <v>0</v>
          </cell>
          <cell r="J39">
            <v>-3333206.42</v>
          </cell>
          <cell r="K39">
            <v>-5771897.3899999997</v>
          </cell>
        </row>
        <row r="41">
          <cell r="F41">
            <v>220985322.03</v>
          </cell>
          <cell r="G41">
            <v>0</v>
          </cell>
          <cell r="H41">
            <v>220985322.03</v>
          </cell>
          <cell r="I41">
            <v>0</v>
          </cell>
          <cell r="J41">
            <v>220985322.03</v>
          </cell>
          <cell r="K41">
            <v>133071260.63</v>
          </cell>
        </row>
        <row r="42">
          <cell r="F42">
            <v>-36348967.299999997</v>
          </cell>
          <cell r="G42">
            <v>-46894969.759999998</v>
          </cell>
          <cell r="H42">
            <v>-83243937.060000002</v>
          </cell>
          <cell r="I42">
            <v>0</v>
          </cell>
          <cell r="J42">
            <v>-83243937.060000002</v>
          </cell>
          <cell r="K42">
            <v>0</v>
          </cell>
        </row>
        <row r="43">
          <cell r="F43">
            <v>184636354.73000002</v>
          </cell>
          <cell r="G43">
            <v>-46894969.759999998</v>
          </cell>
          <cell r="H43">
            <v>137741384.97</v>
          </cell>
          <cell r="I43">
            <v>0</v>
          </cell>
          <cell r="J43">
            <v>137741384.97</v>
          </cell>
          <cell r="K43">
            <v>133071260.63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3475147.96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F49">
            <v>3414335.67</v>
          </cell>
          <cell r="G49">
            <v>0</v>
          </cell>
          <cell r="H49">
            <v>3414335.67</v>
          </cell>
          <cell r="I49">
            <v>0</v>
          </cell>
          <cell r="J49">
            <v>3414335.67</v>
          </cell>
          <cell r="K49">
            <v>0</v>
          </cell>
        </row>
        <row r="50">
          <cell r="F50">
            <v>4388588.43</v>
          </cell>
          <cell r="G50">
            <v>0</v>
          </cell>
          <cell r="H50">
            <v>4388588.43</v>
          </cell>
          <cell r="I50">
            <v>0</v>
          </cell>
          <cell r="J50">
            <v>4388588.43</v>
          </cell>
          <cell r="K50">
            <v>0</v>
          </cell>
        </row>
        <row r="51">
          <cell r="F51">
            <v>-366522.97</v>
          </cell>
          <cell r="G51">
            <v>0</v>
          </cell>
          <cell r="H51">
            <v>-366522.97</v>
          </cell>
          <cell r="I51">
            <v>0</v>
          </cell>
          <cell r="J51">
            <v>-366522.97</v>
          </cell>
          <cell r="K51">
            <v>0</v>
          </cell>
        </row>
        <row r="52">
          <cell r="F52">
            <v>0</v>
          </cell>
          <cell r="G52">
            <v>-4388588</v>
          </cell>
          <cell r="H52">
            <v>-4388588</v>
          </cell>
          <cell r="I52">
            <v>0</v>
          </cell>
          <cell r="J52">
            <v>-4388588</v>
          </cell>
          <cell r="K52">
            <v>0</v>
          </cell>
        </row>
        <row r="53">
          <cell r="F53">
            <v>7436401.1299999999</v>
          </cell>
          <cell r="G53">
            <v>-4388588</v>
          </cell>
          <cell r="H53">
            <v>3047813.13</v>
          </cell>
          <cell r="I53">
            <v>0</v>
          </cell>
          <cell r="J53">
            <v>3047813.13</v>
          </cell>
          <cell r="K53">
            <v>3475147.96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788153.67</v>
          </cell>
        </row>
        <row r="56">
          <cell r="F56">
            <v>173450468.78</v>
          </cell>
          <cell r="G56">
            <v>0</v>
          </cell>
          <cell r="H56">
            <v>173450468.78</v>
          </cell>
          <cell r="I56">
            <v>0</v>
          </cell>
          <cell r="J56">
            <v>173450468.78</v>
          </cell>
          <cell r="K56">
            <v>0</v>
          </cell>
        </row>
        <row r="57">
          <cell r="F57">
            <v>-171340529.44999999</v>
          </cell>
          <cell r="G57">
            <v>0</v>
          </cell>
          <cell r="H57">
            <v>-171340529.44999999</v>
          </cell>
          <cell r="I57">
            <v>0</v>
          </cell>
          <cell r="J57">
            <v>-171340529.44999999</v>
          </cell>
          <cell r="K57">
            <v>0</v>
          </cell>
        </row>
        <row r="58">
          <cell r="F58">
            <v>24250</v>
          </cell>
          <cell r="G58">
            <v>0</v>
          </cell>
          <cell r="H58">
            <v>24250</v>
          </cell>
          <cell r="I58">
            <v>0</v>
          </cell>
          <cell r="J58">
            <v>24250</v>
          </cell>
          <cell r="K58">
            <v>0</v>
          </cell>
        </row>
        <row r="59">
          <cell r="F59">
            <v>-358340</v>
          </cell>
          <cell r="G59">
            <v>0</v>
          </cell>
          <cell r="H59">
            <v>-358340</v>
          </cell>
          <cell r="I59">
            <v>0</v>
          </cell>
          <cell r="J59">
            <v>-358340</v>
          </cell>
          <cell r="K59">
            <v>0</v>
          </cell>
        </row>
        <row r="60">
          <cell r="F60">
            <v>2563933.5499999998</v>
          </cell>
          <cell r="G60">
            <v>0</v>
          </cell>
          <cell r="H60">
            <v>2563933.5499999998</v>
          </cell>
          <cell r="I60">
            <v>0</v>
          </cell>
          <cell r="J60">
            <v>2563933.5499999998</v>
          </cell>
          <cell r="K60">
            <v>0</v>
          </cell>
        </row>
        <row r="61">
          <cell r="F61">
            <v>0</v>
          </cell>
          <cell r="G61">
            <v>-4339782.88</v>
          </cell>
          <cell r="H61">
            <v>-4339782.88</v>
          </cell>
          <cell r="I61">
            <v>0</v>
          </cell>
          <cell r="J61">
            <v>-4339782.88</v>
          </cell>
          <cell r="K61">
            <v>0</v>
          </cell>
        </row>
        <row r="62">
          <cell r="F62">
            <v>4339782.8800000129</v>
          </cell>
          <cell r="G62">
            <v>-4339782.88</v>
          </cell>
          <cell r="H62">
            <v>1.3038516044616699E-8</v>
          </cell>
          <cell r="I62">
            <v>0</v>
          </cell>
          <cell r="J62">
            <v>1.3038516044616699E-8</v>
          </cell>
          <cell r="K62">
            <v>788153.67</v>
          </cell>
        </row>
        <row r="64">
          <cell r="F64">
            <v>2235668.41</v>
          </cell>
          <cell r="G64">
            <v>0</v>
          </cell>
          <cell r="H64">
            <v>2235668.41</v>
          </cell>
          <cell r="I64">
            <v>0</v>
          </cell>
          <cell r="J64">
            <v>2235668.41</v>
          </cell>
          <cell r="K64">
            <v>2028000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595041.57999999996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387168.22</v>
          </cell>
        </row>
        <row r="67">
          <cell r="F67">
            <v>2502916.67</v>
          </cell>
          <cell r="G67">
            <v>0</v>
          </cell>
          <cell r="H67">
            <v>2502916.67</v>
          </cell>
          <cell r="I67">
            <v>0</v>
          </cell>
          <cell r="J67">
            <v>2502916.67</v>
          </cell>
          <cell r="K67">
            <v>4966416.67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403333.34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-0.02</v>
          </cell>
        </row>
        <row r="72">
          <cell r="F72">
            <v>11629128.789999999</v>
          </cell>
          <cell r="G72">
            <v>0</v>
          </cell>
          <cell r="H72">
            <v>11629128.789999999</v>
          </cell>
          <cell r="I72">
            <v>0</v>
          </cell>
          <cell r="J72">
            <v>11629128.789999999</v>
          </cell>
          <cell r="K72">
            <v>15804069.1</v>
          </cell>
        </row>
        <row r="73">
          <cell r="F73">
            <v>62313511.909999996</v>
          </cell>
          <cell r="G73">
            <v>-20316012.890000001</v>
          </cell>
          <cell r="H73">
            <v>41997499.020000003</v>
          </cell>
          <cell r="I73">
            <v>0</v>
          </cell>
          <cell r="J73">
            <v>41997499.020000003</v>
          </cell>
          <cell r="K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20322.810000000001</v>
          </cell>
        </row>
        <row r="75">
          <cell r="F75">
            <v>10231550.189999999</v>
          </cell>
          <cell r="G75">
            <v>-137238.09</v>
          </cell>
          <cell r="H75">
            <v>10094312.1</v>
          </cell>
          <cell r="I75">
            <v>0</v>
          </cell>
          <cell r="J75">
            <v>10094312.1</v>
          </cell>
          <cell r="K75">
            <v>3450858.6</v>
          </cell>
        </row>
        <row r="76">
          <cell r="F76">
            <v>-1030532.61</v>
          </cell>
          <cell r="G76">
            <v>0</v>
          </cell>
          <cell r="H76">
            <v>-1030532.61</v>
          </cell>
          <cell r="I76">
            <v>0</v>
          </cell>
          <cell r="J76">
            <v>-1030532.61</v>
          </cell>
          <cell r="K76">
            <v>-1030532.61</v>
          </cell>
        </row>
        <row r="77">
          <cell r="F77">
            <v>87882243.359999999</v>
          </cell>
          <cell r="G77">
            <v>-20453250.98</v>
          </cell>
          <cell r="H77">
            <v>67428992.379999995</v>
          </cell>
          <cell r="I77">
            <v>0</v>
          </cell>
          <cell r="J77">
            <v>67428992.379999995</v>
          </cell>
          <cell r="K77">
            <v>26624677.690000001</v>
          </cell>
        </row>
        <row r="79">
          <cell r="F79">
            <v>6472669.1100000003</v>
          </cell>
          <cell r="G79">
            <v>0</v>
          </cell>
          <cell r="H79">
            <v>6472669.1100000003</v>
          </cell>
          <cell r="I79">
            <v>0</v>
          </cell>
          <cell r="J79">
            <v>6472669.1100000003</v>
          </cell>
          <cell r="K79">
            <v>4218119.1100000003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152550</v>
          </cell>
        </row>
        <row r="81">
          <cell r="F81">
            <v>-1046405.09</v>
          </cell>
          <cell r="G81">
            <v>-574670.21</v>
          </cell>
          <cell r="H81">
            <v>-1621075.3</v>
          </cell>
          <cell r="I81">
            <v>0</v>
          </cell>
          <cell r="J81">
            <v>-1621075.3</v>
          </cell>
          <cell r="K81">
            <v>-888923.33</v>
          </cell>
        </row>
        <row r="82">
          <cell r="F82">
            <v>5426264.0200000005</v>
          </cell>
          <cell r="G82">
            <v>-574670.21</v>
          </cell>
          <cell r="H82">
            <v>4851593.8100000005</v>
          </cell>
          <cell r="I82">
            <v>0</v>
          </cell>
          <cell r="J82">
            <v>4851593.8100000005</v>
          </cell>
          <cell r="K82">
            <v>3481745.7800000003</v>
          </cell>
        </row>
        <row r="84">
          <cell r="F84">
            <v>83154062.629999995</v>
          </cell>
          <cell r="G84">
            <v>0</v>
          </cell>
          <cell r="H84">
            <v>83154062.629999995</v>
          </cell>
          <cell r="I84">
            <v>0</v>
          </cell>
          <cell r="J84">
            <v>83154062.629999995</v>
          </cell>
          <cell r="K84">
            <v>274171804</v>
          </cell>
        </row>
        <row r="85">
          <cell r="F85">
            <v>-38553485.700000003</v>
          </cell>
          <cell r="G85">
            <v>0</v>
          </cell>
          <cell r="H85">
            <v>-38553485.700000003</v>
          </cell>
          <cell r="I85">
            <v>0</v>
          </cell>
          <cell r="J85">
            <v>-38553485.700000003</v>
          </cell>
          <cell r="K85">
            <v>-148144192</v>
          </cell>
        </row>
        <row r="86">
          <cell r="F86">
            <v>44600576.929999992</v>
          </cell>
          <cell r="G86">
            <v>0</v>
          </cell>
          <cell r="H86">
            <v>44600576.929999992</v>
          </cell>
          <cell r="I86">
            <v>0</v>
          </cell>
          <cell r="J86">
            <v>44600576.929999992</v>
          </cell>
          <cell r="K86">
            <v>126027612</v>
          </cell>
        </row>
        <row r="88">
          <cell r="F88">
            <v>8813469.7100000009</v>
          </cell>
          <cell r="G88">
            <v>0</v>
          </cell>
          <cell r="H88">
            <v>8813469.7100000009</v>
          </cell>
          <cell r="I88">
            <v>0</v>
          </cell>
          <cell r="J88">
            <v>8813469.7100000009</v>
          </cell>
          <cell r="K88">
            <v>9336959.1600000001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129.55000000000001</v>
          </cell>
        </row>
        <row r="90">
          <cell r="F90">
            <v>-4804885.2</v>
          </cell>
          <cell r="G90">
            <v>-722807.59</v>
          </cell>
          <cell r="H90">
            <v>-5527692.79</v>
          </cell>
          <cell r="I90">
            <v>0</v>
          </cell>
          <cell r="J90">
            <v>-5527692.79</v>
          </cell>
          <cell r="K90">
            <v>-3788306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4008584.5100000007</v>
          </cell>
          <cell r="G92">
            <v>-722807.59</v>
          </cell>
          <cell r="H92">
            <v>3285776.9200000009</v>
          </cell>
          <cell r="I92">
            <v>0</v>
          </cell>
          <cell r="J92">
            <v>3285776.9200000009</v>
          </cell>
          <cell r="K92">
            <v>5548782.7100000009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2956218</v>
          </cell>
          <cell r="J94">
            <v>2956218</v>
          </cell>
          <cell r="K94">
            <v>2093618.23</v>
          </cell>
        </row>
        <row r="95">
          <cell r="F95">
            <v>0</v>
          </cell>
          <cell r="G95">
            <v>-546505</v>
          </cell>
          <cell r="H95">
            <v>-546505</v>
          </cell>
          <cell r="I95">
            <v>-661050</v>
          </cell>
          <cell r="J95">
            <v>-1207555</v>
          </cell>
          <cell r="K95">
            <v>-661050</v>
          </cell>
        </row>
        <row r="96">
          <cell r="F96">
            <v>0</v>
          </cell>
          <cell r="G96">
            <v>-546505</v>
          </cell>
          <cell r="H96">
            <v>-546505</v>
          </cell>
          <cell r="I96">
            <v>2295168</v>
          </cell>
          <cell r="J96">
            <v>1748663</v>
          </cell>
          <cell r="K96">
            <v>1432568.23</v>
          </cell>
        </row>
        <row r="98">
          <cell r="F98">
            <v>5988526.2300000004</v>
          </cell>
          <cell r="G98">
            <v>0</v>
          </cell>
          <cell r="H98">
            <v>5988526.2300000004</v>
          </cell>
          <cell r="I98">
            <v>-2993174.8</v>
          </cell>
          <cell r="J98">
            <v>2995351.43</v>
          </cell>
          <cell r="K98">
            <v>2915321.25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53179.95</v>
          </cell>
        </row>
        <row r="100">
          <cell r="F100">
            <v>-1863349.64</v>
          </cell>
          <cell r="G100">
            <v>-234081.56</v>
          </cell>
          <cell r="H100">
            <v>-2097431.2000000002</v>
          </cell>
          <cell r="I100">
            <v>661050</v>
          </cell>
          <cell r="J100">
            <v>-1436381.2</v>
          </cell>
          <cell r="K100">
            <v>-823118.3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-25179.63</v>
          </cell>
        </row>
        <row r="102">
          <cell r="F102">
            <v>4125176.5900000008</v>
          </cell>
          <cell r="G102">
            <v>-234081.56</v>
          </cell>
          <cell r="H102">
            <v>3891095.0300000003</v>
          </cell>
          <cell r="I102">
            <v>-2332124.7999999998</v>
          </cell>
          <cell r="J102">
            <v>1558970.2300000002</v>
          </cell>
          <cell r="K102">
            <v>2120203.2700000005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7">
          <cell r="F107">
            <v>-31642274.210000001</v>
          </cell>
          <cell r="G107">
            <v>0</v>
          </cell>
          <cell r="H107">
            <v>-31642274.210000001</v>
          </cell>
          <cell r="I107">
            <v>805995</v>
          </cell>
          <cell r="J107">
            <v>-30836279.210000001</v>
          </cell>
          <cell r="K107">
            <v>-34963742.710000001</v>
          </cell>
        </row>
        <row r="108">
          <cell r="F108">
            <v>-31642274.210000001</v>
          </cell>
          <cell r="G108">
            <v>0</v>
          </cell>
          <cell r="H108">
            <v>-31642274.210000001</v>
          </cell>
          <cell r="I108">
            <v>805995</v>
          </cell>
          <cell r="J108">
            <v>-30836279.210000001</v>
          </cell>
          <cell r="K108">
            <v>-34963742.710000001</v>
          </cell>
        </row>
        <row r="110">
          <cell r="F110">
            <v>-20628556.949999999</v>
          </cell>
          <cell r="G110">
            <v>0</v>
          </cell>
          <cell r="H110">
            <v>-20628556.949999999</v>
          </cell>
          <cell r="I110">
            <v>0</v>
          </cell>
          <cell r="J110">
            <v>-20628556.949999999</v>
          </cell>
          <cell r="K110">
            <v>-8086593.9500000002</v>
          </cell>
        </row>
        <row r="111">
          <cell r="F111">
            <v>47105.42</v>
          </cell>
          <cell r="G111">
            <v>-47105.42</v>
          </cell>
          <cell r="H111">
            <v>0</v>
          </cell>
          <cell r="I111">
            <v>0</v>
          </cell>
          <cell r="J111">
            <v>0</v>
          </cell>
          <cell r="K111">
            <v>-106845.02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-118066.76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-24930.01</v>
          </cell>
        </row>
        <row r="114">
          <cell r="F114">
            <v>6620453.3799999999</v>
          </cell>
          <cell r="G114">
            <v>-6620453.3799999999</v>
          </cell>
          <cell r="H114">
            <v>0</v>
          </cell>
          <cell r="I114">
            <v>0</v>
          </cell>
          <cell r="J114">
            <v>0</v>
          </cell>
          <cell r="K114">
            <v>-3733596.56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-715542.09</v>
          </cell>
        </row>
        <row r="116"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-1218082.01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-149005.29999999999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-968017.33</v>
          </cell>
        </row>
        <row r="119">
          <cell r="F119">
            <v>-5720722.8600000003</v>
          </cell>
          <cell r="G119">
            <v>0</v>
          </cell>
          <cell r="H119">
            <v>-5720722.8600000003</v>
          </cell>
          <cell r="I119">
            <v>0</v>
          </cell>
          <cell r="J119">
            <v>-5720722.8600000003</v>
          </cell>
          <cell r="K119">
            <v>0</v>
          </cell>
        </row>
        <row r="120">
          <cell r="F120">
            <v>-200603</v>
          </cell>
          <cell r="G120">
            <v>0</v>
          </cell>
          <cell r="H120">
            <v>-200603</v>
          </cell>
          <cell r="I120">
            <v>0</v>
          </cell>
          <cell r="J120">
            <v>-200603</v>
          </cell>
          <cell r="K120">
            <v>0</v>
          </cell>
        </row>
        <row r="121">
          <cell r="F121">
            <v>-3075979.64</v>
          </cell>
          <cell r="G121">
            <v>0</v>
          </cell>
          <cell r="H121">
            <v>-3075979.64</v>
          </cell>
          <cell r="I121">
            <v>0</v>
          </cell>
          <cell r="J121">
            <v>-3075979.64</v>
          </cell>
          <cell r="K121">
            <v>0</v>
          </cell>
        </row>
        <row r="122">
          <cell r="F122">
            <v>-1400000</v>
          </cell>
          <cell r="G122">
            <v>0</v>
          </cell>
          <cell r="H122">
            <v>-1400000</v>
          </cell>
          <cell r="I122">
            <v>0</v>
          </cell>
          <cell r="J122">
            <v>-1400000</v>
          </cell>
          <cell r="K122">
            <v>0</v>
          </cell>
        </row>
        <row r="123">
          <cell r="F123">
            <v>-308839.28000000003</v>
          </cell>
          <cell r="G123">
            <v>0</v>
          </cell>
          <cell r="H123">
            <v>-308839.28000000003</v>
          </cell>
          <cell r="I123">
            <v>0</v>
          </cell>
          <cell r="J123">
            <v>-308839.28000000003</v>
          </cell>
          <cell r="K123">
            <v>0</v>
          </cell>
        </row>
        <row r="124">
          <cell r="F124">
            <v>-24667142.93</v>
          </cell>
          <cell r="G124">
            <v>-6667558.7999999998</v>
          </cell>
          <cell r="H124">
            <v>-31334701.73</v>
          </cell>
          <cell r="I124">
            <v>0</v>
          </cell>
          <cell r="J124">
            <v>-31334701.73</v>
          </cell>
          <cell r="K124">
            <v>-15120679.029999999</v>
          </cell>
        </row>
        <row r="126">
          <cell r="F126">
            <v>-18902488.809999999</v>
          </cell>
          <cell r="G126">
            <v>0</v>
          </cell>
          <cell r="H126">
            <v>-18902488.809999999</v>
          </cell>
          <cell r="I126">
            <v>0</v>
          </cell>
          <cell r="J126">
            <v>-18902488.809999999</v>
          </cell>
          <cell r="K126">
            <v>-4952562.58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-940471.24</v>
          </cell>
        </row>
        <row r="128">
          <cell r="F128">
            <v>-4038011.81</v>
          </cell>
          <cell r="G128">
            <v>0</v>
          </cell>
          <cell r="H128">
            <v>-4038011.81</v>
          </cell>
          <cell r="I128">
            <v>0</v>
          </cell>
          <cell r="J128">
            <v>-4038011.81</v>
          </cell>
          <cell r="K128">
            <v>-3592360.72</v>
          </cell>
        </row>
        <row r="129">
          <cell r="F129">
            <v>1466164.53</v>
          </cell>
          <cell r="G129">
            <v>0</v>
          </cell>
          <cell r="H129">
            <v>1466164.53</v>
          </cell>
          <cell r="I129">
            <v>0</v>
          </cell>
          <cell r="J129">
            <v>1466164.53</v>
          </cell>
          <cell r="K129">
            <v>0</v>
          </cell>
        </row>
        <row r="130">
          <cell r="F130">
            <v>-573769.77</v>
          </cell>
          <cell r="G130">
            <v>0</v>
          </cell>
          <cell r="H130">
            <v>-573769.77</v>
          </cell>
          <cell r="I130">
            <v>0</v>
          </cell>
          <cell r="J130">
            <v>-573769.77</v>
          </cell>
          <cell r="K130">
            <v>0</v>
          </cell>
        </row>
        <row r="131">
          <cell r="F131">
            <v>-5.05</v>
          </cell>
          <cell r="G131">
            <v>5.05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F132">
            <v>-22048110.909999996</v>
          </cell>
          <cell r="G132">
            <v>5.05</v>
          </cell>
          <cell r="H132">
            <v>-22048105.859999996</v>
          </cell>
          <cell r="I132">
            <v>0</v>
          </cell>
          <cell r="J132">
            <v>-22048105.859999996</v>
          </cell>
          <cell r="K132">
            <v>-9485394.540000001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-901435.23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-901435.23</v>
          </cell>
        </row>
        <row r="137">
          <cell r="F137">
            <v>-25693133.649999999</v>
          </cell>
          <cell r="G137">
            <v>-5930318.5</v>
          </cell>
          <cell r="H137">
            <v>-31623452.149999999</v>
          </cell>
          <cell r="I137">
            <v>0</v>
          </cell>
          <cell r="J137">
            <v>-31623452.149999999</v>
          </cell>
          <cell r="K137">
            <v>-16356721.07</v>
          </cell>
        </row>
        <row r="138">
          <cell r="F138">
            <v>-25693133.649999999</v>
          </cell>
          <cell r="G138">
            <v>-5930318.5</v>
          </cell>
          <cell r="H138">
            <v>-31623452.149999999</v>
          </cell>
          <cell r="I138">
            <v>0</v>
          </cell>
          <cell r="J138">
            <v>-31623452.149999999</v>
          </cell>
          <cell r="K138">
            <v>-16356721.07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-50480.480000000003</v>
          </cell>
        </row>
        <row r="141"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-65555.62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-116036.1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3">
          <cell r="F153">
            <v>-8727898.9600000009</v>
          </cell>
          <cell r="G153">
            <v>81443.199999999997</v>
          </cell>
          <cell r="H153">
            <v>-8646455.7599999998</v>
          </cell>
          <cell r="I153">
            <v>0</v>
          </cell>
          <cell r="J153">
            <v>-8646455.7599999998</v>
          </cell>
          <cell r="K153">
            <v>-7490000</v>
          </cell>
        </row>
        <row r="154">
          <cell r="F154">
            <v>-49472304.369999997</v>
          </cell>
          <cell r="G154">
            <v>-891274.46</v>
          </cell>
          <cell r="H154">
            <v>-50363578.829999998</v>
          </cell>
          <cell r="I154">
            <v>0</v>
          </cell>
          <cell r="J154">
            <v>-50363578.829999998</v>
          </cell>
          <cell r="K154">
            <v>-43804065</v>
          </cell>
        </row>
        <row r="155">
          <cell r="F155">
            <v>-58200203.329999998</v>
          </cell>
          <cell r="G155">
            <v>-809831.26</v>
          </cell>
          <cell r="H155">
            <v>-59010034.589999996</v>
          </cell>
          <cell r="I155">
            <v>0</v>
          </cell>
          <cell r="J155">
            <v>-59010034.589999996</v>
          </cell>
          <cell r="K155">
            <v>-51294065</v>
          </cell>
        </row>
        <row r="157">
          <cell r="F157">
            <v>25045663.989999998</v>
          </cell>
          <cell r="G157">
            <v>0</v>
          </cell>
          <cell r="H157">
            <v>25045663.989999998</v>
          </cell>
          <cell r="I157">
            <v>-805995</v>
          </cell>
          <cell r="J157">
            <v>24239668.989999998</v>
          </cell>
          <cell r="K157">
            <v>171515074.30000001</v>
          </cell>
        </row>
        <row r="158">
          <cell r="F158">
            <v>128125820.12</v>
          </cell>
          <cell r="G158">
            <v>0</v>
          </cell>
          <cell r="H158">
            <v>128125820.12</v>
          </cell>
          <cell r="I158">
            <v>0</v>
          </cell>
          <cell r="J158">
            <v>128125820.12</v>
          </cell>
          <cell r="K158">
            <v>-4205437.79</v>
          </cell>
        </row>
        <row r="159">
          <cell r="F159">
            <v>153171484.11000001</v>
          </cell>
          <cell r="G159">
            <v>0</v>
          </cell>
          <cell r="H159">
            <v>153171484.11000001</v>
          </cell>
          <cell r="I159">
            <v>-805995</v>
          </cell>
          <cell r="J159">
            <v>152365489.11000001</v>
          </cell>
          <cell r="K159">
            <v>167309636.51000002</v>
          </cell>
        </row>
        <row r="161">
          <cell r="F161">
            <v>-22200000</v>
          </cell>
          <cell r="G161">
            <v>0</v>
          </cell>
          <cell r="H161">
            <v>-22200000</v>
          </cell>
          <cell r="I161">
            <v>0</v>
          </cell>
          <cell r="J161">
            <v>-22200000</v>
          </cell>
          <cell r="K161">
            <v>0</v>
          </cell>
        </row>
        <row r="162">
          <cell r="F162">
            <v>-22200000</v>
          </cell>
          <cell r="G162">
            <v>0</v>
          </cell>
          <cell r="H162">
            <v>-22200000</v>
          </cell>
          <cell r="I162">
            <v>0</v>
          </cell>
          <cell r="J162">
            <v>-22200000</v>
          </cell>
          <cell r="K162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-23160.12</v>
          </cell>
        </row>
        <row r="165"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4607.2</v>
          </cell>
        </row>
        <row r="166">
          <cell r="F166">
            <v>-25067055.66</v>
          </cell>
          <cell r="G166">
            <v>-6896854.0800000001</v>
          </cell>
          <cell r="H166">
            <v>-31963909.739999998</v>
          </cell>
          <cell r="I166">
            <v>0</v>
          </cell>
          <cell r="J166">
            <v>-31963909.739999998</v>
          </cell>
          <cell r="K166">
            <v>-44176168.009999998</v>
          </cell>
        </row>
        <row r="167">
          <cell r="F167">
            <v>11903.75</v>
          </cell>
          <cell r="G167">
            <v>-11903.75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F168">
            <v>-25055151.91</v>
          </cell>
          <cell r="G168">
            <v>-6908757.8300000001</v>
          </cell>
          <cell r="H168">
            <v>-31963909.739999998</v>
          </cell>
          <cell r="I168">
            <v>0</v>
          </cell>
          <cell r="J168">
            <v>-31963909.739999998</v>
          </cell>
          <cell r="K168">
            <v>-44194720.93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6"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-13779844.460000001</v>
          </cell>
        </row>
        <row r="187">
          <cell r="F187">
            <v>-6766111.8499999996</v>
          </cell>
          <cell r="G187">
            <v>0</v>
          </cell>
          <cell r="H187">
            <v>-6766111.8499999996</v>
          </cell>
          <cell r="I187">
            <v>0</v>
          </cell>
          <cell r="J187">
            <v>-6766111.8499999996</v>
          </cell>
          <cell r="K187">
            <v>-1557517.03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-24166494.719999999</v>
          </cell>
        </row>
        <row r="189">
          <cell r="F189">
            <v>-16732637.300000001</v>
          </cell>
          <cell r="G189">
            <v>0</v>
          </cell>
          <cell r="H189">
            <v>-16732637.300000001</v>
          </cell>
          <cell r="I189">
            <v>0</v>
          </cell>
          <cell r="J189">
            <v>-16732637.300000001</v>
          </cell>
          <cell r="K189">
            <v>-2605724.96</v>
          </cell>
        </row>
        <row r="190">
          <cell r="F190">
            <v>-6873185.4100000001</v>
          </cell>
          <cell r="G190">
            <v>0</v>
          </cell>
          <cell r="H190">
            <v>-6873185.4100000001</v>
          </cell>
          <cell r="I190">
            <v>0</v>
          </cell>
          <cell r="J190">
            <v>-6873185.4100000001</v>
          </cell>
          <cell r="K190">
            <v>-23660126.219999999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-3703329.9</v>
          </cell>
        </row>
        <row r="192">
          <cell r="F192">
            <v>-12370875.369999999</v>
          </cell>
          <cell r="G192">
            <v>0</v>
          </cell>
          <cell r="H192">
            <v>-12370875.369999999</v>
          </cell>
          <cell r="I192">
            <v>0</v>
          </cell>
          <cell r="J192">
            <v>-12370875.369999999</v>
          </cell>
          <cell r="K192">
            <v>-9773243.1500000004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-1972886.29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-11417958.439999999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-2448999.94</v>
          </cell>
        </row>
        <row r="196">
          <cell r="F196">
            <v>-1760510.79</v>
          </cell>
          <cell r="G196">
            <v>0</v>
          </cell>
          <cell r="H196">
            <v>-1760510.79</v>
          </cell>
          <cell r="I196">
            <v>0</v>
          </cell>
          <cell r="J196">
            <v>-1760510.79</v>
          </cell>
          <cell r="K196">
            <v>-3971578.97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-831857.85</v>
          </cell>
        </row>
        <row r="198">
          <cell r="F198">
            <v>-6639946.0599999996</v>
          </cell>
          <cell r="G198">
            <v>0</v>
          </cell>
          <cell r="H198">
            <v>-6639946.0599999996</v>
          </cell>
          <cell r="I198">
            <v>0</v>
          </cell>
          <cell r="J198">
            <v>-6639946.0599999996</v>
          </cell>
          <cell r="K198">
            <v>-14316028.359999999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-2889919.55</v>
          </cell>
        </row>
        <row r="200">
          <cell r="F200">
            <v>-3227660.96</v>
          </cell>
          <cell r="G200">
            <v>0</v>
          </cell>
          <cell r="H200">
            <v>-3227660.96</v>
          </cell>
          <cell r="I200">
            <v>0</v>
          </cell>
          <cell r="J200">
            <v>-3227660.96</v>
          </cell>
          <cell r="K200">
            <v>-4103253.4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-828307.72</v>
          </cell>
        </row>
        <row r="202">
          <cell r="F202">
            <v>-8360223.3499999996</v>
          </cell>
          <cell r="G202">
            <v>0</v>
          </cell>
          <cell r="H202">
            <v>-8360223.3499999996</v>
          </cell>
          <cell r="I202">
            <v>0</v>
          </cell>
          <cell r="J202">
            <v>-8360223.3499999996</v>
          </cell>
          <cell r="K202">
            <v>-10001769.17</v>
          </cell>
        </row>
        <row r="203">
          <cell r="F203">
            <v>-19043598.210000001</v>
          </cell>
          <cell r="G203">
            <v>0</v>
          </cell>
          <cell r="H203">
            <v>-19043598.210000001</v>
          </cell>
          <cell r="I203">
            <v>0</v>
          </cell>
          <cell r="J203">
            <v>-19043598.210000001</v>
          </cell>
          <cell r="K203">
            <v>-7467388.4699999997</v>
          </cell>
        </row>
        <row r="204">
          <cell r="F204">
            <v>-81774749.300000012</v>
          </cell>
          <cell r="G204">
            <v>0</v>
          </cell>
          <cell r="H204">
            <v>-81774749.300000012</v>
          </cell>
          <cell r="I204">
            <v>0</v>
          </cell>
          <cell r="J204">
            <v>-81774749.300000012</v>
          </cell>
          <cell r="K204">
            <v>-139496228.60000002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8">
          <cell r="F208">
            <v>-20000000</v>
          </cell>
          <cell r="G208">
            <v>0</v>
          </cell>
          <cell r="H208">
            <v>-20000000</v>
          </cell>
          <cell r="I208">
            <v>0</v>
          </cell>
          <cell r="J208">
            <v>-20000000</v>
          </cell>
          <cell r="K208">
            <v>-20000000</v>
          </cell>
        </row>
        <row r="209">
          <cell r="F209">
            <v>30.22</v>
          </cell>
          <cell r="G209">
            <v>-30.22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-19999969.780000001</v>
          </cell>
          <cell r="G210">
            <v>-30.22</v>
          </cell>
          <cell r="H210">
            <v>-20000000</v>
          </cell>
          <cell r="I210">
            <v>0</v>
          </cell>
          <cell r="J210">
            <v>-20000000</v>
          </cell>
          <cell r="K210">
            <v>-20000000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6">
          <cell r="F216">
            <v>-207000000</v>
          </cell>
          <cell r="G216">
            <v>0</v>
          </cell>
          <cell r="H216">
            <v>-207000000</v>
          </cell>
          <cell r="I216">
            <v>0</v>
          </cell>
          <cell r="J216">
            <v>-207000000</v>
          </cell>
          <cell r="K216">
            <v>-207000000</v>
          </cell>
        </row>
        <row r="217">
          <cell r="F217">
            <v>-207000000</v>
          </cell>
          <cell r="G217">
            <v>0</v>
          </cell>
          <cell r="H217">
            <v>-207000000</v>
          </cell>
          <cell r="I217">
            <v>0</v>
          </cell>
          <cell r="J217">
            <v>-207000000</v>
          </cell>
          <cell r="K217">
            <v>-207000000</v>
          </cell>
        </row>
        <row r="219">
          <cell r="F219">
            <v>68962345.599999994</v>
          </cell>
          <cell r="G219">
            <v>0</v>
          </cell>
          <cell r="H219">
            <v>68962345.599999994</v>
          </cell>
          <cell r="I219">
            <v>0</v>
          </cell>
          <cell r="J219">
            <v>68962345.599999994</v>
          </cell>
          <cell r="K219">
            <v>0</v>
          </cell>
        </row>
        <row r="220">
          <cell r="F220">
            <v>-142051.56</v>
          </cell>
          <cell r="G220">
            <v>0</v>
          </cell>
          <cell r="H220">
            <v>-142051.56</v>
          </cell>
          <cell r="I220">
            <v>0</v>
          </cell>
          <cell r="J220">
            <v>-142051.56</v>
          </cell>
          <cell r="K220">
            <v>0</v>
          </cell>
        </row>
        <row r="221">
          <cell r="F221">
            <v>68820294.039999992</v>
          </cell>
          <cell r="G221">
            <v>0</v>
          </cell>
          <cell r="H221">
            <v>68820294.039999992</v>
          </cell>
          <cell r="I221">
            <v>0</v>
          </cell>
          <cell r="J221">
            <v>68820294.039999992</v>
          </cell>
          <cell r="K221">
            <v>0</v>
          </cell>
        </row>
        <row r="223">
          <cell r="F223">
            <v>0</v>
          </cell>
          <cell r="G223">
            <v>-47151385.920000002</v>
          </cell>
          <cell r="H223">
            <v>-47151385.920000002</v>
          </cell>
          <cell r="I223">
            <v>0</v>
          </cell>
          <cell r="J223">
            <v>-47151385.920000002</v>
          </cell>
          <cell r="K223">
            <v>0</v>
          </cell>
        </row>
        <row r="224">
          <cell r="F224">
            <v>0</v>
          </cell>
          <cell r="G224">
            <v>-47151385.920000002</v>
          </cell>
          <cell r="H224">
            <v>-47151385.920000002</v>
          </cell>
          <cell r="I224">
            <v>0</v>
          </cell>
          <cell r="J224">
            <v>-47151385.920000002</v>
          </cell>
          <cell r="K224">
            <v>0</v>
          </cell>
        </row>
        <row r="226">
          <cell r="F226">
            <v>142051.56</v>
          </cell>
          <cell r="G226">
            <v>-142052</v>
          </cell>
          <cell r="H226">
            <v>-0.44</v>
          </cell>
          <cell r="I226">
            <v>0</v>
          </cell>
          <cell r="J226">
            <v>-0.44</v>
          </cell>
          <cell r="K226">
            <v>-142051.56</v>
          </cell>
        </row>
        <row r="227">
          <cell r="F227">
            <v>-22702308</v>
          </cell>
          <cell r="G227">
            <v>0</v>
          </cell>
          <cell r="H227">
            <v>-22702308</v>
          </cell>
          <cell r="I227">
            <v>0</v>
          </cell>
          <cell r="J227">
            <v>-22702308</v>
          </cell>
          <cell r="K227">
            <v>0</v>
          </cell>
        </row>
        <row r="228">
          <cell r="F228">
            <v>-61509084.710000001</v>
          </cell>
          <cell r="G228">
            <v>0</v>
          </cell>
          <cell r="H228">
            <v>-61509084.710000001</v>
          </cell>
          <cell r="I228">
            <v>0</v>
          </cell>
          <cell r="J228">
            <v>-61509084.710000001</v>
          </cell>
          <cell r="K228">
            <v>0</v>
          </cell>
        </row>
        <row r="229">
          <cell r="F229">
            <v>-385004490.89999998</v>
          </cell>
          <cell r="G229">
            <v>0</v>
          </cell>
          <cell r="H229">
            <v>-385004490.89999998</v>
          </cell>
          <cell r="I229">
            <v>0</v>
          </cell>
          <cell r="J229">
            <v>-385004490.89999998</v>
          </cell>
          <cell r="K229">
            <v>-690878662.38999999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-41216134.359999999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-581049</v>
          </cell>
        </row>
        <row r="232">
          <cell r="F232">
            <v>-34326418.729999997</v>
          </cell>
          <cell r="G232">
            <v>67467398.810000002</v>
          </cell>
          <cell r="H232">
            <v>33140980.079999998</v>
          </cell>
          <cell r="I232">
            <v>0</v>
          </cell>
          <cell r="J232">
            <v>33140980.079999998</v>
          </cell>
          <cell r="K232">
            <v>-4000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3885740.9</v>
          </cell>
        </row>
        <row r="234">
          <cell r="F234">
            <v>-503400250.77999997</v>
          </cell>
          <cell r="G234">
            <v>67325346.810000002</v>
          </cell>
          <cell r="H234">
            <v>-436074903.96999997</v>
          </cell>
          <cell r="I234">
            <v>0</v>
          </cell>
          <cell r="J234">
            <v>-436074903.96999997</v>
          </cell>
          <cell r="K234">
            <v>-728936156.40999997</v>
          </cell>
        </row>
        <row r="236">
          <cell r="F236">
            <v>27050572.800000001</v>
          </cell>
          <cell r="G236">
            <v>0</v>
          </cell>
          <cell r="H236">
            <v>27050572.800000001</v>
          </cell>
          <cell r="I236">
            <v>0</v>
          </cell>
          <cell r="J236">
            <v>27050572.800000001</v>
          </cell>
          <cell r="K236">
            <v>0</v>
          </cell>
        </row>
        <row r="237">
          <cell r="F237">
            <v>186365477.12</v>
          </cell>
          <cell r="G237">
            <v>28797.96</v>
          </cell>
          <cell r="H237">
            <v>186394275.08000001</v>
          </cell>
          <cell r="I237">
            <v>0</v>
          </cell>
          <cell r="J237">
            <v>186394275.08000001</v>
          </cell>
          <cell r="K237">
            <v>0</v>
          </cell>
        </row>
        <row r="238">
          <cell r="F238">
            <v>-14257490.449999999</v>
          </cell>
          <cell r="G238">
            <v>0</v>
          </cell>
          <cell r="H238">
            <v>-14257490.449999999</v>
          </cell>
          <cell r="I238">
            <v>0</v>
          </cell>
          <cell r="J238">
            <v>-14257490.449999999</v>
          </cell>
          <cell r="K238">
            <v>0</v>
          </cell>
        </row>
        <row r="239">
          <cell r="F239">
            <v>4418751.7699999996</v>
          </cell>
          <cell r="G239">
            <v>0</v>
          </cell>
          <cell r="H239">
            <v>4418751.7699999996</v>
          </cell>
          <cell r="I239">
            <v>0</v>
          </cell>
          <cell r="J239">
            <v>4418751.7699999996</v>
          </cell>
          <cell r="K239">
            <v>7872585.75</v>
          </cell>
        </row>
        <row r="240">
          <cell r="F240">
            <v>203577311.24000004</v>
          </cell>
          <cell r="G240">
            <v>28797.96</v>
          </cell>
          <cell r="H240">
            <v>203606109.20000005</v>
          </cell>
          <cell r="I240">
            <v>0</v>
          </cell>
          <cell r="J240">
            <v>203606109.20000005</v>
          </cell>
          <cell r="K240">
            <v>7872585.75</v>
          </cell>
        </row>
        <row r="242">
          <cell r="F242">
            <v>5990818.2300000004</v>
          </cell>
          <cell r="G242">
            <v>1343278</v>
          </cell>
          <cell r="H242">
            <v>7334096.2300000004</v>
          </cell>
          <cell r="I242">
            <v>0</v>
          </cell>
          <cell r="J242">
            <v>7334096.2300000004</v>
          </cell>
          <cell r="K242">
            <v>0</v>
          </cell>
        </row>
        <row r="243">
          <cell r="F243">
            <v>4963149.05</v>
          </cell>
          <cell r="G243">
            <v>74500</v>
          </cell>
          <cell r="H243">
            <v>5037649.05</v>
          </cell>
          <cell r="I243">
            <v>0</v>
          </cell>
          <cell r="J243">
            <v>5037649.05</v>
          </cell>
          <cell r="K243">
            <v>0</v>
          </cell>
        </row>
        <row r="244">
          <cell r="F244">
            <v>3882656.13</v>
          </cell>
          <cell r="G244">
            <v>0</v>
          </cell>
          <cell r="H244">
            <v>3882656.13</v>
          </cell>
          <cell r="I244">
            <v>0</v>
          </cell>
          <cell r="J244">
            <v>3882656.13</v>
          </cell>
          <cell r="K244">
            <v>0</v>
          </cell>
        </row>
        <row r="245">
          <cell r="F245">
            <v>435000</v>
          </cell>
          <cell r="G245">
            <v>0</v>
          </cell>
          <cell r="H245">
            <v>435000</v>
          </cell>
          <cell r="I245">
            <v>0</v>
          </cell>
          <cell r="J245">
            <v>435000</v>
          </cell>
          <cell r="K245">
            <v>0</v>
          </cell>
        </row>
        <row r="246">
          <cell r="F246">
            <v>0</v>
          </cell>
          <cell r="G246">
            <v>4388588</v>
          </cell>
          <cell r="H246">
            <v>4388588</v>
          </cell>
          <cell r="I246">
            <v>0</v>
          </cell>
          <cell r="J246">
            <v>4388588</v>
          </cell>
          <cell r="K246">
            <v>0</v>
          </cell>
        </row>
        <row r="247">
          <cell r="F247">
            <v>-25000</v>
          </cell>
          <cell r="G247">
            <v>0</v>
          </cell>
          <cell r="H247">
            <v>-25000</v>
          </cell>
          <cell r="I247">
            <v>0</v>
          </cell>
          <cell r="J247">
            <v>-25000</v>
          </cell>
          <cell r="K247">
            <v>-200000</v>
          </cell>
        </row>
        <row r="248">
          <cell r="F248">
            <v>3000</v>
          </cell>
          <cell r="G248">
            <v>0</v>
          </cell>
          <cell r="H248">
            <v>3000</v>
          </cell>
          <cell r="I248">
            <v>0</v>
          </cell>
          <cell r="J248">
            <v>3000</v>
          </cell>
          <cell r="K248">
            <v>97500</v>
          </cell>
        </row>
        <row r="249">
          <cell r="F249">
            <v>63410</v>
          </cell>
          <cell r="G249">
            <v>0</v>
          </cell>
          <cell r="H249">
            <v>63410</v>
          </cell>
          <cell r="I249">
            <v>0</v>
          </cell>
          <cell r="J249">
            <v>63410</v>
          </cell>
          <cell r="K249">
            <v>-208164.23</v>
          </cell>
        </row>
        <row r="250">
          <cell r="F250">
            <v>15313033.41</v>
          </cell>
          <cell r="G250">
            <v>5806366</v>
          </cell>
          <cell r="H250">
            <v>21119399.41</v>
          </cell>
          <cell r="I250">
            <v>0</v>
          </cell>
          <cell r="J250">
            <v>21119399.41</v>
          </cell>
          <cell r="K250">
            <v>-310664.23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34163838.840000004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34163838.840000004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35807139.490000002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35807139.490000002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26412257.710000001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4997894.54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671100.96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32081253.210000001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5">
          <cell r="F265">
            <v>5000</v>
          </cell>
          <cell r="G265">
            <v>0</v>
          </cell>
          <cell r="H265">
            <v>5000</v>
          </cell>
          <cell r="I265">
            <v>0</v>
          </cell>
          <cell r="J265">
            <v>5000</v>
          </cell>
          <cell r="K265">
            <v>0</v>
          </cell>
        </row>
        <row r="266">
          <cell r="F266">
            <v>10645.13</v>
          </cell>
          <cell r="G266">
            <v>0</v>
          </cell>
          <cell r="H266">
            <v>10645.13</v>
          </cell>
          <cell r="I266">
            <v>0</v>
          </cell>
          <cell r="J266">
            <v>10645.13</v>
          </cell>
          <cell r="K266">
            <v>0</v>
          </cell>
        </row>
        <row r="267">
          <cell r="F267">
            <v>55643056.140000001</v>
          </cell>
          <cell r="G267">
            <v>0</v>
          </cell>
          <cell r="H267">
            <v>55643056.140000001</v>
          </cell>
          <cell r="I267">
            <v>0</v>
          </cell>
          <cell r="J267">
            <v>55643056.140000001</v>
          </cell>
          <cell r="K267">
            <v>102462959.5</v>
          </cell>
        </row>
        <row r="268">
          <cell r="F268">
            <v>35000</v>
          </cell>
          <cell r="G268">
            <v>0</v>
          </cell>
          <cell r="H268">
            <v>35000</v>
          </cell>
          <cell r="I268">
            <v>0</v>
          </cell>
          <cell r="J268">
            <v>35000</v>
          </cell>
          <cell r="K268">
            <v>2904946.43</v>
          </cell>
        </row>
        <row r="269">
          <cell r="F269">
            <v>55693701.270000003</v>
          </cell>
          <cell r="G269">
            <v>0</v>
          </cell>
          <cell r="H269">
            <v>55693701.270000003</v>
          </cell>
          <cell r="I269">
            <v>0</v>
          </cell>
          <cell r="J269">
            <v>55693701.270000003</v>
          </cell>
          <cell r="K269">
            <v>105367905.93000001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83353621.709999993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83353621.709999993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48110.41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30908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79018.41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152846182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152846182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1">
          <cell r="F291">
            <v>1523353.32</v>
          </cell>
          <cell r="G291">
            <v>0</v>
          </cell>
          <cell r="H291">
            <v>1523353.32</v>
          </cell>
          <cell r="I291">
            <v>0</v>
          </cell>
          <cell r="J291">
            <v>1523353.32</v>
          </cell>
          <cell r="K291">
            <v>17385504.210000001</v>
          </cell>
        </row>
        <row r="292">
          <cell r="F292">
            <v>1523353.32</v>
          </cell>
          <cell r="G292">
            <v>0</v>
          </cell>
          <cell r="H292">
            <v>1523353.32</v>
          </cell>
          <cell r="I292">
            <v>0</v>
          </cell>
          <cell r="J292">
            <v>1523353.32</v>
          </cell>
          <cell r="K292">
            <v>17385504.210000001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64374415.280000001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431100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64805515.280000001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2">
          <cell r="F312">
            <v>553070</v>
          </cell>
          <cell r="G312">
            <v>0</v>
          </cell>
          <cell r="H312">
            <v>553070</v>
          </cell>
          <cell r="I312">
            <v>0</v>
          </cell>
          <cell r="J312">
            <v>553070</v>
          </cell>
          <cell r="K312">
            <v>3000</v>
          </cell>
        </row>
        <row r="313">
          <cell r="F313">
            <v>319654</v>
          </cell>
          <cell r="G313">
            <v>0</v>
          </cell>
          <cell r="H313">
            <v>319654</v>
          </cell>
          <cell r="I313">
            <v>0</v>
          </cell>
          <cell r="J313">
            <v>319654</v>
          </cell>
          <cell r="K313">
            <v>498840</v>
          </cell>
        </row>
        <row r="314">
          <cell r="F314">
            <v>432801.91</v>
          </cell>
          <cell r="G314">
            <v>0</v>
          </cell>
          <cell r="H314">
            <v>432801.91</v>
          </cell>
          <cell r="I314">
            <v>0</v>
          </cell>
          <cell r="J314">
            <v>432801.91</v>
          </cell>
          <cell r="K314">
            <v>214595.18</v>
          </cell>
        </row>
        <row r="315">
          <cell r="F315">
            <v>1305525.9099999999</v>
          </cell>
          <cell r="G315">
            <v>0</v>
          </cell>
          <cell r="H315">
            <v>1305525.9099999999</v>
          </cell>
          <cell r="I315">
            <v>0</v>
          </cell>
          <cell r="J315">
            <v>1305525.9099999999</v>
          </cell>
          <cell r="K315">
            <v>716435.17999999993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9">
          <cell r="F319">
            <v>3082759.15</v>
          </cell>
          <cell r="G319">
            <v>138189.99</v>
          </cell>
          <cell r="H319">
            <v>3220949.14</v>
          </cell>
          <cell r="I319">
            <v>0</v>
          </cell>
          <cell r="J319">
            <v>3220949.14</v>
          </cell>
          <cell r="K319">
            <v>0</v>
          </cell>
        </row>
        <row r="320">
          <cell r="F320">
            <v>1035252.23</v>
          </cell>
          <cell r="G320">
            <v>0</v>
          </cell>
          <cell r="H320">
            <v>1035252.23</v>
          </cell>
          <cell r="I320">
            <v>0</v>
          </cell>
          <cell r="J320">
            <v>1035252.23</v>
          </cell>
          <cell r="K320">
            <v>0</v>
          </cell>
        </row>
        <row r="321">
          <cell r="F321">
            <v>177500</v>
          </cell>
          <cell r="G321">
            <v>0</v>
          </cell>
          <cell r="H321">
            <v>177500</v>
          </cell>
          <cell r="I321">
            <v>0</v>
          </cell>
          <cell r="J321">
            <v>177500</v>
          </cell>
          <cell r="K321">
            <v>0</v>
          </cell>
        </row>
        <row r="322">
          <cell r="F322">
            <v>113314.92</v>
          </cell>
          <cell r="G322">
            <v>0</v>
          </cell>
          <cell r="H322">
            <v>113314.92</v>
          </cell>
          <cell r="I322">
            <v>0</v>
          </cell>
          <cell r="J322">
            <v>113314.92</v>
          </cell>
          <cell r="K322">
            <v>117345</v>
          </cell>
        </row>
        <row r="323">
          <cell r="F323">
            <v>4408826.3</v>
          </cell>
          <cell r="G323">
            <v>138189.99</v>
          </cell>
          <cell r="H323">
            <v>4547016.29</v>
          </cell>
          <cell r="I323">
            <v>0</v>
          </cell>
          <cell r="J323">
            <v>4547016.29</v>
          </cell>
          <cell r="K323">
            <v>117345</v>
          </cell>
        </row>
        <row r="325">
          <cell r="F325">
            <v>26171787.899999999</v>
          </cell>
          <cell r="G325">
            <v>0</v>
          </cell>
          <cell r="H325">
            <v>26171787.899999999</v>
          </cell>
          <cell r="I325">
            <v>0</v>
          </cell>
          <cell r="J325">
            <v>26171787.899999999</v>
          </cell>
          <cell r="K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6851823.21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8635329.4499999993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547850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530300</v>
          </cell>
        </row>
        <row r="330">
          <cell r="F330">
            <v>2936852.06</v>
          </cell>
          <cell r="G330">
            <v>0</v>
          </cell>
          <cell r="H330">
            <v>2936852.06</v>
          </cell>
          <cell r="I330">
            <v>0</v>
          </cell>
          <cell r="J330">
            <v>2936852.06</v>
          </cell>
          <cell r="K330">
            <v>1500812.19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8039403.3799999999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866002.11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3414788.15</v>
          </cell>
        </row>
        <row r="334">
          <cell r="F334">
            <v>3808953.25</v>
          </cell>
          <cell r="G334">
            <v>0</v>
          </cell>
          <cell r="H334">
            <v>3808953.25</v>
          </cell>
          <cell r="I334">
            <v>11000</v>
          </cell>
          <cell r="J334">
            <v>3819953.25</v>
          </cell>
          <cell r="K334">
            <v>1511332.62</v>
          </cell>
        </row>
        <row r="335">
          <cell r="F335">
            <v>2210715.92</v>
          </cell>
          <cell r="G335">
            <v>0</v>
          </cell>
          <cell r="H335">
            <v>2210715.92</v>
          </cell>
          <cell r="I335">
            <v>0</v>
          </cell>
          <cell r="J335">
            <v>2210715.92</v>
          </cell>
          <cell r="K335">
            <v>978355.95</v>
          </cell>
        </row>
        <row r="336">
          <cell r="F336">
            <v>2381313.73</v>
          </cell>
          <cell r="G336">
            <v>0</v>
          </cell>
          <cell r="H336">
            <v>2381313.73</v>
          </cell>
          <cell r="I336">
            <v>0</v>
          </cell>
          <cell r="J336">
            <v>2381313.73</v>
          </cell>
          <cell r="K336">
            <v>459140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30772.49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41000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300739.73</v>
          </cell>
        </row>
        <row r="340"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8239039.9100000001</v>
          </cell>
        </row>
        <row r="341">
          <cell r="F341">
            <v>7852572.6299999999</v>
          </cell>
          <cell r="G341">
            <v>0</v>
          </cell>
          <cell r="H341">
            <v>7852572.6299999999</v>
          </cell>
          <cell r="I341">
            <v>0</v>
          </cell>
          <cell r="J341">
            <v>7852572.6299999999</v>
          </cell>
          <cell r="K341">
            <v>5657493.7599999998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1728500</v>
          </cell>
        </row>
        <row r="343">
          <cell r="F343">
            <v>12814129.57</v>
          </cell>
          <cell r="G343">
            <v>0</v>
          </cell>
          <cell r="H343">
            <v>12814129.57</v>
          </cell>
          <cell r="I343">
            <v>0</v>
          </cell>
          <cell r="J343">
            <v>12814129.57</v>
          </cell>
          <cell r="K343">
            <v>4614055.43</v>
          </cell>
        </row>
        <row r="344"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2216800.04</v>
          </cell>
        </row>
        <row r="345"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608480.47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452313.32</v>
          </cell>
        </row>
        <row r="347">
          <cell r="F347">
            <v>90781.68</v>
          </cell>
          <cell r="G347">
            <v>0</v>
          </cell>
          <cell r="H347">
            <v>90781.68</v>
          </cell>
          <cell r="I347">
            <v>0</v>
          </cell>
          <cell r="J347">
            <v>90781.68</v>
          </cell>
          <cell r="K347">
            <v>181500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350230</v>
          </cell>
        </row>
        <row r="349"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655317.35</v>
          </cell>
        </row>
        <row r="350">
          <cell r="F350">
            <v>58267106.739999995</v>
          </cell>
          <cell r="G350">
            <v>0</v>
          </cell>
          <cell r="H350">
            <v>58267106.739999995</v>
          </cell>
          <cell r="I350">
            <v>11000</v>
          </cell>
          <cell r="J350">
            <v>58278106.739999995</v>
          </cell>
          <cell r="K350">
            <v>58411379.559999995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4">
          <cell r="F354">
            <v>330203.63</v>
          </cell>
          <cell r="G354">
            <v>0</v>
          </cell>
          <cell r="H354">
            <v>330203.63</v>
          </cell>
          <cell r="I354">
            <v>0</v>
          </cell>
          <cell r="J354">
            <v>330203.63</v>
          </cell>
          <cell r="K354">
            <v>115697.64</v>
          </cell>
        </row>
        <row r="355">
          <cell r="F355">
            <v>0</v>
          </cell>
          <cell r="G355">
            <v>6896854.0800000001</v>
          </cell>
          <cell r="H355">
            <v>6896854.0800000001</v>
          </cell>
          <cell r="I355">
            <v>0</v>
          </cell>
          <cell r="J355">
            <v>6896854.0800000001</v>
          </cell>
          <cell r="K355">
            <v>79981.61</v>
          </cell>
        </row>
        <row r="356"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595979.18000000005</v>
          </cell>
        </row>
        <row r="357"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320.74</v>
          </cell>
        </row>
        <row r="358">
          <cell r="F358">
            <v>330203.63</v>
          </cell>
          <cell r="G358">
            <v>6896854.0800000001</v>
          </cell>
          <cell r="H358">
            <v>7227057.71</v>
          </cell>
          <cell r="I358">
            <v>0</v>
          </cell>
          <cell r="J358">
            <v>7227057.71</v>
          </cell>
          <cell r="K358">
            <v>791979.17</v>
          </cell>
        </row>
        <row r="360"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123700</v>
          </cell>
        </row>
        <row r="361"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8000</v>
          </cell>
        </row>
        <row r="362">
          <cell r="F362">
            <v>2416840</v>
          </cell>
          <cell r="G362">
            <v>142052</v>
          </cell>
          <cell r="H362">
            <v>2558892</v>
          </cell>
          <cell r="I362">
            <v>0</v>
          </cell>
          <cell r="J362">
            <v>2558892</v>
          </cell>
          <cell r="K362">
            <v>6459076</v>
          </cell>
        </row>
        <row r="363">
          <cell r="F363">
            <v>2416840</v>
          </cell>
          <cell r="G363">
            <v>142052</v>
          </cell>
          <cell r="H363">
            <v>2558892</v>
          </cell>
          <cell r="I363">
            <v>0</v>
          </cell>
          <cell r="J363">
            <v>2558892</v>
          </cell>
          <cell r="K363">
            <v>6590776</v>
          </cell>
        </row>
        <row r="365">
          <cell r="F365">
            <v>5918755.5899999999</v>
          </cell>
          <cell r="G365">
            <v>0</v>
          </cell>
          <cell r="H365">
            <v>5918755.5899999999</v>
          </cell>
          <cell r="I365">
            <v>0</v>
          </cell>
          <cell r="J365">
            <v>5918755.5899999999</v>
          </cell>
          <cell r="K365">
            <v>5388064.9299999997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231250</v>
          </cell>
        </row>
        <row r="367"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3902963.95</v>
          </cell>
        </row>
        <row r="368"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41970</v>
          </cell>
        </row>
        <row r="369">
          <cell r="F369">
            <v>412000</v>
          </cell>
          <cell r="G369">
            <v>0</v>
          </cell>
          <cell r="H369">
            <v>412000</v>
          </cell>
          <cell r="I369">
            <v>0</v>
          </cell>
          <cell r="J369">
            <v>412000</v>
          </cell>
          <cell r="K369">
            <v>1290975</v>
          </cell>
        </row>
        <row r="370">
          <cell r="F370">
            <v>737770</v>
          </cell>
          <cell r="G370">
            <v>0</v>
          </cell>
          <cell r="H370">
            <v>737770</v>
          </cell>
          <cell r="I370">
            <v>0</v>
          </cell>
          <cell r="J370">
            <v>737770</v>
          </cell>
          <cell r="K370">
            <v>1246777</v>
          </cell>
        </row>
        <row r="371"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200040</v>
          </cell>
        </row>
        <row r="372"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817480.5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1500</v>
          </cell>
        </row>
        <row r="374"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416758.95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493740</v>
          </cell>
        </row>
        <row r="376">
          <cell r="F376">
            <v>14540</v>
          </cell>
          <cell r="G376">
            <v>0</v>
          </cell>
          <cell r="H376">
            <v>14540</v>
          </cell>
          <cell r="I376">
            <v>0</v>
          </cell>
          <cell r="J376">
            <v>14540</v>
          </cell>
          <cell r="K376">
            <v>232300</v>
          </cell>
        </row>
        <row r="377"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338950</v>
          </cell>
        </row>
        <row r="378"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24500</v>
          </cell>
        </row>
        <row r="379"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184079.67</v>
          </cell>
        </row>
        <row r="380">
          <cell r="F380">
            <v>7083065.5899999999</v>
          </cell>
          <cell r="G380">
            <v>0</v>
          </cell>
          <cell r="H380">
            <v>7083065.5899999999</v>
          </cell>
          <cell r="I380">
            <v>0</v>
          </cell>
          <cell r="J380">
            <v>7083065.5899999999</v>
          </cell>
          <cell r="K380">
            <v>14811349.999999998</v>
          </cell>
        </row>
        <row r="382">
          <cell r="F382">
            <v>2334602.5</v>
          </cell>
          <cell r="G382">
            <v>0</v>
          </cell>
          <cell r="H382">
            <v>2334602.5</v>
          </cell>
          <cell r="I382">
            <v>0</v>
          </cell>
          <cell r="J382">
            <v>2334602.5</v>
          </cell>
          <cell r="K382">
            <v>0</v>
          </cell>
        </row>
        <row r="383"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37295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800</v>
          </cell>
        </row>
        <row r="385"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168618.5</v>
          </cell>
        </row>
        <row r="386"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233655</v>
          </cell>
        </row>
        <row r="387"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166465</v>
          </cell>
        </row>
        <row r="388"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20000</v>
          </cell>
        </row>
        <row r="389"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1216505</v>
          </cell>
        </row>
        <row r="390">
          <cell r="F390">
            <v>2334602.5</v>
          </cell>
          <cell r="G390">
            <v>0</v>
          </cell>
          <cell r="H390">
            <v>2334602.5</v>
          </cell>
          <cell r="I390">
            <v>0</v>
          </cell>
          <cell r="J390">
            <v>2334602.5</v>
          </cell>
          <cell r="K390">
            <v>1843338.5</v>
          </cell>
        </row>
        <row r="392">
          <cell r="F392">
            <v>789900</v>
          </cell>
          <cell r="G392">
            <v>0</v>
          </cell>
          <cell r="H392">
            <v>789900</v>
          </cell>
          <cell r="I392">
            <v>0</v>
          </cell>
          <cell r="J392">
            <v>789900</v>
          </cell>
          <cell r="K392">
            <v>1216110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140400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161800</v>
          </cell>
        </row>
        <row r="395">
          <cell r="F395">
            <v>789900</v>
          </cell>
          <cell r="G395">
            <v>0</v>
          </cell>
          <cell r="H395">
            <v>789900</v>
          </cell>
          <cell r="I395">
            <v>0</v>
          </cell>
          <cell r="J395">
            <v>789900</v>
          </cell>
          <cell r="K395">
            <v>1518310</v>
          </cell>
        </row>
        <row r="397">
          <cell r="F397">
            <v>1868060.11</v>
          </cell>
          <cell r="G397">
            <v>0</v>
          </cell>
          <cell r="H397">
            <v>1868060.11</v>
          </cell>
          <cell r="I397">
            <v>0</v>
          </cell>
          <cell r="J397">
            <v>1868060.11</v>
          </cell>
          <cell r="K397">
            <v>3848.9</v>
          </cell>
        </row>
        <row r="398">
          <cell r="F398">
            <v>1868060.11</v>
          </cell>
          <cell r="G398">
            <v>0</v>
          </cell>
          <cell r="H398">
            <v>1868060.11</v>
          </cell>
          <cell r="I398">
            <v>0</v>
          </cell>
          <cell r="J398">
            <v>1868060.11</v>
          </cell>
          <cell r="K398">
            <v>3848.9</v>
          </cell>
        </row>
        <row r="400">
          <cell r="F400">
            <v>4857804.43</v>
          </cell>
          <cell r="G400">
            <v>0</v>
          </cell>
          <cell r="H400">
            <v>4857804.43</v>
          </cell>
          <cell r="I400">
            <v>0</v>
          </cell>
          <cell r="J400">
            <v>4857804.43</v>
          </cell>
          <cell r="K400">
            <v>0</v>
          </cell>
        </row>
        <row r="401">
          <cell r="F401">
            <v>141678.48000000001</v>
          </cell>
          <cell r="G401">
            <v>0</v>
          </cell>
          <cell r="H401">
            <v>141678.48000000001</v>
          </cell>
          <cell r="I401">
            <v>0</v>
          </cell>
          <cell r="J401">
            <v>141678.48000000001</v>
          </cell>
          <cell r="K401">
            <v>0</v>
          </cell>
        </row>
        <row r="402">
          <cell r="F402">
            <v>712025</v>
          </cell>
          <cell r="G402">
            <v>0</v>
          </cell>
          <cell r="H402">
            <v>712025</v>
          </cell>
          <cell r="I402">
            <v>0</v>
          </cell>
          <cell r="J402">
            <v>712025</v>
          </cell>
          <cell r="K402">
            <v>0</v>
          </cell>
        </row>
        <row r="403">
          <cell r="F403">
            <v>277119.43</v>
          </cell>
          <cell r="G403">
            <v>0</v>
          </cell>
          <cell r="H403">
            <v>277119.43</v>
          </cell>
          <cell r="I403">
            <v>-277119.43</v>
          </cell>
          <cell r="J403">
            <v>0</v>
          </cell>
          <cell r="K403">
            <v>0</v>
          </cell>
        </row>
        <row r="404">
          <cell r="F404">
            <v>522000</v>
          </cell>
          <cell r="G404">
            <v>0</v>
          </cell>
          <cell r="H404">
            <v>522000</v>
          </cell>
          <cell r="I404">
            <v>0</v>
          </cell>
          <cell r="J404">
            <v>522000</v>
          </cell>
          <cell r="K404">
            <v>0</v>
          </cell>
        </row>
        <row r="405">
          <cell r="F405">
            <v>29400</v>
          </cell>
          <cell r="G405">
            <v>0</v>
          </cell>
          <cell r="H405">
            <v>29400</v>
          </cell>
          <cell r="I405">
            <v>0</v>
          </cell>
          <cell r="J405">
            <v>29400</v>
          </cell>
          <cell r="K405">
            <v>7500</v>
          </cell>
        </row>
        <row r="406"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32500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281428.75</v>
          </cell>
        </row>
        <row r="408">
          <cell r="F408">
            <v>58000</v>
          </cell>
          <cell r="G408">
            <v>0</v>
          </cell>
          <cell r="H408">
            <v>58000</v>
          </cell>
          <cell r="I408">
            <v>0</v>
          </cell>
          <cell r="J408">
            <v>58000</v>
          </cell>
          <cell r="K408">
            <v>36500</v>
          </cell>
        </row>
        <row r="409"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2761719.06</v>
          </cell>
        </row>
        <row r="410">
          <cell r="F410">
            <v>2990395.54</v>
          </cell>
          <cell r="G410">
            <v>0</v>
          </cell>
          <cell r="H410">
            <v>2990395.54</v>
          </cell>
          <cell r="I410">
            <v>23000</v>
          </cell>
          <cell r="J410">
            <v>3013395.54</v>
          </cell>
          <cell r="K410">
            <v>0</v>
          </cell>
        </row>
        <row r="411">
          <cell r="F411">
            <v>9588422.879999999</v>
          </cell>
          <cell r="G411">
            <v>0</v>
          </cell>
          <cell r="H411">
            <v>9588422.879999999</v>
          </cell>
          <cell r="I411">
            <v>-254119.43</v>
          </cell>
          <cell r="J411">
            <v>9334303.4499999993</v>
          </cell>
          <cell r="K411">
            <v>3119647.81</v>
          </cell>
        </row>
        <row r="413"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823671.3</v>
          </cell>
        </row>
        <row r="414"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385503.53</v>
          </cell>
        </row>
        <row r="415">
          <cell r="F415">
            <v>63512.72</v>
          </cell>
          <cell r="G415">
            <v>234081.56</v>
          </cell>
          <cell r="H415">
            <v>297594.28000000003</v>
          </cell>
          <cell r="I415">
            <v>36956.800000000003</v>
          </cell>
          <cell r="J415">
            <v>334551.08</v>
          </cell>
          <cell r="K415">
            <v>71593.56</v>
          </cell>
        </row>
        <row r="416">
          <cell r="F416">
            <v>276786</v>
          </cell>
          <cell r="G416">
            <v>574670.21</v>
          </cell>
          <cell r="H416">
            <v>851456.21</v>
          </cell>
          <cell r="I416">
            <v>0</v>
          </cell>
          <cell r="J416">
            <v>851456.21</v>
          </cell>
          <cell r="K416">
            <v>503419.84</v>
          </cell>
        </row>
        <row r="417">
          <cell r="F417">
            <v>1664590.16</v>
          </cell>
          <cell r="G417">
            <v>722807.59</v>
          </cell>
          <cell r="H417">
            <v>2387397.75</v>
          </cell>
          <cell r="I417">
            <v>0</v>
          </cell>
          <cell r="J417">
            <v>2387397.75</v>
          </cell>
          <cell r="K417">
            <v>3980510</v>
          </cell>
        </row>
        <row r="418">
          <cell r="F418">
            <v>0</v>
          </cell>
          <cell r="G418">
            <v>546505</v>
          </cell>
          <cell r="H418">
            <v>546505</v>
          </cell>
          <cell r="I418">
            <v>0</v>
          </cell>
          <cell r="J418">
            <v>546505</v>
          </cell>
          <cell r="K418">
            <v>661050</v>
          </cell>
        </row>
        <row r="419">
          <cell r="F419">
            <v>2004888.88</v>
          </cell>
          <cell r="G419">
            <v>2078064.3599999999</v>
          </cell>
          <cell r="H419">
            <v>4082953.24</v>
          </cell>
          <cell r="I419">
            <v>36956.800000000003</v>
          </cell>
          <cell r="J419">
            <v>4119910.04</v>
          </cell>
          <cell r="K419">
            <v>6425748.2300000004</v>
          </cell>
        </row>
        <row r="421"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1030532.61</v>
          </cell>
        </row>
        <row r="422"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53776458.030000001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F424">
            <v>30000</v>
          </cell>
          <cell r="G424">
            <v>0</v>
          </cell>
          <cell r="H424">
            <v>30000</v>
          </cell>
          <cell r="I424">
            <v>0</v>
          </cell>
          <cell r="J424">
            <v>30000</v>
          </cell>
          <cell r="K424">
            <v>0</v>
          </cell>
        </row>
        <row r="425">
          <cell r="F425">
            <v>0</v>
          </cell>
          <cell r="G425">
            <v>6660031.3899999997</v>
          </cell>
          <cell r="H425">
            <v>6660031.3899999997</v>
          </cell>
          <cell r="I425">
            <v>0</v>
          </cell>
          <cell r="J425">
            <v>6660031.3899999997</v>
          </cell>
          <cell r="K425">
            <v>0</v>
          </cell>
        </row>
        <row r="426">
          <cell r="F426">
            <v>0</v>
          </cell>
          <cell r="G426">
            <v>11019270.6</v>
          </cell>
          <cell r="H426">
            <v>11019270.6</v>
          </cell>
          <cell r="I426">
            <v>0</v>
          </cell>
          <cell r="J426">
            <v>11019270.6</v>
          </cell>
          <cell r="K426">
            <v>0</v>
          </cell>
        </row>
        <row r="427">
          <cell r="F427">
            <v>36348967.299999997</v>
          </cell>
          <cell r="G427">
            <v>46932412.759999998</v>
          </cell>
          <cell r="H427">
            <v>83281380.060000002</v>
          </cell>
          <cell r="I427">
            <v>0</v>
          </cell>
          <cell r="J427">
            <v>83281380.060000002</v>
          </cell>
          <cell r="K427">
            <v>11876916.220000001</v>
          </cell>
        </row>
        <row r="428">
          <cell r="F428">
            <v>36378967.299999997</v>
          </cell>
          <cell r="G428">
            <v>64611714.75</v>
          </cell>
          <cell r="H428">
            <v>100990682.05</v>
          </cell>
          <cell r="I428">
            <v>0</v>
          </cell>
          <cell r="J428">
            <v>100990682.05</v>
          </cell>
          <cell r="K428">
            <v>66683906.859999999</v>
          </cell>
        </row>
        <row r="430">
          <cell r="F430">
            <v>4628013.08</v>
          </cell>
          <cell r="G430">
            <v>0</v>
          </cell>
          <cell r="H430">
            <v>4628013.08</v>
          </cell>
          <cell r="I430">
            <v>-551356.82999999996</v>
          </cell>
          <cell r="J430">
            <v>4076656.25</v>
          </cell>
          <cell r="K430">
            <v>0</v>
          </cell>
        </row>
        <row r="431">
          <cell r="F431">
            <v>4628013.08</v>
          </cell>
          <cell r="G431">
            <v>0</v>
          </cell>
          <cell r="H431">
            <v>4628013.08</v>
          </cell>
          <cell r="I431">
            <v>-551356.82999999996</v>
          </cell>
          <cell r="J431">
            <v>4076656.25</v>
          </cell>
          <cell r="K431">
            <v>0</v>
          </cell>
        </row>
        <row r="433">
          <cell r="F433">
            <v>13816506.65</v>
          </cell>
          <cell r="G433">
            <v>0</v>
          </cell>
          <cell r="H433">
            <v>13816506.65</v>
          </cell>
          <cell r="I433">
            <v>0</v>
          </cell>
          <cell r="J433">
            <v>13816506.65</v>
          </cell>
          <cell r="K433">
            <v>11921613.550000001</v>
          </cell>
        </row>
        <row r="434">
          <cell r="F434">
            <v>13816506.65</v>
          </cell>
          <cell r="G434">
            <v>0</v>
          </cell>
          <cell r="H434">
            <v>13816506.65</v>
          </cell>
          <cell r="I434">
            <v>0</v>
          </cell>
          <cell r="J434">
            <v>13816506.65</v>
          </cell>
          <cell r="K434">
            <v>11921613.550000001</v>
          </cell>
        </row>
        <row r="436">
          <cell r="F436">
            <v>2000</v>
          </cell>
          <cell r="G436">
            <v>0</v>
          </cell>
          <cell r="H436">
            <v>2000</v>
          </cell>
          <cell r="I436">
            <v>0</v>
          </cell>
          <cell r="J436">
            <v>2000</v>
          </cell>
          <cell r="K436">
            <v>0</v>
          </cell>
        </row>
        <row r="437">
          <cell r="F437">
            <v>-710366.26</v>
          </cell>
          <cell r="G437">
            <v>0</v>
          </cell>
          <cell r="H437">
            <v>-710366.26</v>
          </cell>
          <cell r="I437">
            <v>828476.26</v>
          </cell>
          <cell r="J437">
            <v>118110</v>
          </cell>
          <cell r="K437">
            <v>0</v>
          </cell>
        </row>
        <row r="438">
          <cell r="F438">
            <v>3187749.39</v>
          </cell>
          <cell r="G438">
            <v>0</v>
          </cell>
          <cell r="H438">
            <v>3187749.39</v>
          </cell>
          <cell r="I438">
            <v>0</v>
          </cell>
          <cell r="J438">
            <v>3187749.39</v>
          </cell>
          <cell r="K438">
            <v>7271022.5599999996</v>
          </cell>
        </row>
        <row r="439">
          <cell r="F439">
            <v>2751744.5</v>
          </cell>
          <cell r="G439">
            <v>0</v>
          </cell>
          <cell r="H439">
            <v>2751744.5</v>
          </cell>
          <cell r="I439">
            <v>102500</v>
          </cell>
          <cell r="J439">
            <v>2854244.5</v>
          </cell>
          <cell r="K439">
            <v>4577944.97</v>
          </cell>
        </row>
        <row r="440">
          <cell r="F440">
            <v>519465</v>
          </cell>
          <cell r="G440">
            <v>0</v>
          </cell>
          <cell r="H440">
            <v>519465</v>
          </cell>
          <cell r="I440">
            <v>28000</v>
          </cell>
          <cell r="J440">
            <v>547465</v>
          </cell>
          <cell r="K440">
            <v>253831.04000000001</v>
          </cell>
        </row>
        <row r="441"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140600</v>
          </cell>
        </row>
        <row r="442">
          <cell r="F442">
            <v>104400</v>
          </cell>
          <cell r="G442">
            <v>0</v>
          </cell>
          <cell r="H442">
            <v>104400</v>
          </cell>
          <cell r="I442">
            <v>229350</v>
          </cell>
          <cell r="J442">
            <v>333750</v>
          </cell>
          <cell r="K442">
            <v>923690.17</v>
          </cell>
        </row>
        <row r="443">
          <cell r="F443">
            <v>5854992.6299999999</v>
          </cell>
          <cell r="G443">
            <v>0</v>
          </cell>
          <cell r="H443">
            <v>5854992.6299999999</v>
          </cell>
          <cell r="I443">
            <v>1188326.26</v>
          </cell>
          <cell r="J443">
            <v>7043318.8900000006</v>
          </cell>
          <cell r="K443">
            <v>13167088.739999998</v>
          </cell>
        </row>
        <row r="445">
          <cell r="F445">
            <v>310797.5</v>
          </cell>
          <cell r="G445">
            <v>0</v>
          </cell>
          <cell r="H445">
            <v>310797.5</v>
          </cell>
          <cell r="I445">
            <v>0</v>
          </cell>
          <cell r="J445">
            <v>310797.5</v>
          </cell>
          <cell r="K445">
            <v>826695</v>
          </cell>
        </row>
        <row r="446"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28450</v>
          </cell>
        </row>
        <row r="447">
          <cell r="F447">
            <v>310797.5</v>
          </cell>
          <cell r="G447">
            <v>0</v>
          </cell>
          <cell r="H447">
            <v>310797.5</v>
          </cell>
          <cell r="I447">
            <v>0</v>
          </cell>
          <cell r="J447">
            <v>310797.5</v>
          </cell>
          <cell r="K447">
            <v>855145</v>
          </cell>
        </row>
        <row r="449">
          <cell r="F449">
            <v>18250</v>
          </cell>
          <cell r="G449">
            <v>0</v>
          </cell>
          <cell r="H449">
            <v>18250</v>
          </cell>
          <cell r="I449">
            <v>0</v>
          </cell>
          <cell r="J449">
            <v>18250</v>
          </cell>
          <cell r="K449">
            <v>0</v>
          </cell>
        </row>
        <row r="450">
          <cell r="F450">
            <v>455000</v>
          </cell>
          <cell r="G450">
            <v>0</v>
          </cell>
          <cell r="H450">
            <v>455000</v>
          </cell>
          <cell r="I450">
            <v>0</v>
          </cell>
          <cell r="J450">
            <v>455000</v>
          </cell>
          <cell r="K450">
            <v>240000</v>
          </cell>
        </row>
        <row r="451">
          <cell r="F451">
            <v>410000</v>
          </cell>
          <cell r="G451">
            <v>0</v>
          </cell>
          <cell r="H451">
            <v>410000</v>
          </cell>
          <cell r="I451">
            <v>0</v>
          </cell>
          <cell r="J451">
            <v>410000</v>
          </cell>
          <cell r="K451">
            <v>240000</v>
          </cell>
        </row>
        <row r="452">
          <cell r="F452">
            <v>883250</v>
          </cell>
          <cell r="G452">
            <v>0</v>
          </cell>
          <cell r="H452">
            <v>883250</v>
          </cell>
          <cell r="I452">
            <v>0</v>
          </cell>
          <cell r="J452">
            <v>883250</v>
          </cell>
          <cell r="K452">
            <v>480000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6">
          <cell r="F456">
            <v>1180228.46</v>
          </cell>
          <cell r="G456">
            <v>45552.55</v>
          </cell>
          <cell r="H456">
            <v>1225781.01</v>
          </cell>
          <cell r="I456">
            <v>0</v>
          </cell>
          <cell r="J456">
            <v>1225781.01</v>
          </cell>
          <cell r="K456">
            <v>2914387.37</v>
          </cell>
        </row>
        <row r="457"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116433.33</v>
          </cell>
        </row>
        <row r="458"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107950</v>
          </cell>
        </row>
        <row r="459">
          <cell r="F459">
            <v>1180228.46</v>
          </cell>
          <cell r="G459">
            <v>45552.55</v>
          </cell>
          <cell r="H459">
            <v>1225781.01</v>
          </cell>
          <cell r="I459">
            <v>0</v>
          </cell>
          <cell r="J459">
            <v>1225781.01</v>
          </cell>
          <cell r="K459">
            <v>3138770.7</v>
          </cell>
        </row>
        <row r="461">
          <cell r="F461">
            <v>1253177.25</v>
          </cell>
          <cell r="G461">
            <v>0</v>
          </cell>
          <cell r="H461">
            <v>1253177.25</v>
          </cell>
          <cell r="I461">
            <v>0</v>
          </cell>
          <cell r="J461">
            <v>1253177.25</v>
          </cell>
          <cell r="K461">
            <v>2466518</v>
          </cell>
        </row>
        <row r="462">
          <cell r="F462">
            <v>144672.5</v>
          </cell>
          <cell r="G462">
            <v>0</v>
          </cell>
          <cell r="H462">
            <v>144672.5</v>
          </cell>
          <cell r="I462">
            <v>0</v>
          </cell>
          <cell r="J462">
            <v>144672.5</v>
          </cell>
          <cell r="K462">
            <v>876405</v>
          </cell>
        </row>
        <row r="463">
          <cell r="F463">
            <v>439640.97</v>
          </cell>
          <cell r="G463">
            <v>0</v>
          </cell>
          <cell r="H463">
            <v>439640.97</v>
          </cell>
          <cell r="I463">
            <v>0</v>
          </cell>
          <cell r="J463">
            <v>439640.97</v>
          </cell>
          <cell r="K463">
            <v>1055986.03</v>
          </cell>
        </row>
        <row r="464">
          <cell r="F464">
            <v>1837490.72</v>
          </cell>
          <cell r="G464">
            <v>0</v>
          </cell>
          <cell r="H464">
            <v>1837490.72</v>
          </cell>
          <cell r="I464">
            <v>0</v>
          </cell>
          <cell r="J464">
            <v>1837490.72</v>
          </cell>
          <cell r="K464">
            <v>4398909.03</v>
          </cell>
        </row>
        <row r="466">
          <cell r="F466">
            <v>1773064.6</v>
          </cell>
          <cell r="G466">
            <v>0</v>
          </cell>
          <cell r="H466">
            <v>1773064.6</v>
          </cell>
          <cell r="I466">
            <v>0</v>
          </cell>
          <cell r="J466">
            <v>1773064.6</v>
          </cell>
          <cell r="K466">
            <v>1610025</v>
          </cell>
        </row>
        <row r="467">
          <cell r="F467">
            <v>950000</v>
          </cell>
          <cell r="G467">
            <v>0</v>
          </cell>
          <cell r="H467">
            <v>950000</v>
          </cell>
          <cell r="I467">
            <v>0</v>
          </cell>
          <cell r="J467">
            <v>950000</v>
          </cell>
          <cell r="K467">
            <v>1152000</v>
          </cell>
        </row>
        <row r="468">
          <cell r="F468">
            <v>2723064.6</v>
          </cell>
          <cell r="G468">
            <v>0</v>
          </cell>
          <cell r="H468">
            <v>2723064.6</v>
          </cell>
          <cell r="I468">
            <v>0</v>
          </cell>
          <cell r="J468">
            <v>2723064.6</v>
          </cell>
          <cell r="K468">
            <v>2762025</v>
          </cell>
        </row>
        <row r="470">
          <cell r="F470">
            <v>700000</v>
          </cell>
          <cell r="G470">
            <v>4300000</v>
          </cell>
          <cell r="H470">
            <v>5000000</v>
          </cell>
          <cell r="I470">
            <v>0</v>
          </cell>
          <cell r="J470">
            <v>5000000</v>
          </cell>
          <cell r="K470">
            <v>3000000</v>
          </cell>
        </row>
        <row r="471">
          <cell r="F471">
            <v>700000</v>
          </cell>
          <cell r="G471">
            <v>4300000</v>
          </cell>
          <cell r="H471">
            <v>5000000</v>
          </cell>
          <cell r="I471">
            <v>0</v>
          </cell>
          <cell r="J471">
            <v>5000000</v>
          </cell>
          <cell r="K471">
            <v>3000000</v>
          </cell>
        </row>
        <row r="473"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1721168.33</v>
          </cell>
        </row>
        <row r="474"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1721168.33</v>
          </cell>
        </row>
        <row r="476"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66960.3</v>
          </cell>
        </row>
        <row r="477"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66960.3</v>
          </cell>
        </row>
        <row r="479">
          <cell r="F479">
            <v>1216400</v>
          </cell>
          <cell r="G479">
            <v>0</v>
          </cell>
          <cell r="H479">
            <v>1216400</v>
          </cell>
          <cell r="I479">
            <v>0</v>
          </cell>
          <cell r="J479">
            <v>1216400</v>
          </cell>
          <cell r="K479">
            <v>819800</v>
          </cell>
        </row>
        <row r="480">
          <cell r="F480">
            <v>2863835</v>
          </cell>
          <cell r="G480">
            <v>0</v>
          </cell>
          <cell r="H480">
            <v>2863835</v>
          </cell>
          <cell r="I480">
            <v>0</v>
          </cell>
          <cell r="J480">
            <v>2863835</v>
          </cell>
          <cell r="K480">
            <v>4998500</v>
          </cell>
        </row>
        <row r="481">
          <cell r="F481">
            <v>-422421.18</v>
          </cell>
          <cell r="G481">
            <v>0</v>
          </cell>
          <cell r="H481">
            <v>-422421.18</v>
          </cell>
          <cell r="I481">
            <v>0</v>
          </cell>
          <cell r="J481">
            <v>-422421.18</v>
          </cell>
          <cell r="K481">
            <v>153315</v>
          </cell>
        </row>
        <row r="482">
          <cell r="F482">
            <v>3657813.82</v>
          </cell>
          <cell r="G482">
            <v>0</v>
          </cell>
          <cell r="H482">
            <v>3657813.82</v>
          </cell>
          <cell r="I482">
            <v>0</v>
          </cell>
          <cell r="J482">
            <v>3657813.82</v>
          </cell>
          <cell r="K482">
            <v>5971615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6561183.3300000001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6561183.3300000001</v>
          </cell>
        </row>
        <row r="487">
          <cell r="F487">
            <v>1100660.8700000001</v>
          </cell>
          <cell r="G487">
            <v>55794.89</v>
          </cell>
          <cell r="H487">
            <v>1156455.76</v>
          </cell>
          <cell r="I487">
            <v>0</v>
          </cell>
          <cell r="J487">
            <v>1156455.76</v>
          </cell>
          <cell r="K487">
            <v>7490000</v>
          </cell>
        </row>
        <row r="488">
          <cell r="F488">
            <v>5668304.3700000001</v>
          </cell>
          <cell r="G488">
            <v>891274.46</v>
          </cell>
          <cell r="H488">
            <v>6559578.8300000001</v>
          </cell>
          <cell r="I488">
            <v>0</v>
          </cell>
          <cell r="J488">
            <v>6559578.8300000001</v>
          </cell>
          <cell r="K488">
            <v>43804065</v>
          </cell>
        </row>
        <row r="489">
          <cell r="F489">
            <v>6768965.2400000002</v>
          </cell>
          <cell r="G489">
            <v>947069.35</v>
          </cell>
          <cell r="H489">
            <v>7716034.5899999999</v>
          </cell>
          <cell r="I489">
            <v>0</v>
          </cell>
          <cell r="J489">
            <v>7716034.5899999999</v>
          </cell>
          <cell r="K489">
            <v>51294065</v>
          </cell>
        </row>
        <row r="491">
          <cell r="F491">
            <v>420250</v>
          </cell>
          <cell r="G491">
            <v>0</v>
          </cell>
          <cell r="H491">
            <v>420250</v>
          </cell>
          <cell r="I491">
            <v>0</v>
          </cell>
          <cell r="J491">
            <v>420250</v>
          </cell>
          <cell r="K491">
            <v>561980</v>
          </cell>
        </row>
        <row r="492"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280000</v>
          </cell>
        </row>
        <row r="493">
          <cell r="F493">
            <v>420250</v>
          </cell>
          <cell r="G493">
            <v>0</v>
          </cell>
          <cell r="H493">
            <v>420250</v>
          </cell>
          <cell r="I493">
            <v>0</v>
          </cell>
          <cell r="J493">
            <v>420250</v>
          </cell>
          <cell r="K493">
            <v>841980</v>
          </cell>
        </row>
        <row r="495"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</row>
        <row r="497"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</row>
        <row r="499">
          <cell r="F499">
            <v>199230</v>
          </cell>
          <cell r="G499">
            <v>0</v>
          </cell>
          <cell r="H499">
            <v>199230</v>
          </cell>
          <cell r="I499">
            <v>0</v>
          </cell>
          <cell r="J499">
            <v>199230</v>
          </cell>
          <cell r="K499">
            <v>223125.85</v>
          </cell>
        </row>
        <row r="500"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26070</v>
          </cell>
        </row>
        <row r="501">
          <cell r="F501">
            <v>199230</v>
          </cell>
          <cell r="G501">
            <v>0</v>
          </cell>
          <cell r="H501">
            <v>199230</v>
          </cell>
          <cell r="I501">
            <v>0</v>
          </cell>
          <cell r="J501">
            <v>199230</v>
          </cell>
          <cell r="K501">
            <v>249195.85</v>
          </cell>
        </row>
        <row r="503">
          <cell r="F503">
            <v>3052000</v>
          </cell>
          <cell r="G503">
            <v>0</v>
          </cell>
          <cell r="H503">
            <v>3052000</v>
          </cell>
          <cell r="I503">
            <v>0</v>
          </cell>
          <cell r="J503">
            <v>3052000</v>
          </cell>
          <cell r="K503">
            <v>2439800.16</v>
          </cell>
        </row>
        <row r="504">
          <cell r="F504">
            <v>3052000</v>
          </cell>
          <cell r="G504">
            <v>0</v>
          </cell>
          <cell r="H504">
            <v>3052000</v>
          </cell>
          <cell r="I504">
            <v>0</v>
          </cell>
          <cell r="J504">
            <v>3052000</v>
          </cell>
          <cell r="K504">
            <v>2439800.16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8">
          <cell r="F508">
            <v>-452360</v>
          </cell>
          <cell r="G508">
            <v>0</v>
          </cell>
          <cell r="H508">
            <v>-452360</v>
          </cell>
          <cell r="I508">
            <v>0</v>
          </cell>
          <cell r="J508">
            <v>-452360</v>
          </cell>
          <cell r="K508">
            <v>0</v>
          </cell>
        </row>
        <row r="509">
          <cell r="F509">
            <v>-2447849.4</v>
          </cell>
          <cell r="G509">
            <v>0</v>
          </cell>
          <cell r="H509">
            <v>-2447849.4</v>
          </cell>
          <cell r="I509">
            <v>-393850</v>
          </cell>
          <cell r="J509">
            <v>-2841699.4</v>
          </cell>
          <cell r="K509">
            <v>-183300</v>
          </cell>
        </row>
        <row r="510">
          <cell r="F510">
            <v>-2220389.7200000002</v>
          </cell>
          <cell r="G510">
            <v>0</v>
          </cell>
          <cell r="H510">
            <v>-2220389.7200000002</v>
          </cell>
          <cell r="I510">
            <v>0</v>
          </cell>
          <cell r="J510">
            <v>-2220389.7200000002</v>
          </cell>
          <cell r="K510">
            <v>-10117409.33</v>
          </cell>
        </row>
        <row r="511">
          <cell r="F511">
            <v>-5120599.12</v>
          </cell>
          <cell r="G511">
            <v>0</v>
          </cell>
          <cell r="H511">
            <v>-5120599.12</v>
          </cell>
          <cell r="I511">
            <v>-393850</v>
          </cell>
          <cell r="J511">
            <v>-5514449.1200000001</v>
          </cell>
          <cell r="K511">
            <v>-10300709.33</v>
          </cell>
        </row>
        <row r="513">
          <cell r="F513">
            <v>4500</v>
          </cell>
          <cell r="G513">
            <v>0</v>
          </cell>
          <cell r="H513">
            <v>4500</v>
          </cell>
          <cell r="I513">
            <v>0</v>
          </cell>
          <cell r="J513">
            <v>4500</v>
          </cell>
          <cell r="K513">
            <v>204097.01</v>
          </cell>
        </row>
        <row r="514">
          <cell r="F514">
            <v>2642137.1</v>
          </cell>
          <cell r="G514">
            <v>0</v>
          </cell>
          <cell r="H514">
            <v>2642137.1</v>
          </cell>
          <cell r="I514">
            <v>0</v>
          </cell>
          <cell r="J514">
            <v>2642137.1</v>
          </cell>
          <cell r="K514">
            <v>4497672.1900000004</v>
          </cell>
        </row>
        <row r="515">
          <cell r="F515">
            <v>2646637.1</v>
          </cell>
          <cell r="G515">
            <v>0</v>
          </cell>
          <cell r="H515">
            <v>2646637.1</v>
          </cell>
          <cell r="I515">
            <v>0</v>
          </cell>
          <cell r="J515">
            <v>2646637.1</v>
          </cell>
          <cell r="K515">
            <v>4701769.2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9"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1"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F522">
            <v>5.1222741603851318E-9</v>
          </cell>
          <cell r="G522">
            <v>-6.1700120568275452E-9</v>
          </cell>
          <cell r="H522">
            <v>-1.5366822481155396E-8</v>
          </cell>
          <cell r="I522">
            <v>2.3283064365386963E-10</v>
          </cell>
          <cell r="J522">
            <v>-7.8696757555007935E-8</v>
          </cell>
          <cell r="K522">
            <v>30.219999958761036</v>
          </cell>
        </row>
      </sheetData>
      <sheetData sheetId="2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ead"/>
      <sheetName val="Links"/>
      <sheetName val="Tickmarks"/>
    </sheetNames>
    <sheetDataSet>
      <sheetData sheetId="0">
        <row r="2">
          <cell r="F2" t="str">
            <v>Preliminary</v>
          </cell>
          <cell r="H2" t="str">
            <v>AJE</v>
          </cell>
          <cell r="I2" t="str">
            <v>Adjusted</v>
          </cell>
          <cell r="J2" t="str">
            <v>RJE</v>
          </cell>
          <cell r="K2" t="str">
            <v>Final</v>
          </cell>
          <cell r="M2" t="str">
            <v>PY1</v>
          </cell>
        </row>
        <row r="4">
          <cell r="F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M4">
            <v>1630338.43</v>
          </cell>
        </row>
        <row r="5">
          <cell r="F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M5">
            <v>-150000</v>
          </cell>
        </row>
        <row r="6">
          <cell r="F6">
            <v>906001.55</v>
          </cell>
          <cell r="H6">
            <v>0</v>
          </cell>
          <cell r="I6">
            <v>906001.55</v>
          </cell>
          <cell r="J6">
            <v>0</v>
          </cell>
          <cell r="K6">
            <v>906001.55</v>
          </cell>
          <cell r="M6">
            <v>0</v>
          </cell>
        </row>
        <row r="7">
          <cell r="F7">
            <v>-398141.5</v>
          </cell>
          <cell r="H7">
            <v>0</v>
          </cell>
          <cell r="I7">
            <v>-398141.5</v>
          </cell>
          <cell r="J7">
            <v>0</v>
          </cell>
          <cell r="K7">
            <v>-398141.5</v>
          </cell>
          <cell r="M7">
            <v>0</v>
          </cell>
        </row>
        <row r="8">
          <cell r="F8">
            <v>-3052858.28</v>
          </cell>
          <cell r="H8">
            <v>0</v>
          </cell>
          <cell r="I8">
            <v>-3052858.28</v>
          </cell>
          <cell r="J8">
            <v>0</v>
          </cell>
          <cell r="K8">
            <v>-3052858.28</v>
          </cell>
          <cell r="M8">
            <v>0</v>
          </cell>
        </row>
        <row r="9">
          <cell r="F9">
            <v>437914.87</v>
          </cell>
          <cell r="H9">
            <v>0</v>
          </cell>
          <cell r="I9">
            <v>437914.87</v>
          </cell>
          <cell r="J9">
            <v>0</v>
          </cell>
          <cell r="K9">
            <v>437914.87</v>
          </cell>
          <cell r="M9">
            <v>0</v>
          </cell>
        </row>
        <row r="10">
          <cell r="F10">
            <v>816090.12</v>
          </cell>
          <cell r="H10">
            <v>0</v>
          </cell>
          <cell r="I10">
            <v>816090.12</v>
          </cell>
          <cell r="J10">
            <v>0</v>
          </cell>
          <cell r="K10">
            <v>816090.12</v>
          </cell>
          <cell r="M10">
            <v>0</v>
          </cell>
        </row>
        <row r="11">
          <cell r="F11">
            <v>-1290993.2399999993</v>
          </cell>
          <cell r="H11">
            <v>0</v>
          </cell>
          <cell r="I11">
            <v>-1290993.2399999993</v>
          </cell>
          <cell r="J11">
            <v>0</v>
          </cell>
          <cell r="K11">
            <v>-1290993.2399999993</v>
          </cell>
          <cell r="M11">
            <v>1480338.43</v>
          </cell>
        </row>
        <row r="13">
          <cell r="F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30070.91</v>
          </cell>
        </row>
        <row r="14">
          <cell r="F14">
            <v>4583.4399999999996</v>
          </cell>
          <cell r="H14">
            <v>0</v>
          </cell>
          <cell r="I14">
            <v>4583.4399999999996</v>
          </cell>
          <cell r="J14">
            <v>0</v>
          </cell>
          <cell r="K14">
            <v>4583.4399999999996</v>
          </cell>
          <cell r="M14">
            <v>4583.4399999999996</v>
          </cell>
        </row>
        <row r="15">
          <cell r="F15">
            <v>20045.36</v>
          </cell>
          <cell r="H15">
            <v>0</v>
          </cell>
          <cell r="I15">
            <v>20045.36</v>
          </cell>
          <cell r="J15">
            <v>0</v>
          </cell>
          <cell r="K15">
            <v>20045.36</v>
          </cell>
          <cell r="M15">
            <v>20045.36</v>
          </cell>
        </row>
        <row r="16">
          <cell r="F16">
            <v>15193.26</v>
          </cell>
          <cell r="H16">
            <v>0</v>
          </cell>
          <cell r="I16">
            <v>15193.26</v>
          </cell>
          <cell r="J16">
            <v>0</v>
          </cell>
          <cell r="K16">
            <v>15193.26</v>
          </cell>
          <cell r="M16">
            <v>15193.26</v>
          </cell>
        </row>
        <row r="17">
          <cell r="F17">
            <v>37442.83</v>
          </cell>
          <cell r="H17">
            <v>0</v>
          </cell>
          <cell r="I17">
            <v>37442.83</v>
          </cell>
          <cell r="J17">
            <v>0</v>
          </cell>
          <cell r="K17">
            <v>37442.83</v>
          </cell>
          <cell r="M17">
            <v>37442.83</v>
          </cell>
        </row>
        <row r="18">
          <cell r="F18">
            <v>7023.25</v>
          </cell>
          <cell r="H18">
            <v>0</v>
          </cell>
          <cell r="I18">
            <v>7023.25</v>
          </cell>
          <cell r="J18">
            <v>0</v>
          </cell>
          <cell r="K18">
            <v>7023.25</v>
          </cell>
          <cell r="M18">
            <v>7023.25</v>
          </cell>
        </row>
        <row r="19">
          <cell r="F19">
            <v>13111.14</v>
          </cell>
          <cell r="H19">
            <v>787827.28</v>
          </cell>
          <cell r="I19">
            <v>800938.42</v>
          </cell>
          <cell r="J19">
            <v>0</v>
          </cell>
          <cell r="K19">
            <v>800938.42</v>
          </cell>
          <cell r="M19">
            <v>384836.44</v>
          </cell>
        </row>
        <row r="20">
          <cell r="F20">
            <v>1027256.59</v>
          </cell>
          <cell r="H20">
            <v>0</v>
          </cell>
          <cell r="I20">
            <v>1027256.59</v>
          </cell>
          <cell r="J20">
            <v>0</v>
          </cell>
          <cell r="K20">
            <v>1027256.59</v>
          </cell>
          <cell r="M20">
            <v>2663240.08</v>
          </cell>
        </row>
        <row r="21">
          <cell r="F21">
            <v>41811.81</v>
          </cell>
          <cell r="H21">
            <v>0</v>
          </cell>
          <cell r="I21">
            <v>41811.81</v>
          </cell>
          <cell r="J21">
            <v>0</v>
          </cell>
          <cell r="K21">
            <v>41811.81</v>
          </cell>
          <cell r="M21">
            <v>909742.38</v>
          </cell>
        </row>
        <row r="22">
          <cell r="F22">
            <v>-52188.12</v>
          </cell>
          <cell r="H22">
            <v>-37443</v>
          </cell>
          <cell r="I22">
            <v>-89631.12</v>
          </cell>
          <cell r="J22">
            <v>0</v>
          </cell>
          <cell r="K22">
            <v>-89631.12</v>
          </cell>
          <cell r="M22">
            <v>-76916.22</v>
          </cell>
        </row>
        <row r="23">
          <cell r="F23">
            <v>8121129.4500000002</v>
          </cell>
          <cell r="H23">
            <v>-4228108.2699999996</v>
          </cell>
          <cell r="I23">
            <v>3893021.18</v>
          </cell>
          <cell r="J23">
            <v>0</v>
          </cell>
          <cell r="K23">
            <v>3893021.18</v>
          </cell>
          <cell r="M23">
            <v>0</v>
          </cell>
        </row>
        <row r="24">
          <cell r="F24">
            <v>4340380.37</v>
          </cell>
          <cell r="H24">
            <v>-77665.179999999993</v>
          </cell>
          <cell r="I24">
            <v>4262715.1900000004</v>
          </cell>
          <cell r="J24">
            <v>0</v>
          </cell>
          <cell r="K24">
            <v>4262715.1900000004</v>
          </cell>
          <cell r="M24">
            <v>0</v>
          </cell>
        </row>
        <row r="25">
          <cell r="F25">
            <v>67018</v>
          </cell>
          <cell r="H25">
            <v>0</v>
          </cell>
          <cell r="I25">
            <v>67018</v>
          </cell>
          <cell r="J25">
            <v>0</v>
          </cell>
          <cell r="K25">
            <v>67018</v>
          </cell>
          <cell r="M25">
            <v>0</v>
          </cell>
        </row>
        <row r="26">
          <cell r="F26">
            <v>871269.69</v>
          </cell>
          <cell r="H26">
            <v>0</v>
          </cell>
          <cell r="I26">
            <v>871269.69</v>
          </cell>
          <cell r="J26">
            <v>0</v>
          </cell>
          <cell r="K26">
            <v>871269.69</v>
          </cell>
          <cell r="M26">
            <v>0</v>
          </cell>
        </row>
        <row r="27">
          <cell r="F27">
            <v>4419443.5</v>
          </cell>
          <cell r="H27">
            <v>0</v>
          </cell>
          <cell r="I27">
            <v>4419443.5</v>
          </cell>
          <cell r="J27">
            <v>0</v>
          </cell>
          <cell r="K27">
            <v>4419443.5</v>
          </cell>
          <cell r="M27">
            <v>0</v>
          </cell>
        </row>
        <row r="28">
          <cell r="F28">
            <v>-6660031.3899999997</v>
          </cell>
          <cell r="H28">
            <v>0</v>
          </cell>
          <cell r="I28">
            <v>-6660031.3899999997</v>
          </cell>
          <cell r="J28">
            <v>0</v>
          </cell>
          <cell r="K28">
            <v>-6660031.3899999997</v>
          </cell>
          <cell r="M28">
            <v>0</v>
          </cell>
        </row>
        <row r="29">
          <cell r="F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55798.559999999998</v>
          </cell>
        </row>
        <row r="30">
          <cell r="F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445432.77</v>
          </cell>
        </row>
        <row r="31">
          <cell r="F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23941.62</v>
          </cell>
        </row>
        <row r="32">
          <cell r="F32">
            <v>12273489.18</v>
          </cell>
          <cell r="H32">
            <v>-3555389.1699999995</v>
          </cell>
          <cell r="I32">
            <v>8718100.0100000016</v>
          </cell>
          <cell r="J32">
            <v>0</v>
          </cell>
          <cell r="K32">
            <v>8718100.0100000016</v>
          </cell>
          <cell r="M32">
            <v>4520434.6800000006</v>
          </cell>
        </row>
        <row r="34">
          <cell r="F34">
            <v>-110262.39999999999</v>
          </cell>
          <cell r="H34">
            <v>0</v>
          </cell>
          <cell r="I34">
            <v>-110262.39999999999</v>
          </cell>
          <cell r="J34">
            <v>0</v>
          </cell>
          <cell r="K34">
            <v>-110262.39999999999</v>
          </cell>
          <cell r="M34">
            <v>0</v>
          </cell>
        </row>
        <row r="35">
          <cell r="F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M35">
            <v>-164672.07999999999</v>
          </cell>
        </row>
        <row r="36">
          <cell r="F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M36">
            <v>-5607225.3099999996</v>
          </cell>
        </row>
        <row r="37">
          <cell r="F37">
            <v>49040.85</v>
          </cell>
          <cell r="H37">
            <v>-291116</v>
          </cell>
          <cell r="I37">
            <v>-242075.15</v>
          </cell>
          <cell r="J37">
            <v>0</v>
          </cell>
          <cell r="K37">
            <v>-242075.15</v>
          </cell>
          <cell r="M37">
            <v>0</v>
          </cell>
        </row>
        <row r="38">
          <cell r="F38">
            <v>5342.81</v>
          </cell>
          <cell r="H38">
            <v>-150791.82999999999</v>
          </cell>
          <cell r="I38">
            <v>-145449.01999999999</v>
          </cell>
          <cell r="J38">
            <v>0</v>
          </cell>
          <cell r="K38">
            <v>-145449.01999999999</v>
          </cell>
          <cell r="M38">
            <v>0</v>
          </cell>
        </row>
        <row r="39">
          <cell r="F39">
            <v>-135242.46</v>
          </cell>
          <cell r="H39">
            <v>-2700177.39</v>
          </cell>
          <cell r="I39">
            <v>-2835419.85</v>
          </cell>
          <cell r="J39">
            <v>0</v>
          </cell>
          <cell r="K39">
            <v>-2835419.85</v>
          </cell>
          <cell r="M39">
            <v>0</v>
          </cell>
        </row>
        <row r="40">
          <cell r="F40">
            <v>-191121.19999999998</v>
          </cell>
          <cell r="H40">
            <v>-3142085.22</v>
          </cell>
          <cell r="I40">
            <v>-3333206.42</v>
          </cell>
          <cell r="J40">
            <v>0</v>
          </cell>
          <cell r="K40">
            <v>-3333206.42</v>
          </cell>
          <cell r="M40">
            <v>-5771897.3899999997</v>
          </cell>
        </row>
        <row r="42">
          <cell r="F42">
            <v>220985322.03</v>
          </cell>
          <cell r="H42">
            <v>0</v>
          </cell>
          <cell r="I42">
            <v>220985322.03</v>
          </cell>
          <cell r="J42">
            <v>0</v>
          </cell>
          <cell r="K42">
            <v>220985322.03</v>
          </cell>
          <cell r="M42">
            <v>133071260.63</v>
          </cell>
        </row>
        <row r="43">
          <cell r="F43">
            <v>-36348967.299999997</v>
          </cell>
          <cell r="H43">
            <v>-46894969.759999998</v>
          </cell>
          <cell r="I43">
            <v>-83243937.060000002</v>
          </cell>
          <cell r="J43">
            <v>0</v>
          </cell>
          <cell r="K43">
            <v>-83243937.060000002</v>
          </cell>
          <cell r="M43">
            <v>0</v>
          </cell>
        </row>
        <row r="44">
          <cell r="F44">
            <v>184636354.73000002</v>
          </cell>
          <cell r="H44">
            <v>-46894969.759999998</v>
          </cell>
          <cell r="I44">
            <v>137741384.97</v>
          </cell>
          <cell r="J44">
            <v>0</v>
          </cell>
          <cell r="K44">
            <v>137741384.97</v>
          </cell>
          <cell r="M44">
            <v>133071260.63</v>
          </cell>
        </row>
        <row r="46">
          <cell r="F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M46">
            <v>3475147.96</v>
          </cell>
        </row>
        <row r="47">
          <cell r="F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M47">
            <v>0</v>
          </cell>
        </row>
        <row r="48">
          <cell r="F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M48">
            <v>0</v>
          </cell>
        </row>
        <row r="49">
          <cell r="F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M49">
            <v>0</v>
          </cell>
        </row>
        <row r="50">
          <cell r="F50">
            <v>3414335.67</v>
          </cell>
          <cell r="H50">
            <v>0</v>
          </cell>
          <cell r="I50">
            <v>3414335.67</v>
          </cell>
          <cell r="J50">
            <v>0</v>
          </cell>
          <cell r="K50">
            <v>3414335.67</v>
          </cell>
          <cell r="M50">
            <v>0</v>
          </cell>
        </row>
        <row r="51">
          <cell r="F51">
            <v>4388588.43</v>
          </cell>
          <cell r="H51">
            <v>0</v>
          </cell>
          <cell r="I51">
            <v>4388588.43</v>
          </cell>
          <cell r="J51">
            <v>0</v>
          </cell>
          <cell r="K51">
            <v>4388588.43</v>
          </cell>
          <cell r="M51">
            <v>0</v>
          </cell>
        </row>
        <row r="52">
          <cell r="F52">
            <v>-366522.97</v>
          </cell>
          <cell r="H52">
            <v>0</v>
          </cell>
          <cell r="I52">
            <v>-366522.97</v>
          </cell>
          <cell r="J52">
            <v>0</v>
          </cell>
          <cell r="K52">
            <v>-366522.97</v>
          </cell>
          <cell r="M52">
            <v>0</v>
          </cell>
        </row>
        <row r="53">
          <cell r="F53">
            <v>0</v>
          </cell>
          <cell r="H53">
            <v>-4388588</v>
          </cell>
          <cell r="I53">
            <v>-4388588</v>
          </cell>
          <cell r="J53">
            <v>0</v>
          </cell>
          <cell r="K53">
            <v>-4388588</v>
          </cell>
          <cell r="M53">
            <v>0</v>
          </cell>
        </row>
        <row r="54">
          <cell r="F54">
            <v>7436401.1299999999</v>
          </cell>
          <cell r="H54">
            <v>-4388588</v>
          </cell>
          <cell r="I54">
            <v>3047813.13</v>
          </cell>
          <cell r="J54">
            <v>0</v>
          </cell>
          <cell r="K54">
            <v>3047813.13</v>
          </cell>
          <cell r="M54">
            <v>3475147.96</v>
          </cell>
        </row>
        <row r="56">
          <cell r="F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M56">
            <v>788153.67</v>
          </cell>
        </row>
        <row r="57">
          <cell r="F57">
            <v>173450468.78</v>
          </cell>
          <cell r="H57">
            <v>0</v>
          </cell>
          <cell r="I57">
            <v>173450468.78</v>
          </cell>
          <cell r="J57">
            <v>0</v>
          </cell>
          <cell r="K57">
            <v>173450468.78</v>
          </cell>
          <cell r="M57">
            <v>0</v>
          </cell>
        </row>
        <row r="58">
          <cell r="F58">
            <v>-171340529.44999999</v>
          </cell>
          <cell r="H58">
            <v>0</v>
          </cell>
          <cell r="I58">
            <v>-171340529.44999999</v>
          </cell>
          <cell r="J58">
            <v>0</v>
          </cell>
          <cell r="K58">
            <v>-171340529.44999999</v>
          </cell>
          <cell r="M58">
            <v>0</v>
          </cell>
        </row>
        <row r="59">
          <cell r="F59">
            <v>24250</v>
          </cell>
          <cell r="H59">
            <v>0</v>
          </cell>
          <cell r="I59">
            <v>24250</v>
          </cell>
          <cell r="J59">
            <v>0</v>
          </cell>
          <cell r="K59">
            <v>24250</v>
          </cell>
          <cell r="M59">
            <v>0</v>
          </cell>
        </row>
        <row r="60">
          <cell r="F60">
            <v>-358340</v>
          </cell>
          <cell r="H60">
            <v>0</v>
          </cell>
          <cell r="I60">
            <v>-358340</v>
          </cell>
          <cell r="J60">
            <v>0</v>
          </cell>
          <cell r="K60">
            <v>-358340</v>
          </cell>
          <cell r="M60">
            <v>0</v>
          </cell>
        </row>
        <row r="61">
          <cell r="F61">
            <v>2563933.5499999998</v>
          </cell>
          <cell r="H61">
            <v>0</v>
          </cell>
          <cell r="I61">
            <v>2563933.5499999998</v>
          </cell>
          <cell r="J61">
            <v>0</v>
          </cell>
          <cell r="K61">
            <v>2563933.5499999998</v>
          </cell>
          <cell r="M61">
            <v>0</v>
          </cell>
        </row>
        <row r="62">
          <cell r="F62">
            <v>0</v>
          </cell>
          <cell r="H62">
            <v>-4339782.88</v>
          </cell>
          <cell r="I62">
            <v>-4339782.88</v>
          </cell>
          <cell r="J62">
            <v>0</v>
          </cell>
          <cell r="K62">
            <v>-4339782.88</v>
          </cell>
          <cell r="M62">
            <v>0</v>
          </cell>
        </row>
        <row r="63">
          <cell r="F63">
            <v>4339782.8800000129</v>
          </cell>
          <cell r="H63">
            <v>-4339782.88</v>
          </cell>
          <cell r="I63">
            <v>1.3038516044616699E-8</v>
          </cell>
          <cell r="J63">
            <v>0</v>
          </cell>
          <cell r="K63">
            <v>1.3038516044616699E-8</v>
          </cell>
          <cell r="M63">
            <v>788153.67</v>
          </cell>
        </row>
        <row r="65">
          <cell r="F65">
            <v>2235668.41</v>
          </cell>
          <cell r="H65">
            <v>0</v>
          </cell>
          <cell r="I65">
            <v>2235668.41</v>
          </cell>
          <cell r="J65">
            <v>0</v>
          </cell>
          <cell r="K65">
            <v>2235668.41</v>
          </cell>
          <cell r="M65">
            <v>2028000</v>
          </cell>
        </row>
        <row r="66">
          <cell r="F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M66">
            <v>595041.57999999996</v>
          </cell>
        </row>
        <row r="67">
          <cell r="F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M67">
            <v>387168.22</v>
          </cell>
        </row>
        <row r="68">
          <cell r="F68">
            <v>2502916.67</v>
          </cell>
          <cell r="H68">
            <v>0</v>
          </cell>
          <cell r="I68">
            <v>2502916.67</v>
          </cell>
          <cell r="J68">
            <v>0</v>
          </cell>
          <cell r="K68">
            <v>2502916.67</v>
          </cell>
          <cell r="M68">
            <v>4966416.67</v>
          </cell>
        </row>
        <row r="69">
          <cell r="F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M69">
            <v>0</v>
          </cell>
        </row>
        <row r="70">
          <cell r="F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M70">
            <v>0</v>
          </cell>
        </row>
        <row r="71">
          <cell r="F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M71">
            <v>403333.34</v>
          </cell>
        </row>
        <row r="72">
          <cell r="F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M72">
            <v>-0.02</v>
          </cell>
        </row>
        <row r="73">
          <cell r="F73">
            <v>11629128.789999999</v>
          </cell>
          <cell r="H73">
            <v>0</v>
          </cell>
          <cell r="I73">
            <v>11629128.789999999</v>
          </cell>
          <cell r="J73">
            <v>0</v>
          </cell>
          <cell r="K73">
            <v>11629128.789999999</v>
          </cell>
          <cell r="M73">
            <v>15804069.1</v>
          </cell>
        </row>
        <row r="74">
          <cell r="F74">
            <v>62313511.909999996</v>
          </cell>
          <cell r="H74">
            <v>-20316012.890000001</v>
          </cell>
          <cell r="I74">
            <v>41997499.020000003</v>
          </cell>
          <cell r="J74">
            <v>0</v>
          </cell>
          <cell r="K74">
            <v>41997499.020000003</v>
          </cell>
          <cell r="M74">
            <v>0</v>
          </cell>
        </row>
        <row r="75">
          <cell r="F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M75">
            <v>20322.810000000001</v>
          </cell>
        </row>
        <row r="76">
          <cell r="F76">
            <v>10231550.189999999</v>
          </cell>
          <cell r="H76">
            <v>-137238.09</v>
          </cell>
          <cell r="I76">
            <v>10094312.1</v>
          </cell>
          <cell r="J76">
            <v>0</v>
          </cell>
          <cell r="K76">
            <v>10094312.1</v>
          </cell>
          <cell r="M76">
            <v>3450858.6</v>
          </cell>
        </row>
        <row r="77">
          <cell r="F77">
            <v>-1030532.61</v>
          </cell>
          <cell r="H77">
            <v>0</v>
          </cell>
          <cell r="I77">
            <v>-1030532.61</v>
          </cell>
          <cell r="J77">
            <v>0</v>
          </cell>
          <cell r="K77">
            <v>-1030532.61</v>
          </cell>
          <cell r="M77">
            <v>-1030532.61</v>
          </cell>
        </row>
        <row r="78">
          <cell r="F78">
            <v>87882243.359999999</v>
          </cell>
          <cell r="H78">
            <v>-20453250.98</v>
          </cell>
          <cell r="I78">
            <v>67428992.379999995</v>
          </cell>
          <cell r="J78">
            <v>0</v>
          </cell>
          <cell r="K78">
            <v>67428992.379999995</v>
          </cell>
          <cell r="M78">
            <v>26624677.690000001</v>
          </cell>
        </row>
        <row r="80">
          <cell r="F80">
            <v>6472669.1100000003</v>
          </cell>
          <cell r="H80">
            <v>0</v>
          </cell>
          <cell r="I80">
            <v>6472669.1100000003</v>
          </cell>
          <cell r="J80">
            <v>0</v>
          </cell>
          <cell r="K80">
            <v>6472669.1100000003</v>
          </cell>
          <cell r="M80">
            <v>4218119.1100000003</v>
          </cell>
        </row>
        <row r="81">
          <cell r="F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M81">
            <v>152550</v>
          </cell>
        </row>
        <row r="82">
          <cell r="F82">
            <v>-1046405.09</v>
          </cell>
          <cell r="H82">
            <v>-574670.21</v>
          </cell>
          <cell r="I82">
            <v>-1621075.3</v>
          </cell>
          <cell r="J82">
            <v>0</v>
          </cell>
          <cell r="K82">
            <v>-1621075.3</v>
          </cell>
          <cell r="M82">
            <v>-888923.33</v>
          </cell>
        </row>
        <row r="83">
          <cell r="F83">
            <v>5426264.0200000005</v>
          </cell>
          <cell r="H83">
            <v>-574670.21</v>
          </cell>
          <cell r="I83">
            <v>4851593.8100000005</v>
          </cell>
          <cell r="J83">
            <v>0</v>
          </cell>
          <cell r="K83">
            <v>4851593.8100000005</v>
          </cell>
          <cell r="M83">
            <v>3481745.7800000003</v>
          </cell>
        </row>
        <row r="85">
          <cell r="F85">
            <v>83154062.629999995</v>
          </cell>
          <cell r="H85">
            <v>0</v>
          </cell>
          <cell r="I85">
            <v>83154062.629999995</v>
          </cell>
          <cell r="J85">
            <v>0</v>
          </cell>
          <cell r="K85">
            <v>83154062.629999995</v>
          </cell>
          <cell r="M85">
            <v>274171804</v>
          </cell>
        </row>
        <row r="86">
          <cell r="F86">
            <v>-38553485.700000003</v>
          </cell>
          <cell r="H86">
            <v>0</v>
          </cell>
          <cell r="I86">
            <v>-38553485.700000003</v>
          </cell>
          <cell r="J86">
            <v>0</v>
          </cell>
          <cell r="K86">
            <v>-38553485.700000003</v>
          </cell>
          <cell r="M86">
            <v>-148144192</v>
          </cell>
        </row>
        <row r="87">
          <cell r="F87">
            <v>44600576.929999992</v>
          </cell>
          <cell r="H87">
            <v>0</v>
          </cell>
          <cell r="I87">
            <v>44600576.929999992</v>
          </cell>
          <cell r="J87">
            <v>0</v>
          </cell>
          <cell r="K87">
            <v>44600576.929999992</v>
          </cell>
          <cell r="M87">
            <v>126027612</v>
          </cell>
        </row>
        <row r="89">
          <cell r="F89">
            <v>8813469.7100000009</v>
          </cell>
          <cell r="H89">
            <v>0</v>
          </cell>
          <cell r="I89">
            <v>8813469.7100000009</v>
          </cell>
          <cell r="J89">
            <v>0</v>
          </cell>
          <cell r="K89">
            <v>8813469.7100000009</v>
          </cell>
          <cell r="M89">
            <v>9336959.1600000001</v>
          </cell>
        </row>
        <row r="90">
          <cell r="F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M90">
            <v>129.55000000000001</v>
          </cell>
        </row>
        <row r="91">
          <cell r="F91">
            <v>-4804885.2</v>
          </cell>
          <cell r="H91">
            <v>-722807.59</v>
          </cell>
          <cell r="I91">
            <v>-5527692.79</v>
          </cell>
          <cell r="J91">
            <v>0</v>
          </cell>
          <cell r="K91">
            <v>-5527692.79</v>
          </cell>
          <cell r="M91">
            <v>-3788306</v>
          </cell>
        </row>
        <row r="92">
          <cell r="F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M92">
            <v>0</v>
          </cell>
        </row>
        <row r="93">
          <cell r="F93">
            <v>4008584.5100000007</v>
          </cell>
          <cell r="H93">
            <v>-722807.59</v>
          </cell>
          <cell r="I93">
            <v>3285776.9200000009</v>
          </cell>
          <cell r="J93">
            <v>0</v>
          </cell>
          <cell r="K93">
            <v>3285776.9200000009</v>
          </cell>
          <cell r="M93">
            <v>5548782.7100000009</v>
          </cell>
        </row>
        <row r="95">
          <cell r="F95">
            <v>0</v>
          </cell>
          <cell r="H95">
            <v>0</v>
          </cell>
          <cell r="I95">
            <v>0</v>
          </cell>
          <cell r="J95">
            <v>2956218</v>
          </cell>
          <cell r="K95">
            <v>2956218</v>
          </cell>
          <cell r="M95">
            <v>2093618.23</v>
          </cell>
        </row>
        <row r="96">
          <cell r="F96">
            <v>0</v>
          </cell>
          <cell r="H96">
            <v>-546505</v>
          </cell>
          <cell r="I96">
            <v>-546505</v>
          </cell>
          <cell r="J96">
            <v>-661050</v>
          </cell>
          <cell r="K96">
            <v>-1207555</v>
          </cell>
          <cell r="M96">
            <v>-661050</v>
          </cell>
        </row>
        <row r="97">
          <cell r="F97">
            <v>0</v>
          </cell>
          <cell r="H97">
            <v>-546505</v>
          </cell>
          <cell r="I97">
            <v>-546505</v>
          </cell>
          <cell r="J97">
            <v>2295168</v>
          </cell>
          <cell r="K97">
            <v>1748663</v>
          </cell>
          <cell r="M97">
            <v>1432568.23</v>
          </cell>
        </row>
        <row r="99">
          <cell r="F99">
            <v>5988526.2300000004</v>
          </cell>
          <cell r="H99">
            <v>0</v>
          </cell>
          <cell r="I99">
            <v>5988526.2300000004</v>
          </cell>
          <cell r="J99">
            <v>-2993174.8</v>
          </cell>
          <cell r="K99">
            <v>2995351.43</v>
          </cell>
          <cell r="M99">
            <v>2915321.25</v>
          </cell>
        </row>
        <row r="100">
          <cell r="F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M100">
            <v>53179.95</v>
          </cell>
        </row>
        <row r="101">
          <cell r="F101">
            <v>-1863349.64</v>
          </cell>
          <cell r="H101">
            <v>-234081.56</v>
          </cell>
          <cell r="I101">
            <v>-2097431.2000000002</v>
          </cell>
          <cell r="J101">
            <v>661050</v>
          </cell>
          <cell r="K101">
            <v>-1436381.2</v>
          </cell>
          <cell r="M101">
            <v>-823118.3</v>
          </cell>
        </row>
        <row r="102">
          <cell r="F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M102">
            <v>-25179.63</v>
          </cell>
        </row>
        <row r="103">
          <cell r="F103">
            <v>4125176.5900000008</v>
          </cell>
          <cell r="H103">
            <v>-234081.56</v>
          </cell>
          <cell r="I103">
            <v>3891095.0300000003</v>
          </cell>
          <cell r="J103">
            <v>-2332124.7999999998</v>
          </cell>
          <cell r="K103">
            <v>1558970.2300000002</v>
          </cell>
          <cell r="M103">
            <v>2120203.2700000005</v>
          </cell>
        </row>
        <row r="105">
          <cell r="F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M105">
            <v>0</v>
          </cell>
        </row>
        <row r="106">
          <cell r="F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M106">
            <v>0</v>
          </cell>
        </row>
        <row r="108">
          <cell r="F108">
            <v>-31642274.210000001</v>
          </cell>
          <cell r="H108">
            <v>0</v>
          </cell>
          <cell r="I108">
            <v>-31642274.210000001</v>
          </cell>
          <cell r="J108">
            <v>805995</v>
          </cell>
          <cell r="K108">
            <v>-30836279.210000001</v>
          </cell>
          <cell r="M108">
            <v>-34963742.710000001</v>
          </cell>
        </row>
        <row r="109">
          <cell r="F109">
            <v>-31642274.210000001</v>
          </cell>
          <cell r="H109">
            <v>0</v>
          </cell>
          <cell r="I109">
            <v>-31642274.210000001</v>
          </cell>
          <cell r="J109">
            <v>805995</v>
          </cell>
          <cell r="K109">
            <v>-30836279.210000001</v>
          </cell>
          <cell r="M109">
            <v>-34963742.710000001</v>
          </cell>
        </row>
        <row r="111">
          <cell r="F111">
            <v>-20628556.949999999</v>
          </cell>
          <cell r="H111">
            <v>0</v>
          </cell>
          <cell r="I111">
            <v>-20628556.949999999</v>
          </cell>
          <cell r="J111">
            <v>0</v>
          </cell>
          <cell r="K111">
            <v>-20628556.949999999</v>
          </cell>
          <cell r="M111">
            <v>-8086593.9500000002</v>
          </cell>
        </row>
        <row r="112">
          <cell r="F112">
            <v>47105.42</v>
          </cell>
          <cell r="H112">
            <v>-47105.42</v>
          </cell>
          <cell r="I112">
            <v>0</v>
          </cell>
          <cell r="J112">
            <v>0</v>
          </cell>
          <cell r="K112">
            <v>0</v>
          </cell>
          <cell r="M112">
            <v>-106845.02</v>
          </cell>
        </row>
        <row r="113">
          <cell r="F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M113">
            <v>-118066.76</v>
          </cell>
        </row>
        <row r="114">
          <cell r="F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M114">
            <v>-24930.01</v>
          </cell>
        </row>
        <row r="115">
          <cell r="F115">
            <v>6620453.3799999999</v>
          </cell>
          <cell r="H115">
            <v>-6620453.3799999999</v>
          </cell>
          <cell r="I115">
            <v>0</v>
          </cell>
          <cell r="J115">
            <v>0</v>
          </cell>
          <cell r="K115">
            <v>0</v>
          </cell>
          <cell r="M115">
            <v>-3733596.56</v>
          </cell>
        </row>
        <row r="116">
          <cell r="F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M116">
            <v>-715542.09</v>
          </cell>
        </row>
        <row r="117">
          <cell r="F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M117">
            <v>-1218082.01</v>
          </cell>
        </row>
        <row r="118">
          <cell r="F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M118">
            <v>-149005.29999999999</v>
          </cell>
        </row>
        <row r="119">
          <cell r="F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M119">
            <v>-968017.33</v>
          </cell>
        </row>
        <row r="120">
          <cell r="F120">
            <v>-5720722.8600000003</v>
          </cell>
          <cell r="H120">
            <v>0</v>
          </cell>
          <cell r="I120">
            <v>-5720722.8600000003</v>
          </cell>
          <cell r="J120">
            <v>0</v>
          </cell>
          <cell r="K120">
            <v>-5720722.8600000003</v>
          </cell>
          <cell r="M120">
            <v>0</v>
          </cell>
        </row>
        <row r="121">
          <cell r="F121">
            <v>-200603</v>
          </cell>
          <cell r="H121">
            <v>0</v>
          </cell>
          <cell r="I121">
            <v>-200603</v>
          </cell>
          <cell r="J121">
            <v>0</v>
          </cell>
          <cell r="K121">
            <v>-200603</v>
          </cell>
          <cell r="M121">
            <v>0</v>
          </cell>
        </row>
        <row r="122">
          <cell r="F122">
            <v>-3075979.64</v>
          </cell>
          <cell r="H122">
            <v>0</v>
          </cell>
          <cell r="I122">
            <v>-3075979.64</v>
          </cell>
          <cell r="J122">
            <v>0</v>
          </cell>
          <cell r="K122">
            <v>-3075979.64</v>
          </cell>
          <cell r="M122">
            <v>0</v>
          </cell>
        </row>
        <row r="123">
          <cell r="F123">
            <v>-1400000</v>
          </cell>
          <cell r="H123">
            <v>0</v>
          </cell>
          <cell r="I123">
            <v>-1400000</v>
          </cell>
          <cell r="J123">
            <v>0</v>
          </cell>
          <cell r="K123">
            <v>-1400000</v>
          </cell>
          <cell r="M123">
            <v>0</v>
          </cell>
        </row>
        <row r="124">
          <cell r="F124">
            <v>-308839.28000000003</v>
          </cell>
          <cell r="H124">
            <v>0</v>
          </cell>
          <cell r="I124">
            <v>-308839.28000000003</v>
          </cell>
          <cell r="J124">
            <v>0</v>
          </cell>
          <cell r="K124">
            <v>-308839.28000000003</v>
          </cell>
          <cell r="M124">
            <v>0</v>
          </cell>
        </row>
        <row r="125">
          <cell r="F125">
            <v>-24667142.93</v>
          </cell>
          <cell r="H125">
            <v>-6667558.7999999998</v>
          </cell>
          <cell r="I125">
            <v>-31334701.73</v>
          </cell>
          <cell r="J125">
            <v>0</v>
          </cell>
          <cell r="K125">
            <v>-31334701.73</v>
          </cell>
          <cell r="M125">
            <v>-15120679.029999999</v>
          </cell>
        </row>
        <row r="127">
          <cell r="F127">
            <v>-18902488.809999999</v>
          </cell>
          <cell r="H127">
            <v>0</v>
          </cell>
          <cell r="I127">
            <v>-18902488.809999999</v>
          </cell>
          <cell r="J127">
            <v>0</v>
          </cell>
          <cell r="K127">
            <v>-18902488.809999999</v>
          </cell>
          <cell r="M127">
            <v>-4952562.58</v>
          </cell>
        </row>
        <row r="128">
          <cell r="F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M128">
            <v>-940471.24</v>
          </cell>
        </row>
        <row r="129">
          <cell r="F129">
            <v>-4038011.81</v>
          </cell>
          <cell r="H129">
            <v>0</v>
          </cell>
          <cell r="I129">
            <v>-4038011.81</v>
          </cell>
          <cell r="J129">
            <v>0</v>
          </cell>
          <cell r="K129">
            <v>-4038011.81</v>
          </cell>
          <cell r="M129">
            <v>-3592360.72</v>
          </cell>
        </row>
        <row r="130">
          <cell r="F130">
            <v>1466164.53</v>
          </cell>
          <cell r="H130">
            <v>0</v>
          </cell>
          <cell r="I130">
            <v>1466164.53</v>
          </cell>
          <cell r="J130">
            <v>0</v>
          </cell>
          <cell r="K130">
            <v>1466164.53</v>
          </cell>
          <cell r="M130">
            <v>0</v>
          </cell>
        </row>
        <row r="131">
          <cell r="F131">
            <v>-573769.77</v>
          </cell>
          <cell r="H131">
            <v>0</v>
          </cell>
          <cell r="I131">
            <v>-573769.77</v>
          </cell>
          <cell r="J131">
            <v>0</v>
          </cell>
          <cell r="K131">
            <v>-573769.77</v>
          </cell>
          <cell r="M131">
            <v>0</v>
          </cell>
        </row>
        <row r="132">
          <cell r="F132">
            <v>-5.05</v>
          </cell>
          <cell r="H132">
            <v>5.05</v>
          </cell>
          <cell r="I132">
            <v>0</v>
          </cell>
          <cell r="J132">
            <v>0</v>
          </cell>
          <cell r="K132">
            <v>0</v>
          </cell>
          <cell r="M132">
            <v>0</v>
          </cell>
        </row>
        <row r="133">
          <cell r="F133">
            <v>-22048110.909999996</v>
          </cell>
          <cell r="H133">
            <v>5.05</v>
          </cell>
          <cell r="I133">
            <v>-22048105.859999996</v>
          </cell>
          <cell r="J133">
            <v>0</v>
          </cell>
          <cell r="K133">
            <v>-22048105.859999996</v>
          </cell>
          <cell r="M133">
            <v>-9485394.540000001</v>
          </cell>
        </row>
        <row r="135">
          <cell r="F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M135">
            <v>-901435.23</v>
          </cell>
        </row>
        <row r="136">
          <cell r="F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M136">
            <v>-901435.23</v>
          </cell>
        </row>
        <row r="138">
          <cell r="F138">
            <v>-25693133.649999999</v>
          </cell>
          <cell r="H138">
            <v>-5930318.5</v>
          </cell>
          <cell r="I138">
            <v>-31623452.149999999</v>
          </cell>
          <cell r="J138">
            <v>0</v>
          </cell>
          <cell r="K138">
            <v>-31623452.149999999</v>
          </cell>
          <cell r="M138">
            <v>-16356721.07</v>
          </cell>
        </row>
        <row r="139">
          <cell r="F139">
            <v>-25693133.649999999</v>
          </cell>
          <cell r="H139">
            <v>-5930318.5</v>
          </cell>
          <cell r="I139">
            <v>-31623452.149999999</v>
          </cell>
          <cell r="J139">
            <v>0</v>
          </cell>
          <cell r="K139">
            <v>-31623452.149999999</v>
          </cell>
          <cell r="M139">
            <v>-16356721.07</v>
          </cell>
        </row>
        <row r="141">
          <cell r="F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M141">
            <v>-50480.480000000003</v>
          </cell>
        </row>
        <row r="142">
          <cell r="F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0</v>
          </cell>
          <cell r="M142">
            <v>-65555.62</v>
          </cell>
        </row>
        <row r="143">
          <cell r="F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M143">
            <v>-116036.1</v>
          </cell>
        </row>
        <row r="145">
          <cell r="F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M145">
            <v>0</v>
          </cell>
        </row>
        <row r="147">
          <cell r="F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M147">
            <v>0</v>
          </cell>
        </row>
        <row r="149">
          <cell r="F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M149">
            <v>0</v>
          </cell>
        </row>
        <row r="151">
          <cell r="F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M151">
            <v>0</v>
          </cell>
        </row>
        <row r="152">
          <cell r="F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M152">
            <v>0</v>
          </cell>
        </row>
        <row r="154">
          <cell r="F154">
            <v>-8727898.9600000009</v>
          </cell>
          <cell r="H154">
            <v>81443.199999999997</v>
          </cell>
          <cell r="I154">
            <v>-8646455.7599999998</v>
          </cell>
          <cell r="J154">
            <v>0</v>
          </cell>
          <cell r="K154">
            <v>-8646455.7599999998</v>
          </cell>
          <cell r="M154">
            <v>-7490000</v>
          </cell>
        </row>
        <row r="155">
          <cell r="F155">
            <v>-49472304.369999997</v>
          </cell>
          <cell r="H155">
            <v>-891274.46</v>
          </cell>
          <cell r="I155">
            <v>-50363578.829999998</v>
          </cell>
          <cell r="J155">
            <v>0</v>
          </cell>
          <cell r="K155">
            <v>-50363578.829999998</v>
          </cell>
          <cell r="M155">
            <v>-43804065</v>
          </cell>
        </row>
        <row r="156">
          <cell r="F156">
            <v>-58200203.329999998</v>
          </cell>
          <cell r="H156">
            <v>-809831.26</v>
          </cell>
          <cell r="I156">
            <v>-59010034.589999996</v>
          </cell>
          <cell r="J156">
            <v>0</v>
          </cell>
          <cell r="K156">
            <v>-59010034.589999996</v>
          </cell>
          <cell r="M156">
            <v>-51294065</v>
          </cell>
        </row>
        <row r="158">
          <cell r="F158">
            <v>25045663.989999998</v>
          </cell>
          <cell r="H158">
            <v>0</v>
          </cell>
          <cell r="I158">
            <v>25045663.989999998</v>
          </cell>
          <cell r="J158">
            <v>-805995</v>
          </cell>
          <cell r="K158">
            <v>24239668.989999998</v>
          </cell>
          <cell r="M158">
            <v>171515074.30000001</v>
          </cell>
        </row>
        <row r="159">
          <cell r="F159">
            <v>128125820.12</v>
          </cell>
          <cell r="H159">
            <v>0</v>
          </cell>
          <cell r="I159">
            <v>128125820.12</v>
          </cell>
          <cell r="J159">
            <v>0</v>
          </cell>
          <cell r="K159">
            <v>128125820.12</v>
          </cell>
          <cell r="M159">
            <v>-4205437.79</v>
          </cell>
        </row>
        <row r="160">
          <cell r="F160">
            <v>153171484.11000001</v>
          </cell>
          <cell r="H160">
            <v>0</v>
          </cell>
          <cell r="I160">
            <v>153171484.11000001</v>
          </cell>
          <cell r="J160">
            <v>-805995</v>
          </cell>
          <cell r="K160">
            <v>152365489.11000001</v>
          </cell>
          <cell r="M160">
            <v>167309636.51000002</v>
          </cell>
        </row>
        <row r="162">
          <cell r="F162">
            <v>-22200000</v>
          </cell>
          <cell r="H162">
            <v>0</v>
          </cell>
          <cell r="I162">
            <v>-22200000</v>
          </cell>
          <cell r="J162">
            <v>0</v>
          </cell>
          <cell r="K162">
            <v>-22200000</v>
          </cell>
          <cell r="M162">
            <v>0</v>
          </cell>
        </row>
        <row r="163">
          <cell r="F163">
            <v>-22200000</v>
          </cell>
          <cell r="H163">
            <v>0</v>
          </cell>
          <cell r="I163">
            <v>-22200000</v>
          </cell>
          <cell r="J163">
            <v>0</v>
          </cell>
          <cell r="K163">
            <v>-22200000</v>
          </cell>
          <cell r="M163">
            <v>0</v>
          </cell>
        </row>
        <row r="165">
          <cell r="F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M165">
            <v>-23160.12</v>
          </cell>
        </row>
        <row r="166">
          <cell r="F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M166">
            <v>4607.2</v>
          </cell>
        </row>
        <row r="167">
          <cell r="F167">
            <v>-25067055.66</v>
          </cell>
          <cell r="H167">
            <v>-6896854.0800000001</v>
          </cell>
          <cell r="I167">
            <v>-31963909.739999998</v>
          </cell>
          <cell r="J167">
            <v>0</v>
          </cell>
          <cell r="K167">
            <v>-31963909.739999998</v>
          </cell>
          <cell r="M167">
            <v>-44176168.009999998</v>
          </cell>
        </row>
        <row r="168">
          <cell r="F168">
            <v>11903.75</v>
          </cell>
          <cell r="H168">
            <v>-11903.75</v>
          </cell>
          <cell r="I168">
            <v>0</v>
          </cell>
          <cell r="J168">
            <v>0</v>
          </cell>
          <cell r="K168">
            <v>0</v>
          </cell>
          <cell r="M168">
            <v>0</v>
          </cell>
        </row>
        <row r="169">
          <cell r="F169">
            <v>-25055151.91</v>
          </cell>
          <cell r="H169">
            <v>-6908757.8300000001</v>
          </cell>
          <cell r="I169">
            <v>-31963909.739999998</v>
          </cell>
          <cell r="J169">
            <v>0</v>
          </cell>
          <cell r="K169">
            <v>-31963909.739999998</v>
          </cell>
          <cell r="M169">
            <v>-44194720.93</v>
          </cell>
        </row>
        <row r="171">
          <cell r="F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M171">
            <v>0</v>
          </cell>
        </row>
        <row r="173">
          <cell r="F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M173">
            <v>0</v>
          </cell>
        </row>
        <row r="175">
          <cell r="F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M175">
            <v>0</v>
          </cell>
        </row>
        <row r="177">
          <cell r="F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M177">
            <v>0</v>
          </cell>
        </row>
        <row r="179">
          <cell r="F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M179">
            <v>0</v>
          </cell>
        </row>
        <row r="181">
          <cell r="F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M181">
            <v>0</v>
          </cell>
        </row>
        <row r="183">
          <cell r="F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M183">
            <v>0</v>
          </cell>
        </row>
        <row r="185">
          <cell r="F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M185">
            <v>0</v>
          </cell>
        </row>
        <row r="187">
          <cell r="F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M187">
            <v>-13779844.460000001</v>
          </cell>
        </row>
        <row r="188">
          <cell r="F188">
            <v>-6766111.8499999996</v>
          </cell>
          <cell r="H188">
            <v>0</v>
          </cell>
          <cell r="I188">
            <v>-6766111.8499999996</v>
          </cell>
          <cell r="J188">
            <v>0</v>
          </cell>
          <cell r="K188">
            <v>-6766111.8499999996</v>
          </cell>
          <cell r="M188">
            <v>-1557517.03</v>
          </cell>
        </row>
        <row r="189">
          <cell r="F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M189">
            <v>-24166494.719999999</v>
          </cell>
        </row>
        <row r="190">
          <cell r="F190">
            <v>-16732637.300000001</v>
          </cell>
          <cell r="H190">
            <v>0</v>
          </cell>
          <cell r="I190">
            <v>-16732637.300000001</v>
          </cell>
          <cell r="J190">
            <v>0</v>
          </cell>
          <cell r="K190">
            <v>-16732637.300000001</v>
          </cell>
          <cell r="M190">
            <v>-2605724.96</v>
          </cell>
        </row>
        <row r="191">
          <cell r="F191">
            <v>-6873185.4100000001</v>
          </cell>
          <cell r="H191">
            <v>0</v>
          </cell>
          <cell r="I191">
            <v>-6873185.4100000001</v>
          </cell>
          <cell r="J191">
            <v>0</v>
          </cell>
          <cell r="K191">
            <v>-6873185.4100000001</v>
          </cell>
          <cell r="M191">
            <v>-23660126.219999999</v>
          </cell>
        </row>
        <row r="192">
          <cell r="F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M192">
            <v>-3703329.9</v>
          </cell>
        </row>
        <row r="193">
          <cell r="F193">
            <v>-12370875.369999999</v>
          </cell>
          <cell r="H193">
            <v>0</v>
          </cell>
          <cell r="I193">
            <v>-12370875.369999999</v>
          </cell>
          <cell r="J193">
            <v>0</v>
          </cell>
          <cell r="K193">
            <v>-12370875.369999999</v>
          </cell>
          <cell r="M193">
            <v>-9773243.1500000004</v>
          </cell>
        </row>
        <row r="194">
          <cell r="F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M194">
            <v>-1972886.29</v>
          </cell>
        </row>
        <row r="195">
          <cell r="F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M195">
            <v>-11417958.439999999</v>
          </cell>
        </row>
        <row r="196">
          <cell r="F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M196">
            <v>-2448999.94</v>
          </cell>
        </row>
        <row r="197">
          <cell r="F197">
            <v>-1760510.79</v>
          </cell>
          <cell r="H197">
            <v>0</v>
          </cell>
          <cell r="I197">
            <v>-1760510.79</v>
          </cell>
          <cell r="J197">
            <v>0</v>
          </cell>
          <cell r="K197">
            <v>-1760510.79</v>
          </cell>
          <cell r="M197">
            <v>-3971578.97</v>
          </cell>
        </row>
        <row r="198">
          <cell r="F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M198">
            <v>-831857.85</v>
          </cell>
        </row>
        <row r="199">
          <cell r="F199">
            <v>-6639946.0599999996</v>
          </cell>
          <cell r="H199">
            <v>0</v>
          </cell>
          <cell r="I199">
            <v>-6639946.0599999996</v>
          </cell>
          <cell r="J199">
            <v>0</v>
          </cell>
          <cell r="K199">
            <v>-6639946.0599999996</v>
          </cell>
          <cell r="M199">
            <v>-14316028.359999999</v>
          </cell>
        </row>
        <row r="200">
          <cell r="F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M200">
            <v>-2889919.55</v>
          </cell>
        </row>
        <row r="201">
          <cell r="F201">
            <v>-3227660.96</v>
          </cell>
          <cell r="H201">
            <v>0</v>
          </cell>
          <cell r="I201">
            <v>-3227660.96</v>
          </cell>
          <cell r="J201">
            <v>0</v>
          </cell>
          <cell r="K201">
            <v>-3227660.96</v>
          </cell>
          <cell r="M201">
            <v>-4103253.4</v>
          </cell>
        </row>
        <row r="202">
          <cell r="F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M202">
            <v>-828307.72</v>
          </cell>
        </row>
        <row r="203">
          <cell r="F203">
            <v>-8360223.3499999996</v>
          </cell>
          <cell r="H203">
            <v>0</v>
          </cell>
          <cell r="I203">
            <v>-8360223.3499999996</v>
          </cell>
          <cell r="J203">
            <v>0</v>
          </cell>
          <cell r="K203">
            <v>-8360223.3499999996</v>
          </cell>
          <cell r="M203">
            <v>-10001769.17</v>
          </cell>
        </row>
        <row r="204">
          <cell r="F204">
            <v>-19043598.210000001</v>
          </cell>
          <cell r="H204">
            <v>0</v>
          </cell>
          <cell r="I204">
            <v>-19043598.210000001</v>
          </cell>
          <cell r="J204">
            <v>0</v>
          </cell>
          <cell r="K204">
            <v>-19043598.210000001</v>
          </cell>
          <cell r="M204">
            <v>-7467388.4699999997</v>
          </cell>
        </row>
        <row r="205">
          <cell r="F205">
            <v>-81774749.300000012</v>
          </cell>
          <cell r="H205">
            <v>0</v>
          </cell>
          <cell r="I205">
            <v>-81774749.300000012</v>
          </cell>
          <cell r="J205">
            <v>0</v>
          </cell>
          <cell r="K205">
            <v>-81774749.300000012</v>
          </cell>
          <cell r="M205">
            <v>-139496228.60000002</v>
          </cell>
        </row>
        <row r="207">
          <cell r="F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M207">
            <v>0</v>
          </cell>
        </row>
        <row r="209">
          <cell r="F209">
            <v>-20000000</v>
          </cell>
          <cell r="H209">
            <v>0</v>
          </cell>
          <cell r="I209">
            <v>-20000000</v>
          </cell>
          <cell r="J209">
            <v>0</v>
          </cell>
          <cell r="K209">
            <v>-20000000</v>
          </cell>
          <cell r="M209">
            <v>-20000000</v>
          </cell>
        </row>
        <row r="210">
          <cell r="F210">
            <v>30.22</v>
          </cell>
          <cell r="H210">
            <v>-30.22</v>
          </cell>
          <cell r="I210">
            <v>0</v>
          </cell>
          <cell r="J210">
            <v>0</v>
          </cell>
          <cell r="K210">
            <v>0</v>
          </cell>
          <cell r="M210">
            <v>0</v>
          </cell>
        </row>
        <row r="211">
          <cell r="F211">
            <v>-19999969.780000001</v>
          </cell>
          <cell r="H211">
            <v>-30.22</v>
          </cell>
          <cell r="I211">
            <v>-20000000</v>
          </cell>
          <cell r="J211">
            <v>0</v>
          </cell>
          <cell r="K211">
            <v>-20000000</v>
          </cell>
          <cell r="M211">
            <v>-20000000</v>
          </cell>
        </row>
        <row r="213">
          <cell r="F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M213">
            <v>0</v>
          </cell>
        </row>
        <row r="215">
          <cell r="F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M215">
            <v>0</v>
          </cell>
        </row>
        <row r="217">
          <cell r="F217">
            <v>-207000000</v>
          </cell>
          <cell r="H217">
            <v>0</v>
          </cell>
          <cell r="I217">
            <v>-207000000</v>
          </cell>
          <cell r="J217">
            <v>0</v>
          </cell>
          <cell r="K217">
            <v>-207000000</v>
          </cell>
          <cell r="M217">
            <v>-207000000</v>
          </cell>
        </row>
        <row r="218">
          <cell r="F218">
            <v>-207000000</v>
          </cell>
          <cell r="H218">
            <v>0</v>
          </cell>
          <cell r="I218">
            <v>-207000000</v>
          </cell>
          <cell r="J218">
            <v>0</v>
          </cell>
          <cell r="K218">
            <v>-207000000</v>
          </cell>
          <cell r="M218">
            <v>-207000000</v>
          </cell>
        </row>
        <row r="220">
          <cell r="F220">
            <v>68962345.599999994</v>
          </cell>
          <cell r="H220">
            <v>0</v>
          </cell>
          <cell r="I220">
            <v>68962345.599999994</v>
          </cell>
          <cell r="J220">
            <v>0</v>
          </cell>
          <cell r="K220">
            <v>68962345.599999994</v>
          </cell>
          <cell r="M220">
            <v>0</v>
          </cell>
        </row>
        <row r="221">
          <cell r="F221">
            <v>-142051.56</v>
          </cell>
          <cell r="H221">
            <v>0</v>
          </cell>
          <cell r="I221">
            <v>-142051.56</v>
          </cell>
          <cell r="J221">
            <v>0</v>
          </cell>
          <cell r="K221">
            <v>-142051.56</v>
          </cell>
          <cell r="M221">
            <v>0</v>
          </cell>
        </row>
        <row r="222">
          <cell r="F222">
            <v>68820294.039999992</v>
          </cell>
          <cell r="H222">
            <v>0</v>
          </cell>
          <cell r="I222">
            <v>68820294.039999992</v>
          </cell>
          <cell r="J222">
            <v>0</v>
          </cell>
          <cell r="K222">
            <v>68820294.039999992</v>
          </cell>
          <cell r="M222">
            <v>0</v>
          </cell>
        </row>
        <row r="224">
          <cell r="F224">
            <v>0</v>
          </cell>
          <cell r="H224">
            <v>-47151385.920000002</v>
          </cell>
          <cell r="I224">
            <v>-47151385.920000002</v>
          </cell>
          <cell r="J224">
            <v>0</v>
          </cell>
          <cell r="K224">
            <v>-47151385.920000002</v>
          </cell>
          <cell r="M224">
            <v>0</v>
          </cell>
        </row>
        <row r="225">
          <cell r="F225">
            <v>0</v>
          </cell>
          <cell r="H225">
            <v>-47151385.920000002</v>
          </cell>
          <cell r="I225">
            <v>-47151385.920000002</v>
          </cell>
          <cell r="J225">
            <v>0</v>
          </cell>
          <cell r="K225">
            <v>-47151385.920000002</v>
          </cell>
          <cell r="M225">
            <v>0</v>
          </cell>
        </row>
        <row r="227">
          <cell r="F227">
            <v>142051.56</v>
          </cell>
          <cell r="H227">
            <v>-142052</v>
          </cell>
          <cell r="I227">
            <v>-0.44</v>
          </cell>
          <cell r="J227">
            <v>0</v>
          </cell>
          <cell r="K227">
            <v>-0.44</v>
          </cell>
          <cell r="M227">
            <v>-142051.56</v>
          </cell>
        </row>
        <row r="228">
          <cell r="F228">
            <v>-22702308</v>
          </cell>
          <cell r="H228">
            <v>0</v>
          </cell>
          <cell r="I228">
            <v>-22702308</v>
          </cell>
          <cell r="J228">
            <v>0</v>
          </cell>
          <cell r="K228">
            <v>-22702308</v>
          </cell>
          <cell r="M228">
            <v>0</v>
          </cell>
        </row>
        <row r="229">
          <cell r="F229">
            <v>-61509084.710000001</v>
          </cell>
          <cell r="H229">
            <v>0</v>
          </cell>
          <cell r="I229">
            <v>-61509084.710000001</v>
          </cell>
          <cell r="J229">
            <v>0</v>
          </cell>
          <cell r="K229">
            <v>-61509084.710000001</v>
          </cell>
          <cell r="M229">
            <v>0</v>
          </cell>
        </row>
        <row r="230">
          <cell r="F230">
            <v>-385004490.89999998</v>
          </cell>
          <cell r="H230">
            <v>0</v>
          </cell>
          <cell r="I230">
            <v>-385004490.89999998</v>
          </cell>
          <cell r="J230">
            <v>0</v>
          </cell>
          <cell r="K230">
            <v>-385004490.89999998</v>
          </cell>
          <cell r="M230">
            <v>-690878662.38999999</v>
          </cell>
        </row>
        <row r="231">
          <cell r="F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M231">
            <v>-41216134.359999999</v>
          </cell>
        </row>
        <row r="232">
          <cell r="F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M232">
            <v>-581049</v>
          </cell>
        </row>
        <row r="233">
          <cell r="F233">
            <v>-34326418.729999997</v>
          </cell>
          <cell r="H233">
            <v>67467398.810000002</v>
          </cell>
          <cell r="I233">
            <v>33140980.079999998</v>
          </cell>
          <cell r="J233">
            <v>0</v>
          </cell>
          <cell r="K233">
            <v>33140980.079999998</v>
          </cell>
          <cell r="M233">
            <v>-4000</v>
          </cell>
        </row>
        <row r="234">
          <cell r="F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M234">
            <v>3885740.9</v>
          </cell>
        </row>
        <row r="235">
          <cell r="F235">
            <v>-503400250.77999997</v>
          </cell>
          <cell r="H235">
            <v>67325346.810000002</v>
          </cell>
          <cell r="I235">
            <v>-436074903.96999997</v>
          </cell>
          <cell r="J235">
            <v>0</v>
          </cell>
          <cell r="K235">
            <v>-436074903.96999997</v>
          </cell>
          <cell r="M235">
            <v>-728936156.40999997</v>
          </cell>
        </row>
        <row r="237">
          <cell r="F237">
            <v>27050572.800000001</v>
          </cell>
          <cell r="H237">
            <v>0</v>
          </cell>
          <cell r="I237">
            <v>27050572.800000001</v>
          </cell>
          <cell r="J237">
            <v>0</v>
          </cell>
          <cell r="K237">
            <v>27050572.800000001</v>
          </cell>
          <cell r="M237">
            <v>0</v>
          </cell>
        </row>
        <row r="238">
          <cell r="F238">
            <v>186365477.12</v>
          </cell>
          <cell r="H238">
            <v>28797.96</v>
          </cell>
          <cell r="I238">
            <v>186394275.08000001</v>
          </cell>
          <cell r="J238">
            <v>0</v>
          </cell>
          <cell r="K238">
            <v>186394275.08000001</v>
          </cell>
          <cell r="M238">
            <v>0</v>
          </cell>
        </row>
        <row r="239">
          <cell r="F239">
            <v>-14257490.449999999</v>
          </cell>
          <cell r="H239">
            <v>0</v>
          </cell>
          <cell r="I239">
            <v>-14257490.449999999</v>
          </cell>
          <cell r="J239">
            <v>0</v>
          </cell>
          <cell r="K239">
            <v>-14257490.449999999</v>
          </cell>
          <cell r="M239">
            <v>0</v>
          </cell>
        </row>
        <row r="240">
          <cell r="F240">
            <v>4418751.7699999996</v>
          </cell>
          <cell r="H240">
            <v>0</v>
          </cell>
          <cell r="I240">
            <v>4418751.7699999996</v>
          </cell>
          <cell r="J240">
            <v>0</v>
          </cell>
          <cell r="K240">
            <v>4418751.7699999996</v>
          </cell>
          <cell r="M240">
            <v>7872585.75</v>
          </cell>
        </row>
        <row r="241">
          <cell r="F241">
            <v>203577311.24000004</v>
          </cell>
          <cell r="H241">
            <v>28797.96</v>
          </cell>
          <cell r="I241">
            <v>203606109.20000005</v>
          </cell>
          <cell r="J241">
            <v>0</v>
          </cell>
          <cell r="K241">
            <v>203606109.20000005</v>
          </cell>
          <cell r="M241">
            <v>7872585.75</v>
          </cell>
        </row>
        <row r="243">
          <cell r="F243">
            <v>5990818.2300000004</v>
          </cell>
          <cell r="H243">
            <v>1343278</v>
          </cell>
          <cell r="I243">
            <v>7334096.2300000004</v>
          </cell>
          <cell r="J243">
            <v>0</v>
          </cell>
          <cell r="K243">
            <v>7334096.2300000004</v>
          </cell>
          <cell r="M243">
            <v>0</v>
          </cell>
        </row>
        <row r="244">
          <cell r="F244">
            <v>4963149.05</v>
          </cell>
          <cell r="H244">
            <v>74500</v>
          </cell>
          <cell r="I244">
            <v>5037649.05</v>
          </cell>
          <cell r="J244">
            <v>0</v>
          </cell>
          <cell r="K244">
            <v>5037649.05</v>
          </cell>
          <cell r="M244">
            <v>0</v>
          </cell>
        </row>
        <row r="245">
          <cell r="F245">
            <v>3882656.13</v>
          </cell>
          <cell r="H245">
            <v>0</v>
          </cell>
          <cell r="I245">
            <v>3882656.13</v>
          </cell>
          <cell r="J245">
            <v>0</v>
          </cell>
          <cell r="K245">
            <v>3882656.13</v>
          </cell>
          <cell r="M245">
            <v>0</v>
          </cell>
        </row>
        <row r="246">
          <cell r="F246">
            <v>435000</v>
          </cell>
          <cell r="H246">
            <v>0</v>
          </cell>
          <cell r="I246">
            <v>435000</v>
          </cell>
          <cell r="J246">
            <v>0</v>
          </cell>
          <cell r="K246">
            <v>435000</v>
          </cell>
          <cell r="M246">
            <v>0</v>
          </cell>
        </row>
        <row r="247">
          <cell r="F247">
            <v>0</v>
          </cell>
          <cell r="H247">
            <v>4388588</v>
          </cell>
          <cell r="I247">
            <v>4388588</v>
          </cell>
          <cell r="J247">
            <v>0</v>
          </cell>
          <cell r="K247">
            <v>4388588</v>
          </cell>
          <cell r="M247">
            <v>0</v>
          </cell>
        </row>
        <row r="248">
          <cell r="F248">
            <v>-25000</v>
          </cell>
          <cell r="H248">
            <v>0</v>
          </cell>
          <cell r="I248">
            <v>-25000</v>
          </cell>
          <cell r="J248">
            <v>0</v>
          </cell>
          <cell r="K248">
            <v>-25000</v>
          </cell>
          <cell r="M248">
            <v>-200000</v>
          </cell>
        </row>
        <row r="249">
          <cell r="F249">
            <v>3000</v>
          </cell>
          <cell r="H249">
            <v>0</v>
          </cell>
          <cell r="I249">
            <v>3000</v>
          </cell>
          <cell r="J249">
            <v>0</v>
          </cell>
          <cell r="K249">
            <v>3000</v>
          </cell>
          <cell r="M249">
            <v>97500</v>
          </cell>
        </row>
        <row r="250">
          <cell r="F250">
            <v>63410</v>
          </cell>
          <cell r="H250">
            <v>0</v>
          </cell>
          <cell r="I250">
            <v>63410</v>
          </cell>
          <cell r="J250">
            <v>0</v>
          </cell>
          <cell r="K250">
            <v>63410</v>
          </cell>
          <cell r="M250">
            <v>-208164.23</v>
          </cell>
        </row>
        <row r="251">
          <cell r="F251">
            <v>15313033.41</v>
          </cell>
          <cell r="H251">
            <v>5806366</v>
          </cell>
          <cell r="I251">
            <v>21119399.41</v>
          </cell>
          <cell r="J251">
            <v>0</v>
          </cell>
          <cell r="K251">
            <v>21119399.41</v>
          </cell>
          <cell r="M251">
            <v>-310664.23</v>
          </cell>
        </row>
        <row r="253">
          <cell r="F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M253">
            <v>34163838.840000004</v>
          </cell>
        </row>
        <row r="254">
          <cell r="F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M254">
            <v>34163838.840000004</v>
          </cell>
        </row>
        <row r="256">
          <cell r="F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M256">
            <v>35807139.490000002</v>
          </cell>
        </row>
        <row r="257">
          <cell r="F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M257">
            <v>35807139.490000002</v>
          </cell>
        </row>
        <row r="259">
          <cell r="F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M259">
            <v>26412257.710000001</v>
          </cell>
        </row>
        <row r="260">
          <cell r="F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0</v>
          </cell>
          <cell r="M260">
            <v>4997894.54</v>
          </cell>
        </row>
        <row r="261">
          <cell r="F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0</v>
          </cell>
          <cell r="M261">
            <v>671100.96</v>
          </cell>
        </row>
        <row r="262">
          <cell r="F262">
            <v>0</v>
          </cell>
          <cell r="H262">
            <v>0</v>
          </cell>
          <cell r="I262">
            <v>0</v>
          </cell>
          <cell r="J262">
            <v>0</v>
          </cell>
          <cell r="K262">
            <v>0</v>
          </cell>
          <cell r="M262">
            <v>32081253.210000001</v>
          </cell>
        </row>
        <row r="264">
          <cell r="F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M264">
            <v>0</v>
          </cell>
        </row>
        <row r="266">
          <cell r="F266">
            <v>5000</v>
          </cell>
          <cell r="H266">
            <v>0</v>
          </cell>
          <cell r="I266">
            <v>5000</v>
          </cell>
          <cell r="J266">
            <v>0</v>
          </cell>
          <cell r="K266">
            <v>5000</v>
          </cell>
          <cell r="M266">
            <v>0</v>
          </cell>
        </row>
        <row r="267">
          <cell r="F267">
            <v>10645.13</v>
          </cell>
          <cell r="H267">
            <v>0</v>
          </cell>
          <cell r="I267">
            <v>10645.13</v>
          </cell>
          <cell r="J267">
            <v>0</v>
          </cell>
          <cell r="K267">
            <v>10645.13</v>
          </cell>
          <cell r="M267">
            <v>0</v>
          </cell>
        </row>
        <row r="268">
          <cell r="F268">
            <v>55643056.140000001</v>
          </cell>
          <cell r="H268">
            <v>0</v>
          </cell>
          <cell r="I268">
            <v>55643056.140000001</v>
          </cell>
          <cell r="J268">
            <v>0</v>
          </cell>
          <cell r="K268">
            <v>55643056.140000001</v>
          </cell>
          <cell r="M268">
            <v>102462959.5</v>
          </cell>
        </row>
        <row r="269">
          <cell r="F269">
            <v>35000</v>
          </cell>
          <cell r="H269">
            <v>0</v>
          </cell>
          <cell r="I269">
            <v>35000</v>
          </cell>
          <cell r="J269">
            <v>0</v>
          </cell>
          <cell r="K269">
            <v>35000</v>
          </cell>
          <cell r="M269">
            <v>2904946.43</v>
          </cell>
        </row>
        <row r="270">
          <cell r="F270">
            <v>55693701.270000003</v>
          </cell>
          <cell r="H270">
            <v>0</v>
          </cell>
          <cell r="I270">
            <v>55693701.270000003</v>
          </cell>
          <cell r="J270">
            <v>0</v>
          </cell>
          <cell r="K270">
            <v>55693701.270000003</v>
          </cell>
          <cell r="M270">
            <v>105367905.93000001</v>
          </cell>
        </row>
        <row r="272">
          <cell r="F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M272">
            <v>0</v>
          </cell>
        </row>
        <row r="274">
          <cell r="F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M274">
            <v>0</v>
          </cell>
        </row>
        <row r="276">
          <cell r="F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M276">
            <v>83353621.709999993</v>
          </cell>
        </row>
        <row r="277">
          <cell r="F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M277">
            <v>83353621.709999993</v>
          </cell>
        </row>
        <row r="279">
          <cell r="F279">
            <v>0</v>
          </cell>
          <cell r="H279">
            <v>0</v>
          </cell>
          <cell r="I279">
            <v>0</v>
          </cell>
          <cell r="J279">
            <v>0</v>
          </cell>
          <cell r="K279">
            <v>0</v>
          </cell>
          <cell r="M279">
            <v>0</v>
          </cell>
        </row>
        <row r="281">
          <cell r="F281">
            <v>0</v>
          </cell>
          <cell r="H281">
            <v>0</v>
          </cell>
          <cell r="I281">
            <v>0</v>
          </cell>
          <cell r="J281">
            <v>0</v>
          </cell>
          <cell r="K281">
            <v>0</v>
          </cell>
          <cell r="M281">
            <v>0</v>
          </cell>
        </row>
        <row r="283">
          <cell r="F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M283">
            <v>48110.41</v>
          </cell>
        </row>
        <row r="284">
          <cell r="F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M284">
            <v>30908</v>
          </cell>
        </row>
        <row r="285">
          <cell r="F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M285">
            <v>79018.41</v>
          </cell>
        </row>
        <row r="287">
          <cell r="F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M287">
            <v>152846182</v>
          </cell>
        </row>
        <row r="288">
          <cell r="F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M288">
            <v>152846182</v>
          </cell>
        </row>
        <row r="290">
          <cell r="F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M290">
            <v>0</v>
          </cell>
        </row>
        <row r="292">
          <cell r="F292">
            <v>1523353.32</v>
          </cell>
          <cell r="H292">
            <v>0</v>
          </cell>
          <cell r="I292">
            <v>1523353.32</v>
          </cell>
          <cell r="J292">
            <v>0</v>
          </cell>
          <cell r="K292">
            <v>1523353.32</v>
          </cell>
          <cell r="M292">
            <v>17385504.210000001</v>
          </cell>
        </row>
        <row r="293">
          <cell r="F293">
            <v>1523353.32</v>
          </cell>
          <cell r="H293">
            <v>0</v>
          </cell>
          <cell r="I293">
            <v>1523353.32</v>
          </cell>
          <cell r="J293">
            <v>0</v>
          </cell>
          <cell r="K293">
            <v>1523353.32</v>
          </cell>
          <cell r="M293">
            <v>17385504.210000001</v>
          </cell>
        </row>
        <row r="295">
          <cell r="F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M295">
            <v>0</v>
          </cell>
        </row>
        <row r="297">
          <cell r="F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M297">
            <v>0</v>
          </cell>
        </row>
        <row r="299">
          <cell r="F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M299">
            <v>64374415.280000001</v>
          </cell>
        </row>
        <row r="300">
          <cell r="F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M300">
            <v>431100</v>
          </cell>
        </row>
        <row r="301">
          <cell r="F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M301">
            <v>64805515.280000001</v>
          </cell>
        </row>
        <row r="303">
          <cell r="F303">
            <v>0</v>
          </cell>
          <cell r="H303">
            <v>0</v>
          </cell>
          <cell r="I303">
            <v>0</v>
          </cell>
          <cell r="J303">
            <v>0</v>
          </cell>
          <cell r="K303">
            <v>0</v>
          </cell>
          <cell r="M303">
            <v>0</v>
          </cell>
        </row>
        <row r="305">
          <cell r="F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M305">
            <v>0</v>
          </cell>
        </row>
        <row r="307">
          <cell r="F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M307">
            <v>0</v>
          </cell>
        </row>
        <row r="309">
          <cell r="F309">
            <v>0</v>
          </cell>
          <cell r="H309">
            <v>0</v>
          </cell>
          <cell r="I309">
            <v>0</v>
          </cell>
          <cell r="J309">
            <v>0</v>
          </cell>
          <cell r="K309">
            <v>0</v>
          </cell>
          <cell r="M309">
            <v>0</v>
          </cell>
        </row>
        <row r="311">
          <cell r="F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M311">
            <v>0</v>
          </cell>
        </row>
        <row r="313">
          <cell r="F313">
            <v>553070</v>
          </cell>
          <cell r="H313">
            <v>0</v>
          </cell>
          <cell r="I313">
            <v>553070</v>
          </cell>
          <cell r="J313">
            <v>0</v>
          </cell>
          <cell r="K313">
            <v>553070</v>
          </cell>
          <cell r="M313">
            <v>3000</v>
          </cell>
        </row>
        <row r="314">
          <cell r="F314">
            <v>319654</v>
          </cell>
          <cell r="H314">
            <v>0</v>
          </cell>
          <cell r="I314">
            <v>319654</v>
          </cell>
          <cell r="J314">
            <v>0</v>
          </cell>
          <cell r="K314">
            <v>319654</v>
          </cell>
          <cell r="M314">
            <v>498840</v>
          </cell>
        </row>
        <row r="315">
          <cell r="F315">
            <v>432801.91</v>
          </cell>
          <cell r="H315">
            <v>0</v>
          </cell>
          <cell r="I315">
            <v>432801.91</v>
          </cell>
          <cell r="J315">
            <v>0</v>
          </cell>
          <cell r="K315">
            <v>432801.91</v>
          </cell>
          <cell r="M315">
            <v>214595.18</v>
          </cell>
        </row>
        <row r="316">
          <cell r="F316">
            <v>1305525.9099999999</v>
          </cell>
          <cell r="H316">
            <v>0</v>
          </cell>
          <cell r="I316">
            <v>1305525.9099999999</v>
          </cell>
          <cell r="J316">
            <v>0</v>
          </cell>
          <cell r="K316">
            <v>1305525.9099999999</v>
          </cell>
          <cell r="M316">
            <v>716435.17999999993</v>
          </cell>
        </row>
        <row r="318">
          <cell r="F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M318">
            <v>0</v>
          </cell>
        </row>
        <row r="320">
          <cell r="F320">
            <v>3082759.15</v>
          </cell>
          <cell r="H320">
            <v>138189.99</v>
          </cell>
          <cell r="I320">
            <v>3220949.14</v>
          </cell>
          <cell r="J320">
            <v>0</v>
          </cell>
          <cell r="K320">
            <v>3220949.14</v>
          </cell>
          <cell r="M320">
            <v>0</v>
          </cell>
        </row>
        <row r="321">
          <cell r="F321">
            <v>1035252.23</v>
          </cell>
          <cell r="H321">
            <v>0</v>
          </cell>
          <cell r="I321">
            <v>1035252.23</v>
          </cell>
          <cell r="J321">
            <v>0</v>
          </cell>
          <cell r="K321">
            <v>1035252.23</v>
          </cell>
          <cell r="M321">
            <v>0</v>
          </cell>
        </row>
        <row r="322">
          <cell r="F322">
            <v>177500</v>
          </cell>
          <cell r="H322">
            <v>0</v>
          </cell>
          <cell r="I322">
            <v>177500</v>
          </cell>
          <cell r="J322">
            <v>0</v>
          </cell>
          <cell r="K322">
            <v>177500</v>
          </cell>
          <cell r="M322">
            <v>0</v>
          </cell>
        </row>
        <row r="323">
          <cell r="F323">
            <v>113314.92</v>
          </cell>
          <cell r="H323">
            <v>0</v>
          </cell>
          <cell r="I323">
            <v>113314.92</v>
          </cell>
          <cell r="J323">
            <v>0</v>
          </cell>
          <cell r="K323">
            <v>113314.92</v>
          </cell>
          <cell r="M323">
            <v>117345</v>
          </cell>
        </row>
        <row r="324">
          <cell r="F324">
            <v>4408826.3</v>
          </cell>
          <cell r="H324">
            <v>138189.99</v>
          </cell>
          <cell r="I324">
            <v>4547016.29</v>
          </cell>
          <cell r="J324">
            <v>0</v>
          </cell>
          <cell r="K324">
            <v>4547016.29</v>
          </cell>
          <cell r="M324">
            <v>117345</v>
          </cell>
        </row>
        <row r="326">
          <cell r="F326">
            <v>26171787.899999999</v>
          </cell>
          <cell r="H326">
            <v>0</v>
          </cell>
          <cell r="I326">
            <v>26171787.899999999</v>
          </cell>
          <cell r="J326">
            <v>0</v>
          </cell>
          <cell r="K326">
            <v>26171787.899999999</v>
          </cell>
          <cell r="M326">
            <v>0</v>
          </cell>
        </row>
        <row r="327">
          <cell r="F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M327">
            <v>6851823.21</v>
          </cell>
        </row>
        <row r="328">
          <cell r="F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0</v>
          </cell>
          <cell r="M328">
            <v>8635329.4499999993</v>
          </cell>
        </row>
        <row r="329">
          <cell r="F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M329">
            <v>547850</v>
          </cell>
        </row>
        <row r="330">
          <cell r="F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M330">
            <v>530300</v>
          </cell>
        </row>
        <row r="331">
          <cell r="F331">
            <v>2936852.06</v>
          </cell>
          <cell r="H331">
            <v>0</v>
          </cell>
          <cell r="I331">
            <v>2936852.06</v>
          </cell>
          <cell r="J331">
            <v>0</v>
          </cell>
          <cell r="K331">
            <v>2936852.06</v>
          </cell>
          <cell r="M331">
            <v>1500812.19</v>
          </cell>
        </row>
        <row r="332">
          <cell r="F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M332">
            <v>8039403.3799999999</v>
          </cell>
        </row>
        <row r="333">
          <cell r="F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M333">
            <v>866002.11</v>
          </cell>
        </row>
        <row r="334">
          <cell r="F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M334">
            <v>3414788.15</v>
          </cell>
        </row>
        <row r="335">
          <cell r="F335">
            <v>3808953.25</v>
          </cell>
          <cell r="H335">
            <v>0</v>
          </cell>
          <cell r="I335">
            <v>3808953.25</v>
          </cell>
          <cell r="J335">
            <v>11000</v>
          </cell>
          <cell r="K335">
            <v>3819953.25</v>
          </cell>
          <cell r="M335">
            <v>1511332.62</v>
          </cell>
        </row>
        <row r="336">
          <cell r="F336">
            <v>2210715.92</v>
          </cell>
          <cell r="H336">
            <v>0</v>
          </cell>
          <cell r="I336">
            <v>2210715.92</v>
          </cell>
          <cell r="J336">
            <v>0</v>
          </cell>
          <cell r="K336">
            <v>2210715.92</v>
          </cell>
          <cell r="M336">
            <v>978355.95</v>
          </cell>
        </row>
        <row r="337">
          <cell r="F337">
            <v>2381313.73</v>
          </cell>
          <cell r="H337">
            <v>0</v>
          </cell>
          <cell r="I337">
            <v>2381313.73</v>
          </cell>
          <cell r="J337">
            <v>0</v>
          </cell>
          <cell r="K337">
            <v>2381313.73</v>
          </cell>
          <cell r="M337">
            <v>459140</v>
          </cell>
        </row>
        <row r="338">
          <cell r="F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0</v>
          </cell>
          <cell r="M338">
            <v>30772.49</v>
          </cell>
        </row>
        <row r="339">
          <cell r="F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0</v>
          </cell>
          <cell r="M339">
            <v>41000</v>
          </cell>
        </row>
        <row r="340">
          <cell r="F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M340">
            <v>300739.73</v>
          </cell>
        </row>
        <row r="341">
          <cell r="F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M341">
            <v>8239039.9100000001</v>
          </cell>
        </row>
        <row r="342">
          <cell r="F342">
            <v>7852572.6299999999</v>
          </cell>
          <cell r="H342">
            <v>0</v>
          </cell>
          <cell r="I342">
            <v>7852572.6299999999</v>
          </cell>
          <cell r="J342">
            <v>0</v>
          </cell>
          <cell r="K342">
            <v>7852572.6299999999</v>
          </cell>
          <cell r="M342">
            <v>5657493.7599999998</v>
          </cell>
        </row>
        <row r="343">
          <cell r="F343">
            <v>0</v>
          </cell>
          <cell r="H343">
            <v>0</v>
          </cell>
          <cell r="I343">
            <v>0</v>
          </cell>
          <cell r="J343">
            <v>0</v>
          </cell>
          <cell r="K343">
            <v>0</v>
          </cell>
          <cell r="M343">
            <v>1728500</v>
          </cell>
        </row>
        <row r="344">
          <cell r="F344">
            <v>12814129.57</v>
          </cell>
          <cell r="H344">
            <v>0</v>
          </cell>
          <cell r="I344">
            <v>12814129.57</v>
          </cell>
          <cell r="J344">
            <v>0</v>
          </cell>
          <cell r="K344">
            <v>12814129.57</v>
          </cell>
          <cell r="M344">
            <v>4614055.43</v>
          </cell>
        </row>
        <row r="345">
          <cell r="F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0</v>
          </cell>
          <cell r="M345">
            <v>2216800.04</v>
          </cell>
        </row>
        <row r="346">
          <cell r="F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0</v>
          </cell>
          <cell r="M346">
            <v>608480.47</v>
          </cell>
        </row>
        <row r="347">
          <cell r="F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M347">
            <v>452313.32</v>
          </cell>
        </row>
        <row r="348">
          <cell r="F348">
            <v>90781.68</v>
          </cell>
          <cell r="H348">
            <v>0</v>
          </cell>
          <cell r="I348">
            <v>90781.68</v>
          </cell>
          <cell r="J348">
            <v>0</v>
          </cell>
          <cell r="K348">
            <v>90781.68</v>
          </cell>
          <cell r="M348">
            <v>181500</v>
          </cell>
        </row>
        <row r="349">
          <cell r="F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0</v>
          </cell>
          <cell r="M349">
            <v>350230</v>
          </cell>
        </row>
        <row r="350">
          <cell r="F350">
            <v>0</v>
          </cell>
          <cell r="H350">
            <v>0</v>
          </cell>
          <cell r="I350">
            <v>0</v>
          </cell>
          <cell r="J350">
            <v>0</v>
          </cell>
          <cell r="K350">
            <v>0</v>
          </cell>
          <cell r="M350">
            <v>655317.35</v>
          </cell>
        </row>
        <row r="351">
          <cell r="F351">
            <v>58267106.739999995</v>
          </cell>
          <cell r="H351">
            <v>0</v>
          </cell>
          <cell r="I351">
            <v>58267106.739999995</v>
          </cell>
          <cell r="J351">
            <v>11000</v>
          </cell>
          <cell r="K351">
            <v>58278106.739999995</v>
          </cell>
          <cell r="M351">
            <v>58411379.559999995</v>
          </cell>
        </row>
        <row r="353">
          <cell r="F353">
            <v>0</v>
          </cell>
          <cell r="H353">
            <v>0</v>
          </cell>
          <cell r="I353">
            <v>0</v>
          </cell>
          <cell r="J353">
            <v>0</v>
          </cell>
          <cell r="K353">
            <v>0</v>
          </cell>
          <cell r="M353">
            <v>0</v>
          </cell>
        </row>
        <row r="355">
          <cell r="F355">
            <v>330203.63</v>
          </cell>
          <cell r="H355">
            <v>0</v>
          </cell>
          <cell r="I355">
            <v>330203.63</v>
          </cell>
          <cell r="J355">
            <v>0</v>
          </cell>
          <cell r="K355">
            <v>330203.63</v>
          </cell>
          <cell r="M355">
            <v>115697.64</v>
          </cell>
        </row>
        <row r="356">
          <cell r="F356">
            <v>0</v>
          </cell>
          <cell r="H356">
            <v>6896854.0800000001</v>
          </cell>
          <cell r="I356">
            <v>6896854.0800000001</v>
          </cell>
          <cell r="J356">
            <v>0</v>
          </cell>
          <cell r="K356">
            <v>6896854.0800000001</v>
          </cell>
          <cell r="M356">
            <v>79981.61</v>
          </cell>
        </row>
        <row r="357">
          <cell r="F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0</v>
          </cell>
          <cell r="M357">
            <v>595979.18000000005</v>
          </cell>
        </row>
        <row r="358">
          <cell r="F358">
            <v>0</v>
          </cell>
          <cell r="H358">
            <v>0</v>
          </cell>
          <cell r="I358">
            <v>0</v>
          </cell>
          <cell r="J358">
            <v>0</v>
          </cell>
          <cell r="K358">
            <v>0</v>
          </cell>
          <cell r="M358">
            <v>320.74</v>
          </cell>
        </row>
        <row r="359">
          <cell r="F359">
            <v>330203.63</v>
          </cell>
          <cell r="H359">
            <v>6896854.0800000001</v>
          </cell>
          <cell r="I359">
            <v>7227057.71</v>
          </cell>
          <cell r="J359">
            <v>0</v>
          </cell>
          <cell r="K359">
            <v>7227057.71</v>
          </cell>
          <cell r="M359">
            <v>791979.17</v>
          </cell>
        </row>
        <row r="361">
          <cell r="F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M361">
            <v>123700</v>
          </cell>
        </row>
        <row r="362">
          <cell r="F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M362">
            <v>8000</v>
          </cell>
        </row>
        <row r="363">
          <cell r="F363">
            <v>2416840</v>
          </cell>
          <cell r="H363">
            <v>142052</v>
          </cell>
          <cell r="I363">
            <v>2558892</v>
          </cell>
          <cell r="J363">
            <v>0</v>
          </cell>
          <cell r="K363">
            <v>2558892</v>
          </cell>
          <cell r="M363">
            <v>6459076</v>
          </cell>
        </row>
        <row r="364">
          <cell r="F364">
            <v>2416840</v>
          </cell>
          <cell r="H364">
            <v>142052</v>
          </cell>
          <cell r="I364">
            <v>2558892</v>
          </cell>
          <cell r="J364">
            <v>0</v>
          </cell>
          <cell r="K364">
            <v>2558892</v>
          </cell>
          <cell r="M364">
            <v>6590776</v>
          </cell>
        </row>
        <row r="366">
          <cell r="F366">
            <v>5918755.5899999999</v>
          </cell>
          <cell r="H366">
            <v>0</v>
          </cell>
          <cell r="I366">
            <v>5918755.5899999999</v>
          </cell>
          <cell r="J366">
            <v>0</v>
          </cell>
          <cell r="K366">
            <v>5918755.5899999999</v>
          </cell>
          <cell r="M366">
            <v>5388064.9299999997</v>
          </cell>
        </row>
        <row r="367">
          <cell r="F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M367">
            <v>231250</v>
          </cell>
        </row>
        <row r="368">
          <cell r="F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M368">
            <v>3902963.95</v>
          </cell>
        </row>
        <row r="369">
          <cell r="F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M369">
            <v>41970</v>
          </cell>
        </row>
        <row r="370">
          <cell r="F370">
            <v>412000</v>
          </cell>
          <cell r="H370">
            <v>0</v>
          </cell>
          <cell r="I370">
            <v>412000</v>
          </cell>
          <cell r="J370">
            <v>0</v>
          </cell>
          <cell r="K370">
            <v>412000</v>
          </cell>
          <cell r="M370">
            <v>1290975</v>
          </cell>
        </row>
        <row r="371">
          <cell r="F371">
            <v>737770</v>
          </cell>
          <cell r="H371">
            <v>0</v>
          </cell>
          <cell r="I371">
            <v>737770</v>
          </cell>
          <cell r="J371">
            <v>0</v>
          </cell>
          <cell r="K371">
            <v>737770</v>
          </cell>
          <cell r="M371">
            <v>1246777</v>
          </cell>
        </row>
        <row r="372">
          <cell r="F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M372">
            <v>200040</v>
          </cell>
        </row>
        <row r="373">
          <cell r="F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M373">
            <v>817480.5</v>
          </cell>
        </row>
        <row r="374">
          <cell r="F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M374">
            <v>1500</v>
          </cell>
        </row>
        <row r="375">
          <cell r="F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0</v>
          </cell>
          <cell r="M375">
            <v>416758.95</v>
          </cell>
        </row>
        <row r="376">
          <cell r="F376">
            <v>0</v>
          </cell>
          <cell r="H376">
            <v>0</v>
          </cell>
          <cell r="I376">
            <v>0</v>
          </cell>
          <cell r="J376">
            <v>0</v>
          </cell>
          <cell r="K376">
            <v>0</v>
          </cell>
          <cell r="M376">
            <v>493740</v>
          </cell>
        </row>
        <row r="377">
          <cell r="F377">
            <v>14540</v>
          </cell>
          <cell r="H377">
            <v>0</v>
          </cell>
          <cell r="I377">
            <v>14540</v>
          </cell>
          <cell r="J377">
            <v>0</v>
          </cell>
          <cell r="K377">
            <v>14540</v>
          </cell>
          <cell r="M377">
            <v>232300</v>
          </cell>
        </row>
        <row r="378">
          <cell r="F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0</v>
          </cell>
          <cell r="M378">
            <v>338950</v>
          </cell>
        </row>
        <row r="379">
          <cell r="F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0</v>
          </cell>
          <cell r="M379">
            <v>24500</v>
          </cell>
        </row>
        <row r="380">
          <cell r="F380">
            <v>0</v>
          </cell>
          <cell r="H380">
            <v>0</v>
          </cell>
          <cell r="I380">
            <v>0</v>
          </cell>
          <cell r="J380">
            <v>0</v>
          </cell>
          <cell r="K380">
            <v>0</v>
          </cell>
          <cell r="M380">
            <v>184079.67</v>
          </cell>
        </row>
        <row r="381">
          <cell r="F381">
            <v>7083065.5899999999</v>
          </cell>
          <cell r="H381">
            <v>0</v>
          </cell>
          <cell r="I381">
            <v>7083065.5899999999</v>
          </cell>
          <cell r="J381">
            <v>0</v>
          </cell>
          <cell r="K381">
            <v>7083065.5899999999</v>
          </cell>
          <cell r="M381">
            <v>14811349.999999998</v>
          </cell>
        </row>
        <row r="383">
          <cell r="F383">
            <v>2334602.5</v>
          </cell>
          <cell r="H383">
            <v>0</v>
          </cell>
          <cell r="I383">
            <v>2334602.5</v>
          </cell>
          <cell r="J383">
            <v>0</v>
          </cell>
          <cell r="K383">
            <v>2334602.5</v>
          </cell>
          <cell r="M383">
            <v>0</v>
          </cell>
        </row>
        <row r="384">
          <cell r="F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M384">
            <v>37295</v>
          </cell>
        </row>
        <row r="385">
          <cell r="F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0</v>
          </cell>
          <cell r="M385">
            <v>800</v>
          </cell>
        </row>
        <row r="386">
          <cell r="F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0</v>
          </cell>
          <cell r="M386">
            <v>168618.5</v>
          </cell>
        </row>
        <row r="387">
          <cell r="F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M387">
            <v>233655</v>
          </cell>
        </row>
        <row r="388">
          <cell r="F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0</v>
          </cell>
          <cell r="M388">
            <v>166465</v>
          </cell>
        </row>
        <row r="389">
          <cell r="F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0</v>
          </cell>
          <cell r="M389">
            <v>20000</v>
          </cell>
        </row>
        <row r="390">
          <cell r="F390">
            <v>0</v>
          </cell>
          <cell r="H390">
            <v>0</v>
          </cell>
          <cell r="I390">
            <v>0</v>
          </cell>
          <cell r="J390">
            <v>0</v>
          </cell>
          <cell r="K390">
            <v>0</v>
          </cell>
          <cell r="M390">
            <v>1216505</v>
          </cell>
        </row>
        <row r="391">
          <cell r="F391">
            <v>2334602.5</v>
          </cell>
          <cell r="H391">
            <v>0</v>
          </cell>
          <cell r="I391">
            <v>2334602.5</v>
          </cell>
          <cell r="J391">
            <v>0</v>
          </cell>
          <cell r="K391">
            <v>2334602.5</v>
          </cell>
          <cell r="M391">
            <v>1843338.5</v>
          </cell>
        </row>
        <row r="393">
          <cell r="F393">
            <v>789900</v>
          </cell>
          <cell r="H393">
            <v>0</v>
          </cell>
          <cell r="I393">
            <v>789900</v>
          </cell>
          <cell r="J393">
            <v>0</v>
          </cell>
          <cell r="K393">
            <v>789900</v>
          </cell>
          <cell r="M393">
            <v>1216110</v>
          </cell>
        </row>
        <row r="394">
          <cell r="F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0</v>
          </cell>
          <cell r="M394">
            <v>140400</v>
          </cell>
        </row>
        <row r="395">
          <cell r="F395">
            <v>0</v>
          </cell>
          <cell r="H395">
            <v>0</v>
          </cell>
          <cell r="I395">
            <v>0</v>
          </cell>
          <cell r="J395">
            <v>0</v>
          </cell>
          <cell r="K395">
            <v>0</v>
          </cell>
          <cell r="M395">
            <v>161800</v>
          </cell>
        </row>
        <row r="396">
          <cell r="F396">
            <v>789900</v>
          </cell>
          <cell r="H396">
            <v>0</v>
          </cell>
          <cell r="I396">
            <v>789900</v>
          </cell>
          <cell r="J396">
            <v>0</v>
          </cell>
          <cell r="K396">
            <v>789900</v>
          </cell>
          <cell r="M396">
            <v>1518310</v>
          </cell>
        </row>
        <row r="398">
          <cell r="F398">
            <v>1868060.11</v>
          </cell>
          <cell r="H398">
            <v>0</v>
          </cell>
          <cell r="I398">
            <v>1868060.11</v>
          </cell>
          <cell r="J398">
            <v>0</v>
          </cell>
          <cell r="K398">
            <v>1868060.11</v>
          </cell>
          <cell r="M398">
            <v>3848.9</v>
          </cell>
        </row>
        <row r="399">
          <cell r="F399">
            <v>1868060.11</v>
          </cell>
          <cell r="H399">
            <v>0</v>
          </cell>
          <cell r="I399">
            <v>1868060.11</v>
          </cell>
          <cell r="J399">
            <v>0</v>
          </cell>
          <cell r="K399">
            <v>1868060.11</v>
          </cell>
          <cell r="M399">
            <v>3848.9</v>
          </cell>
        </row>
        <row r="401">
          <cell r="F401">
            <v>4857804.43</v>
          </cell>
          <cell r="H401">
            <v>0</v>
          </cell>
          <cell r="I401">
            <v>4857804.43</v>
          </cell>
          <cell r="J401">
            <v>0</v>
          </cell>
          <cell r="K401">
            <v>4857804.43</v>
          </cell>
          <cell r="M401">
            <v>0</v>
          </cell>
        </row>
        <row r="402">
          <cell r="F402">
            <v>141678.48000000001</v>
          </cell>
          <cell r="H402">
            <v>0</v>
          </cell>
          <cell r="I402">
            <v>141678.48000000001</v>
          </cell>
          <cell r="J402">
            <v>0</v>
          </cell>
          <cell r="K402">
            <v>141678.48000000001</v>
          </cell>
          <cell r="M402">
            <v>0</v>
          </cell>
        </row>
        <row r="403">
          <cell r="F403">
            <v>712025</v>
          </cell>
          <cell r="H403">
            <v>0</v>
          </cell>
          <cell r="I403">
            <v>712025</v>
          </cell>
          <cell r="J403">
            <v>0</v>
          </cell>
          <cell r="K403">
            <v>712025</v>
          </cell>
          <cell r="M403">
            <v>0</v>
          </cell>
        </row>
        <row r="404">
          <cell r="F404">
            <v>277119.43</v>
          </cell>
          <cell r="H404">
            <v>0</v>
          </cell>
          <cell r="I404">
            <v>277119.43</v>
          </cell>
          <cell r="J404">
            <v>-277119.43</v>
          </cell>
          <cell r="K404">
            <v>0</v>
          </cell>
          <cell r="M404">
            <v>0</v>
          </cell>
        </row>
        <row r="405">
          <cell r="F405">
            <v>522000</v>
          </cell>
          <cell r="H405">
            <v>0</v>
          </cell>
          <cell r="I405">
            <v>522000</v>
          </cell>
          <cell r="J405">
            <v>0</v>
          </cell>
          <cell r="K405">
            <v>522000</v>
          </cell>
          <cell r="M405">
            <v>0</v>
          </cell>
        </row>
        <row r="406">
          <cell r="F406">
            <v>29400</v>
          </cell>
          <cell r="H406">
            <v>0</v>
          </cell>
          <cell r="I406">
            <v>29400</v>
          </cell>
          <cell r="J406">
            <v>0</v>
          </cell>
          <cell r="K406">
            <v>29400</v>
          </cell>
          <cell r="M406">
            <v>7500</v>
          </cell>
        </row>
        <row r="407">
          <cell r="F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M407">
            <v>32500</v>
          </cell>
        </row>
        <row r="408">
          <cell r="F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M408">
            <v>281428.75</v>
          </cell>
        </row>
        <row r="409">
          <cell r="F409">
            <v>58000</v>
          </cell>
          <cell r="H409">
            <v>0</v>
          </cell>
          <cell r="I409">
            <v>58000</v>
          </cell>
          <cell r="J409">
            <v>0</v>
          </cell>
          <cell r="K409">
            <v>58000</v>
          </cell>
          <cell r="M409">
            <v>36500</v>
          </cell>
        </row>
        <row r="410">
          <cell r="F410">
            <v>0</v>
          </cell>
          <cell r="H410">
            <v>0</v>
          </cell>
          <cell r="I410">
            <v>0</v>
          </cell>
          <cell r="J410">
            <v>0</v>
          </cell>
          <cell r="K410">
            <v>0</v>
          </cell>
          <cell r="M410">
            <v>2761719.06</v>
          </cell>
        </row>
        <row r="411">
          <cell r="F411">
            <v>2990395.54</v>
          </cell>
          <cell r="H411">
            <v>0</v>
          </cell>
          <cell r="I411">
            <v>2990395.54</v>
          </cell>
          <cell r="J411">
            <v>23000</v>
          </cell>
          <cell r="K411">
            <v>3013395.54</v>
          </cell>
          <cell r="M411">
            <v>0</v>
          </cell>
        </row>
        <row r="412">
          <cell r="F412">
            <v>9588422.879999999</v>
          </cell>
          <cell r="H412">
            <v>0</v>
          </cell>
          <cell r="I412">
            <v>9588422.879999999</v>
          </cell>
          <cell r="J412">
            <v>-254119.43</v>
          </cell>
          <cell r="K412">
            <v>9334303.4499999993</v>
          </cell>
          <cell r="M412">
            <v>3119647.81</v>
          </cell>
        </row>
        <row r="414">
          <cell r="F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0</v>
          </cell>
          <cell r="M414">
            <v>823671.3</v>
          </cell>
        </row>
        <row r="415">
          <cell r="F415">
            <v>0</v>
          </cell>
          <cell r="H415">
            <v>0</v>
          </cell>
          <cell r="I415">
            <v>0</v>
          </cell>
          <cell r="J415">
            <v>0</v>
          </cell>
          <cell r="K415">
            <v>0</v>
          </cell>
          <cell r="M415">
            <v>385503.53</v>
          </cell>
        </row>
        <row r="416">
          <cell r="F416">
            <v>63512.72</v>
          </cell>
          <cell r="H416">
            <v>234081.56</v>
          </cell>
          <cell r="I416">
            <v>297594.28000000003</v>
          </cell>
          <cell r="J416">
            <v>36956.800000000003</v>
          </cell>
          <cell r="K416">
            <v>334551.08</v>
          </cell>
          <cell r="M416">
            <v>71593.56</v>
          </cell>
        </row>
        <row r="417">
          <cell r="F417">
            <v>276786</v>
          </cell>
          <cell r="H417">
            <v>574670.21</v>
          </cell>
          <cell r="I417">
            <v>851456.21</v>
          </cell>
          <cell r="J417">
            <v>0</v>
          </cell>
          <cell r="K417">
            <v>851456.21</v>
          </cell>
          <cell r="M417">
            <v>503419.84</v>
          </cell>
        </row>
        <row r="418">
          <cell r="F418">
            <v>1664590.16</v>
          </cell>
          <cell r="H418">
            <v>722807.59</v>
          </cell>
          <cell r="I418">
            <v>2387397.75</v>
          </cell>
          <cell r="J418">
            <v>0</v>
          </cell>
          <cell r="K418">
            <v>2387397.75</v>
          </cell>
          <cell r="M418">
            <v>3980510</v>
          </cell>
        </row>
        <row r="419">
          <cell r="F419">
            <v>0</v>
          </cell>
          <cell r="H419">
            <v>546505</v>
          </cell>
          <cell r="I419">
            <v>546505</v>
          </cell>
          <cell r="J419">
            <v>0</v>
          </cell>
          <cell r="K419">
            <v>546505</v>
          </cell>
          <cell r="M419">
            <v>661050</v>
          </cell>
        </row>
        <row r="420">
          <cell r="F420">
            <v>2004888.88</v>
          </cell>
          <cell r="H420">
            <v>2078064.3599999999</v>
          </cell>
          <cell r="I420">
            <v>4082953.24</v>
          </cell>
          <cell r="J420">
            <v>36956.800000000003</v>
          </cell>
          <cell r="K420">
            <v>4119910.04</v>
          </cell>
          <cell r="M420">
            <v>6425748.2300000004</v>
          </cell>
        </row>
        <row r="422">
          <cell r="F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0</v>
          </cell>
          <cell r="M422">
            <v>1030532.61</v>
          </cell>
        </row>
        <row r="423">
          <cell r="F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  <cell r="M423">
            <v>53776458.030000001</v>
          </cell>
        </row>
        <row r="424">
          <cell r="F424">
            <v>0</v>
          </cell>
          <cell r="H424">
            <v>0</v>
          </cell>
          <cell r="I424">
            <v>0</v>
          </cell>
          <cell r="J424">
            <v>0</v>
          </cell>
          <cell r="K424">
            <v>0</v>
          </cell>
          <cell r="M424">
            <v>0</v>
          </cell>
        </row>
        <row r="425">
          <cell r="F425">
            <v>30000</v>
          </cell>
          <cell r="H425">
            <v>0</v>
          </cell>
          <cell r="I425">
            <v>30000</v>
          </cell>
          <cell r="J425">
            <v>0</v>
          </cell>
          <cell r="K425">
            <v>30000</v>
          </cell>
          <cell r="M425">
            <v>0</v>
          </cell>
        </row>
        <row r="426">
          <cell r="F426">
            <v>0</v>
          </cell>
          <cell r="H426">
            <v>6660031.3899999997</v>
          </cell>
          <cell r="I426">
            <v>6660031.3899999997</v>
          </cell>
          <cell r="J426">
            <v>0</v>
          </cell>
          <cell r="K426">
            <v>6660031.3899999997</v>
          </cell>
          <cell r="M426">
            <v>0</v>
          </cell>
        </row>
        <row r="427">
          <cell r="F427">
            <v>0</v>
          </cell>
          <cell r="H427">
            <v>11019270.6</v>
          </cell>
          <cell r="I427">
            <v>11019270.6</v>
          </cell>
          <cell r="J427">
            <v>0</v>
          </cell>
          <cell r="K427">
            <v>11019270.6</v>
          </cell>
          <cell r="M427">
            <v>0</v>
          </cell>
        </row>
        <row r="428">
          <cell r="F428">
            <v>36348967.299999997</v>
          </cell>
          <cell r="H428">
            <v>46932412.759999998</v>
          </cell>
          <cell r="I428">
            <v>83281380.060000002</v>
          </cell>
          <cell r="J428">
            <v>0</v>
          </cell>
          <cell r="K428">
            <v>83281380.060000002</v>
          </cell>
          <cell r="M428">
            <v>11876916.220000001</v>
          </cell>
        </row>
        <row r="429">
          <cell r="F429">
            <v>36378967.299999997</v>
          </cell>
          <cell r="H429">
            <v>64611714.75</v>
          </cell>
          <cell r="I429">
            <v>100990682.05</v>
          </cell>
          <cell r="J429">
            <v>0</v>
          </cell>
          <cell r="K429">
            <v>100990682.05</v>
          </cell>
          <cell r="M429">
            <v>66683906.859999999</v>
          </cell>
        </row>
        <row r="431">
          <cell r="F431">
            <v>4628013.08</v>
          </cell>
          <cell r="H431">
            <v>0</v>
          </cell>
          <cell r="I431">
            <v>4628013.08</v>
          </cell>
          <cell r="J431">
            <v>-551356.82999999996</v>
          </cell>
          <cell r="K431">
            <v>4076656.25</v>
          </cell>
          <cell r="M431">
            <v>0</v>
          </cell>
        </row>
        <row r="432">
          <cell r="F432">
            <v>4628013.08</v>
          </cell>
          <cell r="H432">
            <v>0</v>
          </cell>
          <cell r="I432">
            <v>4628013.08</v>
          </cell>
          <cell r="J432">
            <v>-551356.82999999996</v>
          </cell>
          <cell r="K432">
            <v>4076656.25</v>
          </cell>
          <cell r="M432">
            <v>0</v>
          </cell>
        </row>
        <row r="434">
          <cell r="F434">
            <v>13816506.65</v>
          </cell>
          <cell r="H434">
            <v>0</v>
          </cell>
          <cell r="I434">
            <v>13816506.65</v>
          </cell>
          <cell r="J434">
            <v>0</v>
          </cell>
          <cell r="K434">
            <v>13816506.65</v>
          </cell>
          <cell r="M434">
            <v>11921613.550000001</v>
          </cell>
        </row>
        <row r="435">
          <cell r="F435">
            <v>13816506.65</v>
          </cell>
          <cell r="H435">
            <v>0</v>
          </cell>
          <cell r="I435">
            <v>13816506.65</v>
          </cell>
          <cell r="J435">
            <v>0</v>
          </cell>
          <cell r="K435">
            <v>13816506.65</v>
          </cell>
          <cell r="M435">
            <v>11921613.550000001</v>
          </cell>
        </row>
        <row r="437">
          <cell r="F437">
            <v>2000</v>
          </cell>
          <cell r="H437">
            <v>0</v>
          </cell>
          <cell r="I437">
            <v>2000</v>
          </cell>
          <cell r="J437">
            <v>0</v>
          </cell>
          <cell r="K437">
            <v>2000</v>
          </cell>
          <cell r="M437">
            <v>0</v>
          </cell>
        </row>
        <row r="438">
          <cell r="F438">
            <v>-710366.26</v>
          </cell>
          <cell r="H438">
            <v>0</v>
          </cell>
          <cell r="I438">
            <v>-710366.26</v>
          </cell>
          <cell r="J438">
            <v>828476.26</v>
          </cell>
          <cell r="K438">
            <v>118110</v>
          </cell>
          <cell r="M438">
            <v>0</v>
          </cell>
        </row>
        <row r="439">
          <cell r="F439">
            <v>3187749.39</v>
          </cell>
          <cell r="H439">
            <v>0</v>
          </cell>
          <cell r="I439">
            <v>3187749.39</v>
          </cell>
          <cell r="J439">
            <v>0</v>
          </cell>
          <cell r="K439">
            <v>3187749.39</v>
          </cell>
          <cell r="M439">
            <v>7271022.5599999996</v>
          </cell>
        </row>
        <row r="440">
          <cell r="F440">
            <v>2751744.5</v>
          </cell>
          <cell r="H440">
            <v>0</v>
          </cell>
          <cell r="I440">
            <v>2751744.5</v>
          </cell>
          <cell r="J440">
            <v>102500</v>
          </cell>
          <cell r="K440">
            <v>2854244.5</v>
          </cell>
          <cell r="M440">
            <v>4577944.97</v>
          </cell>
        </row>
        <row r="441">
          <cell r="F441">
            <v>519465</v>
          </cell>
          <cell r="H441">
            <v>0</v>
          </cell>
          <cell r="I441">
            <v>519465</v>
          </cell>
          <cell r="J441">
            <v>28000</v>
          </cell>
          <cell r="K441">
            <v>547465</v>
          </cell>
          <cell r="M441">
            <v>253831.04000000001</v>
          </cell>
        </row>
        <row r="442">
          <cell r="F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M442">
            <v>140600</v>
          </cell>
        </row>
        <row r="443">
          <cell r="F443">
            <v>104400</v>
          </cell>
          <cell r="H443">
            <v>0</v>
          </cell>
          <cell r="I443">
            <v>104400</v>
          </cell>
          <cell r="J443">
            <v>229350</v>
          </cell>
          <cell r="K443">
            <v>333750</v>
          </cell>
          <cell r="M443">
            <v>923690.17</v>
          </cell>
        </row>
        <row r="444">
          <cell r="F444">
            <v>5854992.6299999999</v>
          </cell>
          <cell r="H444">
            <v>0</v>
          </cell>
          <cell r="I444">
            <v>5854992.6299999999</v>
          </cell>
          <cell r="J444">
            <v>1188326.26</v>
          </cell>
          <cell r="K444">
            <v>7043318.8900000006</v>
          </cell>
          <cell r="M444">
            <v>13167088.739999998</v>
          </cell>
        </row>
        <row r="446">
          <cell r="F446">
            <v>310797.5</v>
          </cell>
          <cell r="H446">
            <v>0</v>
          </cell>
          <cell r="I446">
            <v>310797.5</v>
          </cell>
          <cell r="J446">
            <v>0</v>
          </cell>
          <cell r="K446">
            <v>310797.5</v>
          </cell>
          <cell r="M446">
            <v>826695</v>
          </cell>
        </row>
        <row r="447">
          <cell r="F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M447">
            <v>28450</v>
          </cell>
        </row>
        <row r="448">
          <cell r="F448">
            <v>310797.5</v>
          </cell>
          <cell r="H448">
            <v>0</v>
          </cell>
          <cell r="I448">
            <v>310797.5</v>
          </cell>
          <cell r="J448">
            <v>0</v>
          </cell>
          <cell r="K448">
            <v>310797.5</v>
          </cell>
          <cell r="M448">
            <v>855145</v>
          </cell>
        </row>
        <row r="450">
          <cell r="F450">
            <v>18250</v>
          </cell>
          <cell r="H450">
            <v>0</v>
          </cell>
          <cell r="I450">
            <v>18250</v>
          </cell>
          <cell r="J450">
            <v>0</v>
          </cell>
          <cell r="K450">
            <v>18250</v>
          </cell>
          <cell r="M450">
            <v>0</v>
          </cell>
        </row>
        <row r="451">
          <cell r="F451">
            <v>455000</v>
          </cell>
          <cell r="H451">
            <v>0</v>
          </cell>
          <cell r="I451">
            <v>455000</v>
          </cell>
          <cell r="J451">
            <v>0</v>
          </cell>
          <cell r="K451">
            <v>455000</v>
          </cell>
          <cell r="M451">
            <v>240000</v>
          </cell>
        </row>
        <row r="452">
          <cell r="F452">
            <v>410000</v>
          </cell>
          <cell r="H452">
            <v>0</v>
          </cell>
          <cell r="I452">
            <v>410000</v>
          </cell>
          <cell r="J452">
            <v>0</v>
          </cell>
          <cell r="K452">
            <v>410000</v>
          </cell>
          <cell r="M452">
            <v>240000</v>
          </cell>
        </row>
        <row r="453">
          <cell r="F453">
            <v>883250</v>
          </cell>
          <cell r="H453">
            <v>0</v>
          </cell>
          <cell r="I453">
            <v>883250</v>
          </cell>
          <cell r="J453">
            <v>0</v>
          </cell>
          <cell r="K453">
            <v>883250</v>
          </cell>
          <cell r="M453">
            <v>480000</v>
          </cell>
        </row>
        <row r="455">
          <cell r="F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M455">
            <v>0</v>
          </cell>
        </row>
        <row r="457">
          <cell r="F457">
            <v>1180228.46</v>
          </cell>
          <cell r="H457">
            <v>45552.55</v>
          </cell>
          <cell r="I457">
            <v>1225781.01</v>
          </cell>
          <cell r="J457">
            <v>0</v>
          </cell>
          <cell r="K457">
            <v>1225781.01</v>
          </cell>
          <cell r="M457">
            <v>2914387.37</v>
          </cell>
        </row>
        <row r="458">
          <cell r="F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M458">
            <v>116433.33</v>
          </cell>
        </row>
        <row r="459">
          <cell r="F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M459">
            <v>107950</v>
          </cell>
        </row>
        <row r="460">
          <cell r="F460">
            <v>1180228.46</v>
          </cell>
          <cell r="H460">
            <v>45552.55</v>
          </cell>
          <cell r="I460">
            <v>1225781.01</v>
          </cell>
          <cell r="J460">
            <v>0</v>
          </cell>
          <cell r="K460">
            <v>1225781.01</v>
          </cell>
          <cell r="M460">
            <v>3138770.7</v>
          </cell>
        </row>
        <row r="462">
          <cell r="F462">
            <v>1253177.25</v>
          </cell>
          <cell r="H462">
            <v>0</v>
          </cell>
          <cell r="I462">
            <v>1253177.25</v>
          </cell>
          <cell r="J462">
            <v>0</v>
          </cell>
          <cell r="K462">
            <v>1253177.25</v>
          </cell>
          <cell r="M462">
            <v>2466518</v>
          </cell>
        </row>
        <row r="463">
          <cell r="F463">
            <v>144672.5</v>
          </cell>
          <cell r="H463">
            <v>0</v>
          </cell>
          <cell r="I463">
            <v>144672.5</v>
          </cell>
          <cell r="J463">
            <v>0</v>
          </cell>
          <cell r="K463">
            <v>144672.5</v>
          </cell>
          <cell r="M463">
            <v>876405</v>
          </cell>
        </row>
        <row r="464">
          <cell r="F464">
            <v>439640.97</v>
          </cell>
          <cell r="H464">
            <v>0</v>
          </cell>
          <cell r="I464">
            <v>439640.97</v>
          </cell>
          <cell r="J464">
            <v>0</v>
          </cell>
          <cell r="K464">
            <v>439640.97</v>
          </cell>
          <cell r="M464">
            <v>1055986.03</v>
          </cell>
        </row>
        <row r="465">
          <cell r="F465">
            <v>1837490.72</v>
          </cell>
          <cell r="H465">
            <v>0</v>
          </cell>
          <cell r="I465">
            <v>1837490.72</v>
          </cell>
          <cell r="J465">
            <v>0</v>
          </cell>
          <cell r="K465">
            <v>1837490.72</v>
          </cell>
          <cell r="M465">
            <v>4398909.03</v>
          </cell>
        </row>
        <row r="467">
          <cell r="F467">
            <v>1773064.6</v>
          </cell>
          <cell r="H467">
            <v>0</v>
          </cell>
          <cell r="I467">
            <v>1773064.6</v>
          </cell>
          <cell r="J467">
            <v>0</v>
          </cell>
          <cell r="K467">
            <v>1773064.6</v>
          </cell>
          <cell r="M467">
            <v>1610025</v>
          </cell>
        </row>
        <row r="468">
          <cell r="F468">
            <v>950000</v>
          </cell>
          <cell r="H468">
            <v>0</v>
          </cell>
          <cell r="I468">
            <v>950000</v>
          </cell>
          <cell r="J468">
            <v>0</v>
          </cell>
          <cell r="K468">
            <v>950000</v>
          </cell>
          <cell r="M468">
            <v>1152000</v>
          </cell>
        </row>
        <row r="469">
          <cell r="F469">
            <v>2723064.6</v>
          </cell>
          <cell r="H469">
            <v>0</v>
          </cell>
          <cell r="I469">
            <v>2723064.6</v>
          </cell>
          <cell r="J469">
            <v>0</v>
          </cell>
          <cell r="K469">
            <v>2723064.6</v>
          </cell>
          <cell r="M469">
            <v>2762025</v>
          </cell>
        </row>
        <row r="471">
          <cell r="F471">
            <v>700000</v>
          </cell>
          <cell r="H471">
            <v>4300000</v>
          </cell>
          <cell r="I471">
            <v>5000000</v>
          </cell>
          <cell r="J471">
            <v>0</v>
          </cell>
          <cell r="K471">
            <v>5000000</v>
          </cell>
          <cell r="M471">
            <v>3000000</v>
          </cell>
        </row>
        <row r="472">
          <cell r="F472">
            <v>700000</v>
          </cell>
          <cell r="H472">
            <v>4300000</v>
          </cell>
          <cell r="I472">
            <v>5000000</v>
          </cell>
          <cell r="J472">
            <v>0</v>
          </cell>
          <cell r="K472">
            <v>5000000</v>
          </cell>
          <cell r="M472">
            <v>3000000</v>
          </cell>
        </row>
        <row r="474">
          <cell r="F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M474">
            <v>1721168.33</v>
          </cell>
        </row>
        <row r="475">
          <cell r="F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M475">
            <v>1721168.33</v>
          </cell>
        </row>
        <row r="477">
          <cell r="F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M477">
            <v>66960.3</v>
          </cell>
        </row>
        <row r="478">
          <cell r="F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M478">
            <v>66960.3</v>
          </cell>
        </row>
        <row r="480">
          <cell r="F480">
            <v>1216400</v>
          </cell>
          <cell r="H480">
            <v>0</v>
          </cell>
          <cell r="I480">
            <v>1216400</v>
          </cell>
          <cell r="J480">
            <v>0</v>
          </cell>
          <cell r="K480">
            <v>1216400</v>
          </cell>
          <cell r="M480">
            <v>819800</v>
          </cell>
        </row>
        <row r="481">
          <cell r="F481">
            <v>2863835</v>
          </cell>
          <cell r="H481">
            <v>0</v>
          </cell>
          <cell r="I481">
            <v>2863835</v>
          </cell>
          <cell r="J481">
            <v>0</v>
          </cell>
          <cell r="K481">
            <v>2863835</v>
          </cell>
          <cell r="M481">
            <v>4998500</v>
          </cell>
        </row>
        <row r="482">
          <cell r="F482">
            <v>-422421.18</v>
          </cell>
          <cell r="H482">
            <v>0</v>
          </cell>
          <cell r="I482">
            <v>-422421.18</v>
          </cell>
          <cell r="J482">
            <v>0</v>
          </cell>
          <cell r="K482">
            <v>-422421.18</v>
          </cell>
          <cell r="M482">
            <v>153315</v>
          </cell>
        </row>
        <row r="483">
          <cell r="F483">
            <v>3657813.82</v>
          </cell>
          <cell r="H483">
            <v>0</v>
          </cell>
          <cell r="I483">
            <v>3657813.82</v>
          </cell>
          <cell r="J483">
            <v>0</v>
          </cell>
          <cell r="K483">
            <v>3657813.82</v>
          </cell>
          <cell r="M483">
            <v>5971615</v>
          </cell>
        </row>
        <row r="485">
          <cell r="F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M485">
            <v>6561183.3300000001</v>
          </cell>
        </row>
        <row r="486">
          <cell r="F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M486">
            <v>6561183.3300000001</v>
          </cell>
        </row>
        <row r="488">
          <cell r="F488">
            <v>1100660.8700000001</v>
          </cell>
          <cell r="H488">
            <v>55794.89</v>
          </cell>
          <cell r="I488">
            <v>1156455.76</v>
          </cell>
          <cell r="J488">
            <v>0</v>
          </cell>
          <cell r="K488">
            <v>1156455.76</v>
          </cell>
          <cell r="M488">
            <v>7490000</v>
          </cell>
        </row>
        <row r="489">
          <cell r="F489">
            <v>5668304.3700000001</v>
          </cell>
          <cell r="H489">
            <v>891274.46</v>
          </cell>
          <cell r="I489">
            <v>6559578.8300000001</v>
          </cell>
          <cell r="J489">
            <v>0</v>
          </cell>
          <cell r="K489">
            <v>6559578.8300000001</v>
          </cell>
          <cell r="M489">
            <v>43804065</v>
          </cell>
        </row>
        <row r="490">
          <cell r="F490">
            <v>6768965.2400000002</v>
          </cell>
          <cell r="H490">
            <v>947069.35</v>
          </cell>
          <cell r="I490">
            <v>7716034.5899999999</v>
          </cell>
          <cell r="J490">
            <v>0</v>
          </cell>
          <cell r="K490">
            <v>7716034.5899999999</v>
          </cell>
          <cell r="M490">
            <v>51294065</v>
          </cell>
        </row>
        <row r="492">
          <cell r="F492">
            <v>420250</v>
          </cell>
          <cell r="H492">
            <v>0</v>
          </cell>
          <cell r="I492">
            <v>420250</v>
          </cell>
          <cell r="J492">
            <v>0</v>
          </cell>
          <cell r="K492">
            <v>420250</v>
          </cell>
          <cell r="M492">
            <v>561980</v>
          </cell>
        </row>
        <row r="493">
          <cell r="F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M493">
            <v>280000</v>
          </cell>
        </row>
        <row r="494">
          <cell r="F494">
            <v>420250</v>
          </cell>
          <cell r="H494">
            <v>0</v>
          </cell>
          <cell r="I494">
            <v>420250</v>
          </cell>
          <cell r="J494">
            <v>0</v>
          </cell>
          <cell r="K494">
            <v>420250</v>
          </cell>
          <cell r="M494">
            <v>841980</v>
          </cell>
        </row>
        <row r="496">
          <cell r="F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M496">
            <v>0</v>
          </cell>
        </row>
        <row r="498">
          <cell r="F498">
            <v>0</v>
          </cell>
          <cell r="H498">
            <v>0</v>
          </cell>
          <cell r="I498">
            <v>0</v>
          </cell>
          <cell r="J498">
            <v>0</v>
          </cell>
          <cell r="K498">
            <v>0</v>
          </cell>
          <cell r="M498">
            <v>0</v>
          </cell>
        </row>
        <row r="500">
          <cell r="F500">
            <v>199230</v>
          </cell>
          <cell r="H500">
            <v>0</v>
          </cell>
          <cell r="I500">
            <v>199230</v>
          </cell>
          <cell r="J500">
            <v>0</v>
          </cell>
          <cell r="K500">
            <v>199230</v>
          </cell>
          <cell r="M500">
            <v>223125.85</v>
          </cell>
        </row>
        <row r="501">
          <cell r="F501">
            <v>0</v>
          </cell>
          <cell r="H501">
            <v>0</v>
          </cell>
          <cell r="I501">
            <v>0</v>
          </cell>
          <cell r="J501">
            <v>0</v>
          </cell>
          <cell r="K501">
            <v>0</v>
          </cell>
          <cell r="M501">
            <v>26070</v>
          </cell>
        </row>
        <row r="502">
          <cell r="F502">
            <v>199230</v>
          </cell>
          <cell r="H502">
            <v>0</v>
          </cell>
          <cell r="I502">
            <v>199230</v>
          </cell>
          <cell r="J502">
            <v>0</v>
          </cell>
          <cell r="K502">
            <v>199230</v>
          </cell>
          <cell r="M502">
            <v>249195.85</v>
          </cell>
        </row>
        <row r="504">
          <cell r="F504">
            <v>3052000</v>
          </cell>
          <cell r="H504">
            <v>0</v>
          </cell>
          <cell r="I504">
            <v>3052000</v>
          </cell>
          <cell r="J504">
            <v>0</v>
          </cell>
          <cell r="K504">
            <v>3052000</v>
          </cell>
          <cell r="M504">
            <v>2439800.16</v>
          </cell>
        </row>
        <row r="505">
          <cell r="F505">
            <v>3052000</v>
          </cell>
          <cell r="H505">
            <v>0</v>
          </cell>
          <cell r="I505">
            <v>3052000</v>
          </cell>
          <cell r="J505">
            <v>0</v>
          </cell>
          <cell r="K505">
            <v>3052000</v>
          </cell>
          <cell r="M505">
            <v>2439800.16</v>
          </cell>
        </row>
        <row r="507">
          <cell r="F507">
            <v>0</v>
          </cell>
          <cell r="H507">
            <v>0</v>
          </cell>
          <cell r="I507">
            <v>0</v>
          </cell>
          <cell r="J507">
            <v>0</v>
          </cell>
          <cell r="K507">
            <v>0</v>
          </cell>
          <cell r="M507">
            <v>0</v>
          </cell>
        </row>
        <row r="509">
          <cell r="F509">
            <v>-452360</v>
          </cell>
          <cell r="H509">
            <v>0</v>
          </cell>
          <cell r="I509">
            <v>-452360</v>
          </cell>
          <cell r="J509">
            <v>0</v>
          </cell>
          <cell r="K509">
            <v>-452360</v>
          </cell>
          <cell r="M509">
            <v>0</v>
          </cell>
        </row>
        <row r="510">
          <cell r="F510">
            <v>-2447849.4</v>
          </cell>
          <cell r="H510">
            <v>0</v>
          </cell>
          <cell r="I510">
            <v>-2447849.4</v>
          </cell>
          <cell r="J510">
            <v>-393850</v>
          </cell>
          <cell r="K510">
            <v>-2841699.4</v>
          </cell>
          <cell r="M510">
            <v>-183300</v>
          </cell>
        </row>
        <row r="511">
          <cell r="F511">
            <v>-2220389.7200000002</v>
          </cell>
          <cell r="H511">
            <v>0</v>
          </cell>
          <cell r="I511">
            <v>-2220389.7200000002</v>
          </cell>
          <cell r="J511">
            <v>0</v>
          </cell>
          <cell r="K511">
            <v>-2220389.7200000002</v>
          </cell>
          <cell r="M511">
            <v>-10117409.33</v>
          </cell>
        </row>
        <row r="512">
          <cell r="F512">
            <v>-5120599.12</v>
          </cell>
          <cell r="H512">
            <v>0</v>
          </cell>
          <cell r="I512">
            <v>-5120599.12</v>
          </cell>
          <cell r="J512">
            <v>-393850</v>
          </cell>
          <cell r="K512">
            <v>-5514449.1200000001</v>
          </cell>
          <cell r="M512">
            <v>-10300709.33</v>
          </cell>
        </row>
        <row r="514">
          <cell r="F514">
            <v>4500</v>
          </cell>
          <cell r="H514">
            <v>0</v>
          </cell>
          <cell r="I514">
            <v>4500</v>
          </cell>
          <cell r="J514">
            <v>0</v>
          </cell>
          <cell r="K514">
            <v>4500</v>
          </cell>
          <cell r="M514">
            <v>204097.01</v>
          </cell>
        </row>
        <row r="515">
          <cell r="F515">
            <v>2642137.1</v>
          </cell>
          <cell r="H515">
            <v>0</v>
          </cell>
          <cell r="I515">
            <v>2642137.1</v>
          </cell>
          <cell r="J515">
            <v>0</v>
          </cell>
          <cell r="K515">
            <v>2642137.1</v>
          </cell>
          <cell r="M515">
            <v>4497672.1900000004</v>
          </cell>
        </row>
        <row r="516">
          <cell r="F516">
            <v>2646637.1</v>
          </cell>
          <cell r="H516">
            <v>0</v>
          </cell>
          <cell r="I516">
            <v>2646637.1</v>
          </cell>
          <cell r="J516">
            <v>0</v>
          </cell>
          <cell r="K516">
            <v>2646637.1</v>
          </cell>
          <cell r="M516">
            <v>4701769.2</v>
          </cell>
        </row>
        <row r="518">
          <cell r="F518">
            <v>0</v>
          </cell>
          <cell r="H518">
            <v>0</v>
          </cell>
          <cell r="I518">
            <v>0</v>
          </cell>
          <cell r="J518">
            <v>0</v>
          </cell>
          <cell r="K518">
            <v>0</v>
          </cell>
          <cell r="M518">
            <v>0</v>
          </cell>
        </row>
        <row r="520">
          <cell r="F520">
            <v>0</v>
          </cell>
          <cell r="H520">
            <v>0</v>
          </cell>
          <cell r="I520">
            <v>0</v>
          </cell>
          <cell r="J520">
            <v>0</v>
          </cell>
          <cell r="K520">
            <v>0</v>
          </cell>
          <cell r="M520">
            <v>0</v>
          </cell>
        </row>
        <row r="522">
          <cell r="F522">
            <v>0</v>
          </cell>
          <cell r="H522">
            <v>0</v>
          </cell>
          <cell r="I522">
            <v>0</v>
          </cell>
          <cell r="J522">
            <v>0</v>
          </cell>
          <cell r="K522">
            <v>0</v>
          </cell>
          <cell r="M522">
            <v>0</v>
          </cell>
        </row>
        <row r="523">
          <cell r="F523">
            <v>5.1222741603851318E-9</v>
          </cell>
          <cell r="H523">
            <v>-6.1700120568275452E-9</v>
          </cell>
          <cell r="I523">
            <v>-1.5366822481155396E-8</v>
          </cell>
          <cell r="J523">
            <v>2.3283064365386963E-10</v>
          </cell>
          <cell r="K523">
            <v>-7.8696757555007935E-8</v>
          </cell>
          <cell r="M523">
            <v>30.219999958761036</v>
          </cell>
        </row>
      </sheetData>
      <sheetData sheetId="1">
        <row r="1">
          <cell r="F1" t="str">
            <v>Preliminary</v>
          </cell>
          <cell r="G1" t="str">
            <v>AJE</v>
          </cell>
          <cell r="H1" t="str">
            <v>Adjusted</v>
          </cell>
          <cell r="I1" t="str">
            <v>RJE</v>
          </cell>
          <cell r="J1" t="str">
            <v>Final</v>
          </cell>
          <cell r="K1" t="str">
            <v>PY1</v>
          </cell>
        </row>
        <row r="3">
          <cell r="F3">
            <v>0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1630338.43</v>
          </cell>
        </row>
        <row r="4"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-150000</v>
          </cell>
        </row>
        <row r="5">
          <cell r="F5">
            <v>906001.55</v>
          </cell>
          <cell r="G5">
            <v>0</v>
          </cell>
          <cell r="H5">
            <v>906001.55</v>
          </cell>
          <cell r="I5">
            <v>0</v>
          </cell>
          <cell r="J5">
            <v>906001.55</v>
          </cell>
          <cell r="K5">
            <v>0</v>
          </cell>
        </row>
        <row r="6">
          <cell r="F6">
            <v>-398141.5</v>
          </cell>
          <cell r="G6">
            <v>0</v>
          </cell>
          <cell r="H6">
            <v>-398141.5</v>
          </cell>
          <cell r="I6">
            <v>0</v>
          </cell>
          <cell r="J6">
            <v>-398141.5</v>
          </cell>
          <cell r="K6">
            <v>0</v>
          </cell>
        </row>
        <row r="7">
          <cell r="F7">
            <v>-3052858.28</v>
          </cell>
          <cell r="G7">
            <v>0</v>
          </cell>
          <cell r="H7">
            <v>-3052858.28</v>
          </cell>
          <cell r="I7">
            <v>0</v>
          </cell>
          <cell r="J7">
            <v>-3052858.28</v>
          </cell>
          <cell r="K7">
            <v>0</v>
          </cell>
        </row>
        <row r="8">
          <cell r="F8">
            <v>437914.87</v>
          </cell>
          <cell r="G8">
            <v>0</v>
          </cell>
          <cell r="H8">
            <v>437914.87</v>
          </cell>
          <cell r="I8">
            <v>0</v>
          </cell>
          <cell r="J8">
            <v>437914.87</v>
          </cell>
          <cell r="K8">
            <v>0</v>
          </cell>
        </row>
        <row r="9">
          <cell r="F9">
            <v>816090.12</v>
          </cell>
          <cell r="G9">
            <v>0</v>
          </cell>
          <cell r="H9">
            <v>816090.12</v>
          </cell>
          <cell r="I9">
            <v>0</v>
          </cell>
          <cell r="J9">
            <v>816090.12</v>
          </cell>
          <cell r="K9">
            <v>0</v>
          </cell>
        </row>
        <row r="10">
          <cell r="F10">
            <v>-1290993.2399999993</v>
          </cell>
          <cell r="G10">
            <v>0</v>
          </cell>
          <cell r="H10">
            <v>-1290993.2399999993</v>
          </cell>
          <cell r="I10">
            <v>0</v>
          </cell>
          <cell r="J10">
            <v>-1290993.2399999993</v>
          </cell>
          <cell r="K10">
            <v>1480338.43</v>
          </cell>
        </row>
        <row r="12"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30070.91</v>
          </cell>
        </row>
        <row r="13">
          <cell r="F13">
            <v>4583.4399999999996</v>
          </cell>
          <cell r="G13">
            <v>0</v>
          </cell>
          <cell r="H13">
            <v>4583.4399999999996</v>
          </cell>
          <cell r="I13">
            <v>0</v>
          </cell>
          <cell r="J13">
            <v>4583.4399999999996</v>
          </cell>
          <cell r="K13">
            <v>4583.4399999999996</v>
          </cell>
        </row>
        <row r="14">
          <cell r="F14">
            <v>20045.36</v>
          </cell>
          <cell r="G14">
            <v>0</v>
          </cell>
          <cell r="H14">
            <v>20045.36</v>
          </cell>
          <cell r="I14">
            <v>0</v>
          </cell>
          <cell r="J14">
            <v>20045.36</v>
          </cell>
          <cell r="K14">
            <v>20045.36</v>
          </cell>
        </row>
        <row r="15">
          <cell r="F15">
            <v>15193.26</v>
          </cell>
          <cell r="G15">
            <v>0</v>
          </cell>
          <cell r="H15">
            <v>15193.26</v>
          </cell>
          <cell r="I15">
            <v>0</v>
          </cell>
          <cell r="J15">
            <v>15193.26</v>
          </cell>
          <cell r="K15">
            <v>15193.26</v>
          </cell>
        </row>
        <row r="16">
          <cell r="F16">
            <v>37442.83</v>
          </cell>
          <cell r="G16">
            <v>0</v>
          </cell>
          <cell r="H16">
            <v>37442.83</v>
          </cell>
          <cell r="I16">
            <v>0</v>
          </cell>
          <cell r="J16">
            <v>37442.83</v>
          </cell>
          <cell r="K16">
            <v>37442.83</v>
          </cell>
        </row>
        <row r="17">
          <cell r="F17">
            <v>7023.25</v>
          </cell>
          <cell r="G17">
            <v>0</v>
          </cell>
          <cell r="H17">
            <v>7023.25</v>
          </cell>
          <cell r="I17">
            <v>0</v>
          </cell>
          <cell r="J17">
            <v>7023.25</v>
          </cell>
          <cell r="K17">
            <v>7023.25</v>
          </cell>
        </row>
        <row r="18">
          <cell r="F18">
            <v>13111.14</v>
          </cell>
          <cell r="G18">
            <v>787827.28</v>
          </cell>
          <cell r="H18">
            <v>800938.42</v>
          </cell>
          <cell r="I18">
            <v>0</v>
          </cell>
          <cell r="J18">
            <v>800938.42</v>
          </cell>
          <cell r="K18">
            <v>384836.44</v>
          </cell>
        </row>
        <row r="19">
          <cell r="F19">
            <v>1027256.59</v>
          </cell>
          <cell r="G19">
            <v>0</v>
          </cell>
          <cell r="H19">
            <v>1027256.59</v>
          </cell>
          <cell r="I19">
            <v>0</v>
          </cell>
          <cell r="J19">
            <v>1027256.59</v>
          </cell>
          <cell r="K19">
            <v>2663240.08</v>
          </cell>
        </row>
        <row r="20">
          <cell r="F20">
            <v>41811.81</v>
          </cell>
          <cell r="G20">
            <v>0</v>
          </cell>
          <cell r="H20">
            <v>41811.81</v>
          </cell>
          <cell r="I20">
            <v>0</v>
          </cell>
          <cell r="J20">
            <v>41811.81</v>
          </cell>
          <cell r="K20">
            <v>909742.38</v>
          </cell>
        </row>
        <row r="21">
          <cell r="F21">
            <v>-52188.12</v>
          </cell>
          <cell r="G21">
            <v>-37443</v>
          </cell>
          <cell r="H21">
            <v>-89631.12</v>
          </cell>
          <cell r="I21">
            <v>0</v>
          </cell>
          <cell r="J21">
            <v>-89631.12</v>
          </cell>
          <cell r="K21">
            <v>-76916.22</v>
          </cell>
        </row>
        <row r="22">
          <cell r="F22">
            <v>8121129.4500000002</v>
          </cell>
          <cell r="G22">
            <v>-4228108.2699999996</v>
          </cell>
          <cell r="H22">
            <v>3893021.18</v>
          </cell>
          <cell r="I22">
            <v>0</v>
          </cell>
          <cell r="J22">
            <v>3893021.18</v>
          </cell>
          <cell r="K22">
            <v>0</v>
          </cell>
        </row>
        <row r="23">
          <cell r="F23">
            <v>4340380.37</v>
          </cell>
          <cell r="G23">
            <v>-77665.179999999993</v>
          </cell>
          <cell r="H23">
            <v>4262715.1900000004</v>
          </cell>
          <cell r="I23">
            <v>0</v>
          </cell>
          <cell r="J23">
            <v>4262715.1900000004</v>
          </cell>
          <cell r="K23">
            <v>0</v>
          </cell>
        </row>
        <row r="24">
          <cell r="F24">
            <v>67018</v>
          </cell>
          <cell r="G24">
            <v>0</v>
          </cell>
          <cell r="H24">
            <v>67018</v>
          </cell>
          <cell r="I24">
            <v>0</v>
          </cell>
          <cell r="J24">
            <v>67018</v>
          </cell>
          <cell r="K24">
            <v>0</v>
          </cell>
        </row>
        <row r="25">
          <cell r="F25">
            <v>871269.69</v>
          </cell>
          <cell r="G25">
            <v>0</v>
          </cell>
          <cell r="H25">
            <v>871269.69</v>
          </cell>
          <cell r="I25">
            <v>0</v>
          </cell>
          <cell r="J25">
            <v>871269.69</v>
          </cell>
          <cell r="K25">
            <v>0</v>
          </cell>
        </row>
        <row r="26">
          <cell r="F26">
            <v>4419443.5</v>
          </cell>
          <cell r="G26">
            <v>0</v>
          </cell>
          <cell r="H26">
            <v>4419443.5</v>
          </cell>
          <cell r="I26">
            <v>0</v>
          </cell>
          <cell r="J26">
            <v>4419443.5</v>
          </cell>
          <cell r="K26">
            <v>0</v>
          </cell>
        </row>
        <row r="27">
          <cell r="F27">
            <v>-6660031.3899999997</v>
          </cell>
          <cell r="G27">
            <v>0</v>
          </cell>
          <cell r="H27">
            <v>-6660031.3899999997</v>
          </cell>
          <cell r="I27">
            <v>0</v>
          </cell>
          <cell r="J27">
            <v>-6660031.3899999997</v>
          </cell>
          <cell r="K27">
            <v>0</v>
          </cell>
        </row>
        <row r="28"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55798.559999999998</v>
          </cell>
        </row>
        <row r="29"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445432.77</v>
          </cell>
        </row>
        <row r="30"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23941.62</v>
          </cell>
        </row>
        <row r="31">
          <cell r="F31">
            <v>12273489.18</v>
          </cell>
          <cell r="G31">
            <v>-3555389.1699999995</v>
          </cell>
          <cell r="H31">
            <v>8718100.0100000016</v>
          </cell>
          <cell r="I31">
            <v>0</v>
          </cell>
          <cell r="J31">
            <v>8718100.0100000016</v>
          </cell>
          <cell r="K31">
            <v>4520434.6800000006</v>
          </cell>
        </row>
        <row r="33">
          <cell r="F33">
            <v>-110262.39999999999</v>
          </cell>
          <cell r="G33">
            <v>0</v>
          </cell>
          <cell r="H33">
            <v>-110262.39999999999</v>
          </cell>
          <cell r="I33">
            <v>0</v>
          </cell>
          <cell r="J33">
            <v>-110262.39999999999</v>
          </cell>
          <cell r="K33">
            <v>0</v>
          </cell>
        </row>
        <row r="34"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-164672.07999999999</v>
          </cell>
        </row>
        <row r="35"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-5607225.3099999996</v>
          </cell>
        </row>
        <row r="36">
          <cell r="F36">
            <v>49040.85</v>
          </cell>
          <cell r="G36">
            <v>-291116</v>
          </cell>
          <cell r="H36">
            <v>-242075.15</v>
          </cell>
          <cell r="I36">
            <v>0</v>
          </cell>
          <cell r="J36">
            <v>-242075.15</v>
          </cell>
          <cell r="K36">
            <v>0</v>
          </cell>
        </row>
        <row r="37">
          <cell r="F37">
            <v>5342.81</v>
          </cell>
          <cell r="G37">
            <v>-150791.82999999999</v>
          </cell>
          <cell r="H37">
            <v>-145449.01999999999</v>
          </cell>
          <cell r="I37">
            <v>0</v>
          </cell>
          <cell r="J37">
            <v>-145449.01999999999</v>
          </cell>
          <cell r="K37">
            <v>0</v>
          </cell>
        </row>
        <row r="38">
          <cell r="F38">
            <v>-135242.46</v>
          </cell>
          <cell r="G38">
            <v>-2700177.39</v>
          </cell>
          <cell r="H38">
            <v>-2835419.85</v>
          </cell>
          <cell r="I38">
            <v>0</v>
          </cell>
          <cell r="J38">
            <v>-2835419.85</v>
          </cell>
          <cell r="K38">
            <v>0</v>
          </cell>
        </row>
        <row r="39">
          <cell r="F39">
            <v>-191121.19999999998</v>
          </cell>
          <cell r="G39">
            <v>-3142085.22</v>
          </cell>
          <cell r="H39">
            <v>-3333206.42</v>
          </cell>
          <cell r="I39">
            <v>0</v>
          </cell>
          <cell r="J39">
            <v>-3333206.42</v>
          </cell>
          <cell r="K39">
            <v>-5771897.3899999997</v>
          </cell>
        </row>
        <row r="41">
          <cell r="F41">
            <v>220985322.03</v>
          </cell>
          <cell r="G41">
            <v>0</v>
          </cell>
          <cell r="H41">
            <v>220985322.03</v>
          </cell>
          <cell r="I41">
            <v>0</v>
          </cell>
          <cell r="J41">
            <v>220985322.03</v>
          </cell>
          <cell r="K41">
            <v>133071260.63</v>
          </cell>
        </row>
        <row r="42">
          <cell r="F42">
            <v>-36348967.299999997</v>
          </cell>
          <cell r="G42">
            <v>-46894969.759999998</v>
          </cell>
          <cell r="H42">
            <v>-83243937.060000002</v>
          </cell>
          <cell r="I42">
            <v>0</v>
          </cell>
          <cell r="J42">
            <v>-83243937.060000002</v>
          </cell>
          <cell r="K42">
            <v>0</v>
          </cell>
        </row>
        <row r="43">
          <cell r="F43">
            <v>184636354.73000002</v>
          </cell>
          <cell r="G43">
            <v>-46894969.759999998</v>
          </cell>
          <cell r="H43">
            <v>137741384.97</v>
          </cell>
          <cell r="I43">
            <v>0</v>
          </cell>
          <cell r="J43">
            <v>137741384.97</v>
          </cell>
          <cell r="K43">
            <v>133071260.63</v>
          </cell>
        </row>
        <row r="45"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3475147.96</v>
          </cell>
        </row>
        <row r="46"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</row>
        <row r="47"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</row>
        <row r="48"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</row>
        <row r="49">
          <cell r="F49">
            <v>3414335.67</v>
          </cell>
          <cell r="G49">
            <v>0</v>
          </cell>
          <cell r="H49">
            <v>3414335.67</v>
          </cell>
          <cell r="I49">
            <v>0</v>
          </cell>
          <cell r="J49">
            <v>3414335.67</v>
          </cell>
          <cell r="K49">
            <v>0</v>
          </cell>
        </row>
        <row r="50">
          <cell r="F50">
            <v>4388588.43</v>
          </cell>
          <cell r="G50">
            <v>0</v>
          </cell>
          <cell r="H50">
            <v>4388588.43</v>
          </cell>
          <cell r="I50">
            <v>0</v>
          </cell>
          <cell r="J50">
            <v>4388588.43</v>
          </cell>
          <cell r="K50">
            <v>0</v>
          </cell>
        </row>
        <row r="51">
          <cell r="F51">
            <v>-366522.97</v>
          </cell>
          <cell r="G51">
            <v>0</v>
          </cell>
          <cell r="H51">
            <v>-366522.97</v>
          </cell>
          <cell r="I51">
            <v>0</v>
          </cell>
          <cell r="J51">
            <v>-366522.97</v>
          </cell>
          <cell r="K51">
            <v>0</v>
          </cell>
        </row>
        <row r="52">
          <cell r="F52">
            <v>0</v>
          </cell>
          <cell r="G52">
            <v>-4388588</v>
          </cell>
          <cell r="H52">
            <v>-4388588</v>
          </cell>
          <cell r="I52">
            <v>0</v>
          </cell>
          <cell r="J52">
            <v>-4388588</v>
          </cell>
          <cell r="K52">
            <v>0</v>
          </cell>
        </row>
        <row r="53">
          <cell r="F53">
            <v>7436401.1299999999</v>
          </cell>
          <cell r="G53">
            <v>-4388588</v>
          </cell>
          <cell r="H53">
            <v>3047813.13</v>
          </cell>
          <cell r="I53">
            <v>0</v>
          </cell>
          <cell r="J53">
            <v>3047813.13</v>
          </cell>
          <cell r="K53">
            <v>3475147.96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788153.67</v>
          </cell>
        </row>
        <row r="56">
          <cell r="F56">
            <v>173450468.78</v>
          </cell>
          <cell r="G56">
            <v>0</v>
          </cell>
          <cell r="H56">
            <v>173450468.78</v>
          </cell>
          <cell r="I56">
            <v>0</v>
          </cell>
          <cell r="J56">
            <v>173450468.78</v>
          </cell>
          <cell r="K56">
            <v>0</v>
          </cell>
        </row>
        <row r="57">
          <cell r="F57">
            <v>-171340529.44999999</v>
          </cell>
          <cell r="G57">
            <v>0</v>
          </cell>
          <cell r="H57">
            <v>-171340529.44999999</v>
          </cell>
          <cell r="I57">
            <v>0</v>
          </cell>
          <cell r="J57">
            <v>-171340529.44999999</v>
          </cell>
          <cell r="K57">
            <v>0</v>
          </cell>
        </row>
        <row r="58">
          <cell r="F58">
            <v>24250</v>
          </cell>
          <cell r="G58">
            <v>0</v>
          </cell>
          <cell r="H58">
            <v>24250</v>
          </cell>
          <cell r="I58">
            <v>0</v>
          </cell>
          <cell r="J58">
            <v>24250</v>
          </cell>
          <cell r="K58">
            <v>0</v>
          </cell>
        </row>
        <row r="59">
          <cell r="F59">
            <v>-358340</v>
          </cell>
          <cell r="G59">
            <v>0</v>
          </cell>
          <cell r="H59">
            <v>-358340</v>
          </cell>
          <cell r="I59">
            <v>0</v>
          </cell>
          <cell r="J59">
            <v>-358340</v>
          </cell>
          <cell r="K59">
            <v>0</v>
          </cell>
        </row>
        <row r="60">
          <cell r="F60">
            <v>2563933.5499999998</v>
          </cell>
          <cell r="G60">
            <v>0</v>
          </cell>
          <cell r="H60">
            <v>2563933.5499999998</v>
          </cell>
          <cell r="I60">
            <v>0</v>
          </cell>
          <cell r="J60">
            <v>2563933.5499999998</v>
          </cell>
          <cell r="K60">
            <v>0</v>
          </cell>
        </row>
        <row r="61">
          <cell r="F61">
            <v>0</v>
          </cell>
          <cell r="G61">
            <v>-4339782.88</v>
          </cell>
          <cell r="H61">
            <v>-4339782.88</v>
          </cell>
          <cell r="I61">
            <v>0</v>
          </cell>
          <cell r="J61">
            <v>-4339782.88</v>
          </cell>
          <cell r="K61">
            <v>0</v>
          </cell>
        </row>
        <row r="62">
          <cell r="F62">
            <v>4339782.8800000129</v>
          </cell>
          <cell r="G62">
            <v>-4339782.88</v>
          </cell>
          <cell r="H62">
            <v>1.3038516044616699E-8</v>
          </cell>
          <cell r="I62">
            <v>0</v>
          </cell>
          <cell r="J62">
            <v>1.3038516044616699E-8</v>
          </cell>
          <cell r="K62">
            <v>788153.67</v>
          </cell>
        </row>
        <row r="64">
          <cell r="F64">
            <v>2235668.41</v>
          </cell>
          <cell r="G64">
            <v>0</v>
          </cell>
          <cell r="H64">
            <v>2235668.41</v>
          </cell>
          <cell r="I64">
            <v>0</v>
          </cell>
          <cell r="J64">
            <v>2235668.41</v>
          </cell>
          <cell r="K64">
            <v>2028000</v>
          </cell>
        </row>
        <row r="65"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595041.57999999996</v>
          </cell>
        </row>
        <row r="66"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387168.22</v>
          </cell>
        </row>
        <row r="67">
          <cell r="F67">
            <v>2502916.67</v>
          </cell>
          <cell r="G67">
            <v>0</v>
          </cell>
          <cell r="H67">
            <v>2502916.67</v>
          </cell>
          <cell r="I67">
            <v>0</v>
          </cell>
          <cell r="J67">
            <v>2502916.67</v>
          </cell>
          <cell r="K67">
            <v>4966416.67</v>
          </cell>
        </row>
        <row r="68"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</row>
        <row r="69"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</row>
        <row r="70"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403333.34</v>
          </cell>
        </row>
        <row r="71"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-0.02</v>
          </cell>
        </row>
        <row r="72">
          <cell r="F72">
            <v>11629128.789999999</v>
          </cell>
          <cell r="G72">
            <v>0</v>
          </cell>
          <cell r="H72">
            <v>11629128.789999999</v>
          </cell>
          <cell r="I72">
            <v>0</v>
          </cell>
          <cell r="J72">
            <v>11629128.789999999</v>
          </cell>
          <cell r="K72">
            <v>15804069.1</v>
          </cell>
        </row>
        <row r="73">
          <cell r="F73">
            <v>62313511.909999996</v>
          </cell>
          <cell r="G73">
            <v>-20316012.890000001</v>
          </cell>
          <cell r="H73">
            <v>41997499.020000003</v>
          </cell>
          <cell r="I73">
            <v>0</v>
          </cell>
          <cell r="J73">
            <v>41997499.020000003</v>
          </cell>
          <cell r="K73">
            <v>0</v>
          </cell>
        </row>
        <row r="74"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20322.810000000001</v>
          </cell>
        </row>
        <row r="75">
          <cell r="F75">
            <v>10231550.189999999</v>
          </cell>
          <cell r="G75">
            <v>-137238.09</v>
          </cell>
          <cell r="H75">
            <v>10094312.1</v>
          </cell>
          <cell r="I75">
            <v>0</v>
          </cell>
          <cell r="J75">
            <v>10094312.1</v>
          </cell>
          <cell r="K75">
            <v>3450858.6</v>
          </cell>
        </row>
        <row r="76">
          <cell r="F76">
            <v>-1030532.61</v>
          </cell>
          <cell r="G76">
            <v>0</v>
          </cell>
          <cell r="H76">
            <v>-1030532.61</v>
          </cell>
          <cell r="I76">
            <v>0</v>
          </cell>
          <cell r="J76">
            <v>-1030532.61</v>
          </cell>
          <cell r="K76">
            <v>-1030532.61</v>
          </cell>
        </row>
        <row r="77">
          <cell r="F77">
            <v>87882243.359999999</v>
          </cell>
          <cell r="G77">
            <v>-20453250.98</v>
          </cell>
          <cell r="H77">
            <v>67428992.379999995</v>
          </cell>
          <cell r="I77">
            <v>0</v>
          </cell>
          <cell r="J77">
            <v>67428992.379999995</v>
          </cell>
          <cell r="K77">
            <v>26624677.690000001</v>
          </cell>
        </row>
        <row r="79">
          <cell r="F79">
            <v>6472669.1100000003</v>
          </cell>
          <cell r="G79">
            <v>0</v>
          </cell>
          <cell r="H79">
            <v>6472669.1100000003</v>
          </cell>
          <cell r="I79">
            <v>0</v>
          </cell>
          <cell r="J79">
            <v>6472669.1100000003</v>
          </cell>
          <cell r="K79">
            <v>4218119.1100000003</v>
          </cell>
        </row>
        <row r="80"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152550</v>
          </cell>
        </row>
        <row r="81">
          <cell r="F81">
            <v>-1046405.09</v>
          </cell>
          <cell r="G81">
            <v>-574670.21</v>
          </cell>
          <cell r="H81">
            <v>-1621075.3</v>
          </cell>
          <cell r="I81">
            <v>0</v>
          </cell>
          <cell r="J81">
            <v>-1621075.3</v>
          </cell>
          <cell r="K81">
            <v>-888923.33</v>
          </cell>
        </row>
        <row r="82">
          <cell r="F82">
            <v>5426264.0200000005</v>
          </cell>
          <cell r="G82">
            <v>-574670.21</v>
          </cell>
          <cell r="H82">
            <v>4851593.8100000005</v>
          </cell>
          <cell r="I82">
            <v>0</v>
          </cell>
          <cell r="J82">
            <v>4851593.8100000005</v>
          </cell>
          <cell r="K82">
            <v>3481745.7800000003</v>
          </cell>
        </row>
        <row r="84">
          <cell r="F84">
            <v>83154062.629999995</v>
          </cell>
          <cell r="G84">
            <v>0</v>
          </cell>
          <cell r="H84">
            <v>83154062.629999995</v>
          </cell>
          <cell r="I84">
            <v>0</v>
          </cell>
          <cell r="J84">
            <v>83154062.629999995</v>
          </cell>
          <cell r="K84">
            <v>274171804</v>
          </cell>
        </row>
        <row r="85">
          <cell r="F85">
            <v>-38553485.700000003</v>
          </cell>
          <cell r="G85">
            <v>0</v>
          </cell>
          <cell r="H85">
            <v>-38553485.700000003</v>
          </cell>
          <cell r="I85">
            <v>0</v>
          </cell>
          <cell r="J85">
            <v>-38553485.700000003</v>
          </cell>
          <cell r="K85">
            <v>-148144192</v>
          </cell>
        </row>
        <row r="86">
          <cell r="F86">
            <v>44600576.929999992</v>
          </cell>
          <cell r="G86">
            <v>0</v>
          </cell>
          <cell r="H86">
            <v>44600576.929999992</v>
          </cell>
          <cell r="I86">
            <v>0</v>
          </cell>
          <cell r="J86">
            <v>44600576.929999992</v>
          </cell>
          <cell r="K86">
            <v>126027612</v>
          </cell>
        </row>
        <row r="88">
          <cell r="F88">
            <v>8813469.7100000009</v>
          </cell>
          <cell r="G88">
            <v>0</v>
          </cell>
          <cell r="H88">
            <v>8813469.7100000009</v>
          </cell>
          <cell r="I88">
            <v>0</v>
          </cell>
          <cell r="J88">
            <v>8813469.7100000009</v>
          </cell>
          <cell r="K88">
            <v>9336959.1600000001</v>
          </cell>
        </row>
        <row r="89"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129.55000000000001</v>
          </cell>
        </row>
        <row r="90">
          <cell r="F90">
            <v>-4804885.2</v>
          </cell>
          <cell r="G90">
            <v>-722807.59</v>
          </cell>
          <cell r="H90">
            <v>-5527692.79</v>
          </cell>
          <cell r="I90">
            <v>0</v>
          </cell>
          <cell r="J90">
            <v>-5527692.79</v>
          </cell>
          <cell r="K90">
            <v>-3788306</v>
          </cell>
        </row>
        <row r="91"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</row>
        <row r="92">
          <cell r="F92">
            <v>4008584.5100000007</v>
          </cell>
          <cell r="G92">
            <v>-722807.59</v>
          </cell>
          <cell r="H92">
            <v>3285776.9200000009</v>
          </cell>
          <cell r="I92">
            <v>0</v>
          </cell>
          <cell r="J92">
            <v>3285776.9200000009</v>
          </cell>
          <cell r="K92">
            <v>5548782.7100000009</v>
          </cell>
        </row>
        <row r="94">
          <cell r="F94">
            <v>0</v>
          </cell>
          <cell r="G94">
            <v>0</v>
          </cell>
          <cell r="H94">
            <v>0</v>
          </cell>
          <cell r="I94">
            <v>2956218</v>
          </cell>
          <cell r="J94">
            <v>2956218</v>
          </cell>
          <cell r="K94">
            <v>2093618.23</v>
          </cell>
        </row>
        <row r="95">
          <cell r="F95">
            <v>0</v>
          </cell>
          <cell r="G95">
            <v>-546505</v>
          </cell>
          <cell r="H95">
            <v>-546505</v>
          </cell>
          <cell r="I95">
            <v>-661050</v>
          </cell>
          <cell r="J95">
            <v>-1207555</v>
          </cell>
          <cell r="K95">
            <v>-661050</v>
          </cell>
        </row>
        <row r="96">
          <cell r="F96">
            <v>0</v>
          </cell>
          <cell r="G96">
            <v>-546505</v>
          </cell>
          <cell r="H96">
            <v>-546505</v>
          </cell>
          <cell r="I96">
            <v>2295168</v>
          </cell>
          <cell r="J96">
            <v>1748663</v>
          </cell>
          <cell r="K96">
            <v>1432568.23</v>
          </cell>
        </row>
        <row r="98">
          <cell r="F98">
            <v>5988526.2300000004</v>
          </cell>
          <cell r="G98">
            <v>0</v>
          </cell>
          <cell r="H98">
            <v>5988526.2300000004</v>
          </cell>
          <cell r="I98">
            <v>-2993174.8</v>
          </cell>
          <cell r="J98">
            <v>2995351.43</v>
          </cell>
          <cell r="K98">
            <v>2915321.25</v>
          </cell>
        </row>
        <row r="99"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53179.95</v>
          </cell>
        </row>
        <row r="100">
          <cell r="F100">
            <v>-1863349.64</v>
          </cell>
          <cell r="G100">
            <v>-234081.56</v>
          </cell>
          <cell r="H100">
            <v>-2097431.2000000002</v>
          </cell>
          <cell r="I100">
            <v>661050</v>
          </cell>
          <cell r="J100">
            <v>-1436381.2</v>
          </cell>
          <cell r="K100">
            <v>-823118.3</v>
          </cell>
        </row>
        <row r="101"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-25179.63</v>
          </cell>
        </row>
        <row r="102">
          <cell r="F102">
            <v>4125176.5900000008</v>
          </cell>
          <cell r="G102">
            <v>-234081.56</v>
          </cell>
          <cell r="H102">
            <v>3891095.0300000003</v>
          </cell>
          <cell r="I102">
            <v>-2332124.7999999998</v>
          </cell>
          <cell r="J102">
            <v>1558970.2300000002</v>
          </cell>
          <cell r="K102">
            <v>2120203.2700000005</v>
          </cell>
        </row>
        <row r="104"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</row>
        <row r="105"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</row>
        <row r="107">
          <cell r="F107">
            <v>-31642274.210000001</v>
          </cell>
          <cell r="G107">
            <v>0</v>
          </cell>
          <cell r="H107">
            <v>-31642274.210000001</v>
          </cell>
          <cell r="I107">
            <v>805995</v>
          </cell>
          <cell r="J107">
            <v>-30836279.210000001</v>
          </cell>
          <cell r="K107">
            <v>-34963742.710000001</v>
          </cell>
        </row>
        <row r="108">
          <cell r="F108">
            <v>-31642274.210000001</v>
          </cell>
          <cell r="G108">
            <v>0</v>
          </cell>
          <cell r="H108">
            <v>-31642274.210000001</v>
          </cell>
          <cell r="I108">
            <v>805995</v>
          </cell>
          <cell r="J108">
            <v>-30836279.210000001</v>
          </cell>
          <cell r="K108">
            <v>-34963742.710000001</v>
          </cell>
        </row>
        <row r="110">
          <cell r="F110">
            <v>-20628556.949999999</v>
          </cell>
          <cell r="G110">
            <v>0</v>
          </cell>
          <cell r="H110">
            <v>-20628556.949999999</v>
          </cell>
          <cell r="I110">
            <v>0</v>
          </cell>
          <cell r="J110">
            <v>-20628556.949999999</v>
          </cell>
          <cell r="K110">
            <v>-8086593.9500000002</v>
          </cell>
        </row>
        <row r="111">
          <cell r="F111">
            <v>47105.42</v>
          </cell>
          <cell r="G111">
            <v>-47105.42</v>
          </cell>
          <cell r="H111">
            <v>0</v>
          </cell>
          <cell r="I111">
            <v>0</v>
          </cell>
          <cell r="J111">
            <v>0</v>
          </cell>
          <cell r="K111">
            <v>-106845.02</v>
          </cell>
        </row>
        <row r="112"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-118066.76</v>
          </cell>
        </row>
        <row r="113"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-24930.01</v>
          </cell>
        </row>
        <row r="114">
          <cell r="F114">
            <v>6620453.3799999999</v>
          </cell>
          <cell r="G114">
            <v>-6620453.3799999999</v>
          </cell>
          <cell r="H114">
            <v>0</v>
          </cell>
          <cell r="I114">
            <v>0</v>
          </cell>
          <cell r="J114">
            <v>0</v>
          </cell>
          <cell r="K114">
            <v>-3733596.56</v>
          </cell>
        </row>
        <row r="115"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-715542.09</v>
          </cell>
        </row>
        <row r="116"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-1218082.01</v>
          </cell>
        </row>
        <row r="117"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-149005.29999999999</v>
          </cell>
        </row>
        <row r="118"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-968017.33</v>
          </cell>
        </row>
        <row r="119">
          <cell r="F119">
            <v>-5720722.8600000003</v>
          </cell>
          <cell r="G119">
            <v>0</v>
          </cell>
          <cell r="H119">
            <v>-5720722.8600000003</v>
          </cell>
          <cell r="I119">
            <v>0</v>
          </cell>
          <cell r="J119">
            <v>-5720722.8600000003</v>
          </cell>
          <cell r="K119">
            <v>0</v>
          </cell>
        </row>
        <row r="120">
          <cell r="F120">
            <v>-200603</v>
          </cell>
          <cell r="G120">
            <v>0</v>
          </cell>
          <cell r="H120">
            <v>-200603</v>
          </cell>
          <cell r="I120">
            <v>0</v>
          </cell>
          <cell r="J120">
            <v>-200603</v>
          </cell>
          <cell r="K120">
            <v>0</v>
          </cell>
        </row>
        <row r="121">
          <cell r="F121">
            <v>-3075979.64</v>
          </cell>
          <cell r="G121">
            <v>0</v>
          </cell>
          <cell r="H121">
            <v>-3075979.64</v>
          </cell>
          <cell r="I121">
            <v>0</v>
          </cell>
          <cell r="J121">
            <v>-3075979.64</v>
          </cell>
          <cell r="K121">
            <v>0</v>
          </cell>
        </row>
        <row r="122">
          <cell r="F122">
            <v>-1400000</v>
          </cell>
          <cell r="G122">
            <v>0</v>
          </cell>
          <cell r="H122">
            <v>-1400000</v>
          </cell>
          <cell r="I122">
            <v>0</v>
          </cell>
          <cell r="J122">
            <v>-1400000</v>
          </cell>
          <cell r="K122">
            <v>0</v>
          </cell>
        </row>
        <row r="123">
          <cell r="F123">
            <v>-308839.28000000003</v>
          </cell>
          <cell r="G123">
            <v>0</v>
          </cell>
          <cell r="H123">
            <v>-308839.28000000003</v>
          </cell>
          <cell r="I123">
            <v>0</v>
          </cell>
          <cell r="J123">
            <v>-308839.28000000003</v>
          </cell>
          <cell r="K123">
            <v>0</v>
          </cell>
        </row>
        <row r="124">
          <cell r="F124">
            <v>-24667142.93</v>
          </cell>
          <cell r="G124">
            <v>-6667558.7999999998</v>
          </cell>
          <cell r="H124">
            <v>-31334701.73</v>
          </cell>
          <cell r="I124">
            <v>0</v>
          </cell>
          <cell r="J124">
            <v>-31334701.73</v>
          </cell>
          <cell r="K124">
            <v>-15120679.029999999</v>
          </cell>
        </row>
        <row r="126">
          <cell r="F126">
            <v>-18902488.809999999</v>
          </cell>
          <cell r="G126">
            <v>0</v>
          </cell>
          <cell r="H126">
            <v>-18902488.809999999</v>
          </cell>
          <cell r="I126">
            <v>0</v>
          </cell>
          <cell r="J126">
            <v>-18902488.809999999</v>
          </cell>
          <cell r="K126">
            <v>-4952562.58</v>
          </cell>
        </row>
        <row r="127"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-940471.24</v>
          </cell>
        </row>
        <row r="128">
          <cell r="F128">
            <v>-4038011.81</v>
          </cell>
          <cell r="G128">
            <v>0</v>
          </cell>
          <cell r="H128">
            <v>-4038011.81</v>
          </cell>
          <cell r="I128">
            <v>0</v>
          </cell>
          <cell r="J128">
            <v>-4038011.81</v>
          </cell>
          <cell r="K128">
            <v>-3592360.72</v>
          </cell>
        </row>
        <row r="129">
          <cell r="F129">
            <v>1466164.53</v>
          </cell>
          <cell r="G129">
            <v>0</v>
          </cell>
          <cell r="H129">
            <v>1466164.53</v>
          </cell>
          <cell r="I129">
            <v>0</v>
          </cell>
          <cell r="J129">
            <v>1466164.53</v>
          </cell>
          <cell r="K129">
            <v>0</v>
          </cell>
        </row>
        <row r="130">
          <cell r="F130">
            <v>-573769.77</v>
          </cell>
          <cell r="G130">
            <v>0</v>
          </cell>
          <cell r="H130">
            <v>-573769.77</v>
          </cell>
          <cell r="I130">
            <v>0</v>
          </cell>
          <cell r="J130">
            <v>-573769.77</v>
          </cell>
          <cell r="K130">
            <v>0</v>
          </cell>
        </row>
        <row r="131">
          <cell r="F131">
            <v>-5.05</v>
          </cell>
          <cell r="G131">
            <v>5.05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</row>
        <row r="132">
          <cell r="F132">
            <v>-22048110.909999996</v>
          </cell>
          <cell r="G132">
            <v>5.05</v>
          </cell>
          <cell r="H132">
            <v>-22048105.859999996</v>
          </cell>
          <cell r="I132">
            <v>0</v>
          </cell>
          <cell r="J132">
            <v>-22048105.859999996</v>
          </cell>
          <cell r="K132">
            <v>-9485394.540000001</v>
          </cell>
        </row>
        <row r="134"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-901435.23</v>
          </cell>
        </row>
        <row r="135"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-901435.23</v>
          </cell>
        </row>
        <row r="137">
          <cell r="F137">
            <v>-25693133.649999999</v>
          </cell>
          <cell r="G137">
            <v>-5930318.5</v>
          </cell>
          <cell r="H137">
            <v>-31623452.149999999</v>
          </cell>
          <cell r="I137">
            <v>0</v>
          </cell>
          <cell r="J137">
            <v>-31623452.149999999</v>
          </cell>
          <cell r="K137">
            <v>-16356721.07</v>
          </cell>
        </row>
        <row r="138">
          <cell r="F138">
            <v>-25693133.649999999</v>
          </cell>
          <cell r="G138">
            <v>-5930318.5</v>
          </cell>
          <cell r="H138">
            <v>-31623452.149999999</v>
          </cell>
          <cell r="I138">
            <v>0</v>
          </cell>
          <cell r="J138">
            <v>-31623452.149999999</v>
          </cell>
          <cell r="K138">
            <v>-16356721.07</v>
          </cell>
        </row>
        <row r="140"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-50480.480000000003</v>
          </cell>
        </row>
        <row r="141"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-65555.62</v>
          </cell>
        </row>
        <row r="142">
          <cell r="F142">
            <v>0</v>
          </cell>
          <cell r="G142">
            <v>0</v>
          </cell>
          <cell r="H142">
            <v>0</v>
          </cell>
          <cell r="I142">
            <v>0</v>
          </cell>
          <cell r="J142">
            <v>0</v>
          </cell>
          <cell r="K142">
            <v>-116036.1</v>
          </cell>
        </row>
        <row r="144"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</row>
        <row r="146"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</row>
        <row r="148"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</row>
        <row r="150"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</row>
        <row r="151"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</row>
        <row r="153">
          <cell r="F153">
            <v>-8727898.9600000009</v>
          </cell>
          <cell r="G153">
            <v>81443.199999999997</v>
          </cell>
          <cell r="H153">
            <v>-8646455.7599999998</v>
          </cell>
          <cell r="I153">
            <v>0</v>
          </cell>
          <cell r="J153">
            <v>-8646455.7599999998</v>
          </cell>
          <cell r="K153">
            <v>-7490000</v>
          </cell>
        </row>
        <row r="154">
          <cell r="F154">
            <v>-49472304.369999997</v>
          </cell>
          <cell r="G154">
            <v>-891274.46</v>
          </cell>
          <cell r="H154">
            <v>-50363578.829999998</v>
          </cell>
          <cell r="I154">
            <v>0</v>
          </cell>
          <cell r="J154">
            <v>-50363578.829999998</v>
          </cell>
          <cell r="K154">
            <v>-43804065</v>
          </cell>
        </row>
        <row r="155">
          <cell r="F155">
            <v>-58200203.329999998</v>
          </cell>
          <cell r="G155">
            <v>-809831.26</v>
          </cell>
          <cell r="H155">
            <v>-59010034.589999996</v>
          </cell>
          <cell r="I155">
            <v>0</v>
          </cell>
          <cell r="J155">
            <v>-59010034.589999996</v>
          </cell>
          <cell r="K155">
            <v>-51294065</v>
          </cell>
        </row>
        <row r="157">
          <cell r="F157">
            <v>25045663.989999998</v>
          </cell>
          <cell r="G157">
            <v>0</v>
          </cell>
          <cell r="H157">
            <v>25045663.989999998</v>
          </cell>
          <cell r="I157">
            <v>-805995</v>
          </cell>
          <cell r="J157">
            <v>24239668.989999998</v>
          </cell>
          <cell r="K157">
            <v>171515074.30000001</v>
          </cell>
        </row>
        <row r="158">
          <cell r="F158">
            <v>128125820.12</v>
          </cell>
          <cell r="G158">
            <v>0</v>
          </cell>
          <cell r="H158">
            <v>128125820.12</v>
          </cell>
          <cell r="I158">
            <v>0</v>
          </cell>
          <cell r="J158">
            <v>128125820.12</v>
          </cell>
          <cell r="K158">
            <v>-4205437.79</v>
          </cell>
        </row>
        <row r="159">
          <cell r="F159">
            <v>153171484.11000001</v>
          </cell>
          <cell r="G159">
            <v>0</v>
          </cell>
          <cell r="H159">
            <v>153171484.11000001</v>
          </cell>
          <cell r="I159">
            <v>-805995</v>
          </cell>
          <cell r="J159">
            <v>152365489.11000001</v>
          </cell>
          <cell r="K159">
            <v>167309636.51000002</v>
          </cell>
        </row>
        <row r="161">
          <cell r="F161">
            <v>-22200000</v>
          </cell>
          <cell r="G161">
            <v>0</v>
          </cell>
          <cell r="H161">
            <v>-22200000</v>
          </cell>
          <cell r="I161">
            <v>0</v>
          </cell>
          <cell r="J161">
            <v>-22200000</v>
          </cell>
          <cell r="K161">
            <v>0</v>
          </cell>
        </row>
        <row r="162">
          <cell r="F162">
            <v>-22200000</v>
          </cell>
          <cell r="G162">
            <v>0</v>
          </cell>
          <cell r="H162">
            <v>-22200000</v>
          </cell>
          <cell r="I162">
            <v>0</v>
          </cell>
          <cell r="J162">
            <v>-22200000</v>
          </cell>
          <cell r="K162">
            <v>0</v>
          </cell>
        </row>
        <row r="164"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-23160.12</v>
          </cell>
        </row>
        <row r="165"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4607.2</v>
          </cell>
        </row>
        <row r="166">
          <cell r="F166">
            <v>-25067055.66</v>
          </cell>
          <cell r="G166">
            <v>-6896854.0800000001</v>
          </cell>
          <cell r="H166">
            <v>-31963909.739999998</v>
          </cell>
          <cell r="I166">
            <v>0</v>
          </cell>
          <cell r="J166">
            <v>-31963909.739999998</v>
          </cell>
          <cell r="K166">
            <v>-44176168.009999998</v>
          </cell>
        </row>
        <row r="167">
          <cell r="F167">
            <v>11903.75</v>
          </cell>
          <cell r="G167">
            <v>-11903.75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</row>
        <row r="168">
          <cell r="F168">
            <v>-25055151.91</v>
          </cell>
          <cell r="G168">
            <v>-6908757.8300000001</v>
          </cell>
          <cell r="H168">
            <v>-31963909.739999998</v>
          </cell>
          <cell r="I168">
            <v>0</v>
          </cell>
          <cell r="J168">
            <v>-31963909.739999998</v>
          </cell>
          <cell r="K168">
            <v>-44194720.93</v>
          </cell>
        </row>
        <row r="170"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</row>
        <row r="172"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</row>
        <row r="174"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</row>
        <row r="176"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</row>
        <row r="178"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</row>
        <row r="180"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</row>
        <row r="182"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</row>
        <row r="184"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</row>
        <row r="186"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-13779844.460000001</v>
          </cell>
        </row>
        <row r="187">
          <cell r="F187">
            <v>-6766111.8499999996</v>
          </cell>
          <cell r="G187">
            <v>0</v>
          </cell>
          <cell r="H187">
            <v>-6766111.8499999996</v>
          </cell>
          <cell r="I187">
            <v>0</v>
          </cell>
          <cell r="J187">
            <v>-6766111.8499999996</v>
          </cell>
          <cell r="K187">
            <v>-1557517.03</v>
          </cell>
        </row>
        <row r="188"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-24166494.719999999</v>
          </cell>
        </row>
        <row r="189">
          <cell r="F189">
            <v>-16732637.300000001</v>
          </cell>
          <cell r="G189">
            <v>0</v>
          </cell>
          <cell r="H189">
            <v>-16732637.300000001</v>
          </cell>
          <cell r="I189">
            <v>0</v>
          </cell>
          <cell r="J189">
            <v>-16732637.300000001</v>
          </cell>
          <cell r="K189">
            <v>-2605724.96</v>
          </cell>
        </row>
        <row r="190">
          <cell r="F190">
            <v>-6873185.4100000001</v>
          </cell>
          <cell r="G190">
            <v>0</v>
          </cell>
          <cell r="H190">
            <v>-6873185.4100000001</v>
          </cell>
          <cell r="I190">
            <v>0</v>
          </cell>
          <cell r="J190">
            <v>-6873185.4100000001</v>
          </cell>
          <cell r="K190">
            <v>-23660126.219999999</v>
          </cell>
        </row>
        <row r="191"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-3703329.9</v>
          </cell>
        </row>
        <row r="192">
          <cell r="F192">
            <v>-12370875.369999999</v>
          </cell>
          <cell r="G192">
            <v>0</v>
          </cell>
          <cell r="H192">
            <v>-12370875.369999999</v>
          </cell>
          <cell r="I192">
            <v>0</v>
          </cell>
          <cell r="J192">
            <v>-12370875.369999999</v>
          </cell>
          <cell r="K192">
            <v>-9773243.1500000004</v>
          </cell>
        </row>
        <row r="193"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-1972886.29</v>
          </cell>
        </row>
        <row r="194"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-11417958.439999999</v>
          </cell>
        </row>
        <row r="195"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-2448999.94</v>
          </cell>
        </row>
        <row r="196">
          <cell r="F196">
            <v>-1760510.79</v>
          </cell>
          <cell r="G196">
            <v>0</v>
          </cell>
          <cell r="H196">
            <v>-1760510.79</v>
          </cell>
          <cell r="I196">
            <v>0</v>
          </cell>
          <cell r="J196">
            <v>-1760510.79</v>
          </cell>
          <cell r="K196">
            <v>-3971578.97</v>
          </cell>
        </row>
        <row r="197"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-831857.85</v>
          </cell>
        </row>
        <row r="198">
          <cell r="F198">
            <v>-6639946.0599999996</v>
          </cell>
          <cell r="G198">
            <v>0</v>
          </cell>
          <cell r="H198">
            <v>-6639946.0599999996</v>
          </cell>
          <cell r="I198">
            <v>0</v>
          </cell>
          <cell r="J198">
            <v>-6639946.0599999996</v>
          </cell>
          <cell r="K198">
            <v>-14316028.359999999</v>
          </cell>
        </row>
        <row r="199"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-2889919.55</v>
          </cell>
        </row>
        <row r="200">
          <cell r="F200">
            <v>-3227660.96</v>
          </cell>
          <cell r="G200">
            <v>0</v>
          </cell>
          <cell r="H200">
            <v>-3227660.96</v>
          </cell>
          <cell r="I200">
            <v>0</v>
          </cell>
          <cell r="J200">
            <v>-3227660.96</v>
          </cell>
          <cell r="K200">
            <v>-4103253.4</v>
          </cell>
        </row>
        <row r="201"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-828307.72</v>
          </cell>
        </row>
        <row r="202">
          <cell r="F202">
            <v>-8360223.3499999996</v>
          </cell>
          <cell r="G202">
            <v>0</v>
          </cell>
          <cell r="H202">
            <v>-8360223.3499999996</v>
          </cell>
          <cell r="I202">
            <v>0</v>
          </cell>
          <cell r="J202">
            <v>-8360223.3499999996</v>
          </cell>
          <cell r="K202">
            <v>-10001769.17</v>
          </cell>
        </row>
        <row r="203">
          <cell r="F203">
            <v>-19043598.210000001</v>
          </cell>
          <cell r="G203">
            <v>0</v>
          </cell>
          <cell r="H203">
            <v>-19043598.210000001</v>
          </cell>
          <cell r="I203">
            <v>0</v>
          </cell>
          <cell r="J203">
            <v>-19043598.210000001</v>
          </cell>
          <cell r="K203">
            <v>-7467388.4699999997</v>
          </cell>
        </row>
        <row r="204">
          <cell r="F204">
            <v>-81774749.300000012</v>
          </cell>
          <cell r="G204">
            <v>0</v>
          </cell>
          <cell r="H204">
            <v>-81774749.300000012</v>
          </cell>
          <cell r="I204">
            <v>0</v>
          </cell>
          <cell r="J204">
            <v>-81774749.300000012</v>
          </cell>
          <cell r="K204">
            <v>-139496228.60000002</v>
          </cell>
        </row>
        <row r="206"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</row>
        <row r="208">
          <cell r="F208">
            <v>-20000000</v>
          </cell>
          <cell r="G208">
            <v>0</v>
          </cell>
          <cell r="H208">
            <v>-20000000</v>
          </cell>
          <cell r="I208">
            <v>0</v>
          </cell>
          <cell r="J208">
            <v>-20000000</v>
          </cell>
          <cell r="K208">
            <v>-20000000</v>
          </cell>
        </row>
        <row r="209">
          <cell r="F209">
            <v>30.22</v>
          </cell>
          <cell r="G209">
            <v>-30.22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</row>
        <row r="210">
          <cell r="F210">
            <v>-19999969.780000001</v>
          </cell>
          <cell r="G210">
            <v>-30.22</v>
          </cell>
          <cell r="H210">
            <v>-20000000</v>
          </cell>
          <cell r="I210">
            <v>0</v>
          </cell>
          <cell r="J210">
            <v>-20000000</v>
          </cell>
          <cell r="K210">
            <v>-20000000</v>
          </cell>
        </row>
        <row r="212"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</row>
        <row r="214"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</row>
        <row r="216">
          <cell r="F216">
            <v>-207000000</v>
          </cell>
          <cell r="G216">
            <v>0</v>
          </cell>
          <cell r="H216">
            <v>-207000000</v>
          </cell>
          <cell r="I216">
            <v>0</v>
          </cell>
          <cell r="J216">
            <v>-207000000</v>
          </cell>
          <cell r="K216">
            <v>-207000000</v>
          </cell>
        </row>
        <row r="217">
          <cell r="F217">
            <v>-207000000</v>
          </cell>
          <cell r="G217">
            <v>0</v>
          </cell>
          <cell r="H217">
            <v>-207000000</v>
          </cell>
          <cell r="I217">
            <v>0</v>
          </cell>
          <cell r="J217">
            <v>-207000000</v>
          </cell>
          <cell r="K217">
            <v>-207000000</v>
          </cell>
        </row>
        <row r="219">
          <cell r="F219">
            <v>68962345.599999994</v>
          </cell>
          <cell r="G219">
            <v>0</v>
          </cell>
          <cell r="H219">
            <v>68962345.599999994</v>
          </cell>
          <cell r="I219">
            <v>0</v>
          </cell>
          <cell r="J219">
            <v>68962345.599999994</v>
          </cell>
          <cell r="K219">
            <v>0</v>
          </cell>
        </row>
        <row r="220">
          <cell r="F220">
            <v>-142051.56</v>
          </cell>
          <cell r="G220">
            <v>0</v>
          </cell>
          <cell r="H220">
            <v>-142051.56</v>
          </cell>
          <cell r="I220">
            <v>0</v>
          </cell>
          <cell r="J220">
            <v>-142051.56</v>
          </cell>
          <cell r="K220">
            <v>0</v>
          </cell>
        </row>
        <row r="221">
          <cell r="F221">
            <v>68820294.039999992</v>
          </cell>
          <cell r="G221">
            <v>0</v>
          </cell>
          <cell r="H221">
            <v>68820294.039999992</v>
          </cell>
          <cell r="I221">
            <v>0</v>
          </cell>
          <cell r="J221">
            <v>68820294.039999992</v>
          </cell>
          <cell r="K221">
            <v>0</v>
          </cell>
        </row>
        <row r="223">
          <cell r="F223">
            <v>0</v>
          </cell>
          <cell r="G223">
            <v>-47151385.920000002</v>
          </cell>
          <cell r="H223">
            <v>-47151385.920000002</v>
          </cell>
          <cell r="I223">
            <v>0</v>
          </cell>
          <cell r="J223">
            <v>-47151385.920000002</v>
          </cell>
          <cell r="K223">
            <v>0</v>
          </cell>
        </row>
        <row r="224">
          <cell r="F224">
            <v>0</v>
          </cell>
          <cell r="G224">
            <v>-47151385.920000002</v>
          </cell>
          <cell r="H224">
            <v>-47151385.920000002</v>
          </cell>
          <cell r="I224">
            <v>0</v>
          </cell>
          <cell r="J224">
            <v>-47151385.920000002</v>
          </cell>
          <cell r="K224">
            <v>0</v>
          </cell>
        </row>
        <row r="226">
          <cell r="F226">
            <v>142051.56</v>
          </cell>
          <cell r="G226">
            <v>-142052</v>
          </cell>
          <cell r="H226">
            <v>-0.44</v>
          </cell>
          <cell r="I226">
            <v>0</v>
          </cell>
          <cell r="J226">
            <v>-0.44</v>
          </cell>
          <cell r="K226">
            <v>-142051.56</v>
          </cell>
        </row>
        <row r="227">
          <cell r="F227">
            <v>-22702308</v>
          </cell>
          <cell r="G227">
            <v>0</v>
          </cell>
          <cell r="H227">
            <v>-22702308</v>
          </cell>
          <cell r="I227">
            <v>0</v>
          </cell>
          <cell r="J227">
            <v>-22702308</v>
          </cell>
          <cell r="K227">
            <v>0</v>
          </cell>
        </row>
        <row r="228">
          <cell r="F228">
            <v>-61509084.710000001</v>
          </cell>
          <cell r="G228">
            <v>0</v>
          </cell>
          <cell r="H228">
            <v>-61509084.710000001</v>
          </cell>
          <cell r="I228">
            <v>0</v>
          </cell>
          <cell r="J228">
            <v>-61509084.710000001</v>
          </cell>
          <cell r="K228">
            <v>0</v>
          </cell>
        </row>
        <row r="229">
          <cell r="F229">
            <v>-385004490.89999998</v>
          </cell>
          <cell r="G229">
            <v>0</v>
          </cell>
          <cell r="H229">
            <v>-385004490.89999998</v>
          </cell>
          <cell r="I229">
            <v>0</v>
          </cell>
          <cell r="J229">
            <v>-385004490.89999998</v>
          </cell>
          <cell r="K229">
            <v>-690878662.38999999</v>
          </cell>
        </row>
        <row r="230"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-41216134.359999999</v>
          </cell>
        </row>
        <row r="231"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-581049</v>
          </cell>
        </row>
        <row r="232">
          <cell r="F232">
            <v>-34326418.729999997</v>
          </cell>
          <cell r="G232">
            <v>67467398.810000002</v>
          </cell>
          <cell r="H232">
            <v>33140980.079999998</v>
          </cell>
          <cell r="I232">
            <v>0</v>
          </cell>
          <cell r="J232">
            <v>33140980.079999998</v>
          </cell>
          <cell r="K232">
            <v>-4000</v>
          </cell>
        </row>
        <row r="233"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3885740.9</v>
          </cell>
        </row>
        <row r="234">
          <cell r="F234">
            <v>-503400250.77999997</v>
          </cell>
          <cell r="G234">
            <v>67325346.810000002</v>
          </cell>
          <cell r="H234">
            <v>-436074903.96999997</v>
          </cell>
          <cell r="I234">
            <v>0</v>
          </cell>
          <cell r="J234">
            <v>-436074903.96999997</v>
          </cell>
          <cell r="K234">
            <v>-728936156.40999997</v>
          </cell>
        </row>
        <row r="236">
          <cell r="F236">
            <v>27050572.800000001</v>
          </cell>
          <cell r="G236">
            <v>0</v>
          </cell>
          <cell r="H236">
            <v>27050572.800000001</v>
          </cell>
          <cell r="I236">
            <v>0</v>
          </cell>
          <cell r="J236">
            <v>27050572.800000001</v>
          </cell>
          <cell r="K236">
            <v>0</v>
          </cell>
        </row>
        <row r="237">
          <cell r="F237">
            <v>186365477.12</v>
          </cell>
          <cell r="G237">
            <v>28797.96</v>
          </cell>
          <cell r="H237">
            <v>186394275.08000001</v>
          </cell>
          <cell r="I237">
            <v>0</v>
          </cell>
          <cell r="J237">
            <v>186394275.08000001</v>
          </cell>
          <cell r="K237">
            <v>0</v>
          </cell>
        </row>
        <row r="238">
          <cell r="F238">
            <v>-14257490.449999999</v>
          </cell>
          <cell r="G238">
            <v>0</v>
          </cell>
          <cell r="H238">
            <v>-14257490.449999999</v>
          </cell>
          <cell r="I238">
            <v>0</v>
          </cell>
          <cell r="J238">
            <v>-14257490.449999999</v>
          </cell>
          <cell r="K238">
            <v>0</v>
          </cell>
        </row>
        <row r="239">
          <cell r="F239">
            <v>4418751.7699999996</v>
          </cell>
          <cell r="G239">
            <v>0</v>
          </cell>
          <cell r="H239">
            <v>4418751.7699999996</v>
          </cell>
          <cell r="I239">
            <v>0</v>
          </cell>
          <cell r="J239">
            <v>4418751.7699999996</v>
          </cell>
          <cell r="K239">
            <v>7872585.75</v>
          </cell>
        </row>
        <row r="240">
          <cell r="F240">
            <v>203577311.24000004</v>
          </cell>
          <cell r="G240">
            <v>28797.96</v>
          </cell>
          <cell r="H240">
            <v>203606109.20000005</v>
          </cell>
          <cell r="I240">
            <v>0</v>
          </cell>
          <cell r="J240">
            <v>203606109.20000005</v>
          </cell>
          <cell r="K240">
            <v>7872585.75</v>
          </cell>
        </row>
        <row r="242">
          <cell r="F242">
            <v>5990818.2300000004</v>
          </cell>
          <cell r="G242">
            <v>1343278</v>
          </cell>
          <cell r="H242">
            <v>7334096.2300000004</v>
          </cell>
          <cell r="I242">
            <v>0</v>
          </cell>
          <cell r="J242">
            <v>7334096.2300000004</v>
          </cell>
          <cell r="K242">
            <v>0</v>
          </cell>
        </row>
        <row r="243">
          <cell r="F243">
            <v>4963149.05</v>
          </cell>
          <cell r="G243">
            <v>74500</v>
          </cell>
          <cell r="H243">
            <v>5037649.05</v>
          </cell>
          <cell r="I243">
            <v>0</v>
          </cell>
          <cell r="J243">
            <v>5037649.05</v>
          </cell>
          <cell r="K243">
            <v>0</v>
          </cell>
        </row>
        <row r="244">
          <cell r="F244">
            <v>3882656.13</v>
          </cell>
          <cell r="G244">
            <v>0</v>
          </cell>
          <cell r="H244">
            <v>3882656.13</v>
          </cell>
          <cell r="I244">
            <v>0</v>
          </cell>
          <cell r="J244">
            <v>3882656.13</v>
          </cell>
          <cell r="K244">
            <v>0</v>
          </cell>
        </row>
        <row r="245">
          <cell r="F245">
            <v>435000</v>
          </cell>
          <cell r="G245">
            <v>0</v>
          </cell>
          <cell r="H245">
            <v>435000</v>
          </cell>
          <cell r="I245">
            <v>0</v>
          </cell>
          <cell r="J245">
            <v>435000</v>
          </cell>
          <cell r="K245">
            <v>0</v>
          </cell>
        </row>
        <row r="246">
          <cell r="F246">
            <v>0</v>
          </cell>
          <cell r="G246">
            <v>4388588</v>
          </cell>
          <cell r="H246">
            <v>4388588</v>
          </cell>
          <cell r="I246">
            <v>0</v>
          </cell>
          <cell r="J246">
            <v>4388588</v>
          </cell>
          <cell r="K246">
            <v>0</v>
          </cell>
        </row>
        <row r="247">
          <cell r="F247">
            <v>-25000</v>
          </cell>
          <cell r="G247">
            <v>0</v>
          </cell>
          <cell r="H247">
            <v>-25000</v>
          </cell>
          <cell r="I247">
            <v>0</v>
          </cell>
          <cell r="J247">
            <v>-25000</v>
          </cell>
          <cell r="K247">
            <v>-200000</v>
          </cell>
        </row>
        <row r="248">
          <cell r="F248">
            <v>3000</v>
          </cell>
          <cell r="G248">
            <v>0</v>
          </cell>
          <cell r="H248">
            <v>3000</v>
          </cell>
          <cell r="I248">
            <v>0</v>
          </cell>
          <cell r="J248">
            <v>3000</v>
          </cell>
          <cell r="K248">
            <v>97500</v>
          </cell>
        </row>
        <row r="249">
          <cell r="F249">
            <v>63410</v>
          </cell>
          <cell r="G249">
            <v>0</v>
          </cell>
          <cell r="H249">
            <v>63410</v>
          </cell>
          <cell r="I249">
            <v>0</v>
          </cell>
          <cell r="J249">
            <v>63410</v>
          </cell>
          <cell r="K249">
            <v>-208164.23</v>
          </cell>
        </row>
        <row r="250">
          <cell r="F250">
            <v>15313033.41</v>
          </cell>
          <cell r="G250">
            <v>5806366</v>
          </cell>
          <cell r="H250">
            <v>21119399.41</v>
          </cell>
          <cell r="I250">
            <v>0</v>
          </cell>
          <cell r="J250">
            <v>21119399.41</v>
          </cell>
          <cell r="K250">
            <v>-310664.23</v>
          </cell>
        </row>
        <row r="252">
          <cell r="F252">
            <v>0</v>
          </cell>
          <cell r="G252">
            <v>0</v>
          </cell>
          <cell r="H252">
            <v>0</v>
          </cell>
          <cell r="I252">
            <v>0</v>
          </cell>
          <cell r="J252">
            <v>0</v>
          </cell>
          <cell r="K252">
            <v>34163838.840000004</v>
          </cell>
        </row>
        <row r="253"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34163838.840000004</v>
          </cell>
        </row>
        <row r="255"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35807139.490000002</v>
          </cell>
        </row>
        <row r="256"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35807139.490000002</v>
          </cell>
        </row>
        <row r="258"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26412257.710000001</v>
          </cell>
        </row>
        <row r="259"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4997894.54</v>
          </cell>
        </row>
        <row r="260">
          <cell r="F260">
            <v>0</v>
          </cell>
          <cell r="G260">
            <v>0</v>
          </cell>
          <cell r="H260">
            <v>0</v>
          </cell>
          <cell r="I260">
            <v>0</v>
          </cell>
          <cell r="J260">
            <v>0</v>
          </cell>
          <cell r="K260">
            <v>671100.96</v>
          </cell>
        </row>
        <row r="261">
          <cell r="F261">
            <v>0</v>
          </cell>
          <cell r="G261">
            <v>0</v>
          </cell>
          <cell r="H261">
            <v>0</v>
          </cell>
          <cell r="I261">
            <v>0</v>
          </cell>
          <cell r="J261">
            <v>0</v>
          </cell>
          <cell r="K261">
            <v>32081253.210000001</v>
          </cell>
        </row>
        <row r="263">
          <cell r="F263">
            <v>0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</row>
        <row r="265">
          <cell r="F265">
            <v>5000</v>
          </cell>
          <cell r="G265">
            <v>0</v>
          </cell>
          <cell r="H265">
            <v>5000</v>
          </cell>
          <cell r="I265">
            <v>0</v>
          </cell>
          <cell r="J265">
            <v>5000</v>
          </cell>
          <cell r="K265">
            <v>0</v>
          </cell>
        </row>
        <row r="266">
          <cell r="F266">
            <v>10645.13</v>
          </cell>
          <cell r="G266">
            <v>0</v>
          </cell>
          <cell r="H266">
            <v>10645.13</v>
          </cell>
          <cell r="I266">
            <v>0</v>
          </cell>
          <cell r="J266">
            <v>10645.13</v>
          </cell>
          <cell r="K266">
            <v>0</v>
          </cell>
        </row>
        <row r="267">
          <cell r="F267">
            <v>55643056.140000001</v>
          </cell>
          <cell r="G267">
            <v>0</v>
          </cell>
          <cell r="H267">
            <v>55643056.140000001</v>
          </cell>
          <cell r="I267">
            <v>0</v>
          </cell>
          <cell r="J267">
            <v>55643056.140000001</v>
          </cell>
          <cell r="K267">
            <v>102462959.5</v>
          </cell>
        </row>
        <row r="268">
          <cell r="F268">
            <v>35000</v>
          </cell>
          <cell r="G268">
            <v>0</v>
          </cell>
          <cell r="H268">
            <v>35000</v>
          </cell>
          <cell r="I268">
            <v>0</v>
          </cell>
          <cell r="J268">
            <v>35000</v>
          </cell>
          <cell r="K268">
            <v>2904946.43</v>
          </cell>
        </row>
        <row r="269">
          <cell r="F269">
            <v>55693701.270000003</v>
          </cell>
          <cell r="G269">
            <v>0</v>
          </cell>
          <cell r="H269">
            <v>55693701.270000003</v>
          </cell>
          <cell r="I269">
            <v>0</v>
          </cell>
          <cell r="J269">
            <v>55693701.270000003</v>
          </cell>
          <cell r="K269">
            <v>105367905.93000001</v>
          </cell>
        </row>
        <row r="271"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</row>
        <row r="273"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</row>
        <row r="275"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83353621.709999993</v>
          </cell>
        </row>
        <row r="276"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83353621.709999993</v>
          </cell>
        </row>
        <row r="278">
          <cell r="F278">
            <v>0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</row>
        <row r="280">
          <cell r="F280">
            <v>0</v>
          </cell>
          <cell r="G280">
            <v>0</v>
          </cell>
          <cell r="H280">
            <v>0</v>
          </cell>
          <cell r="I280">
            <v>0</v>
          </cell>
          <cell r="J280">
            <v>0</v>
          </cell>
          <cell r="K280">
            <v>0</v>
          </cell>
        </row>
        <row r="282"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48110.41</v>
          </cell>
        </row>
        <row r="283"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30908</v>
          </cell>
        </row>
        <row r="284"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79018.41</v>
          </cell>
        </row>
        <row r="286"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152846182</v>
          </cell>
        </row>
        <row r="287"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152846182</v>
          </cell>
        </row>
        <row r="289"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</row>
        <row r="291">
          <cell r="F291">
            <v>1523353.32</v>
          </cell>
          <cell r="G291">
            <v>0</v>
          </cell>
          <cell r="H291">
            <v>1523353.32</v>
          </cell>
          <cell r="I291">
            <v>0</v>
          </cell>
          <cell r="J291">
            <v>1523353.32</v>
          </cell>
          <cell r="K291">
            <v>17385504.210000001</v>
          </cell>
        </row>
        <row r="292">
          <cell r="F292">
            <v>1523353.32</v>
          </cell>
          <cell r="G292">
            <v>0</v>
          </cell>
          <cell r="H292">
            <v>1523353.32</v>
          </cell>
          <cell r="I292">
            <v>0</v>
          </cell>
          <cell r="J292">
            <v>1523353.32</v>
          </cell>
          <cell r="K292">
            <v>17385504.210000001</v>
          </cell>
        </row>
        <row r="294"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</row>
        <row r="296"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</row>
        <row r="298"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64374415.280000001</v>
          </cell>
        </row>
        <row r="299"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431100</v>
          </cell>
        </row>
        <row r="300"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64805515.280000001</v>
          </cell>
        </row>
        <row r="302"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</row>
        <row r="304">
          <cell r="F304">
            <v>0</v>
          </cell>
          <cell r="G304">
            <v>0</v>
          </cell>
          <cell r="H304">
            <v>0</v>
          </cell>
          <cell r="I304">
            <v>0</v>
          </cell>
          <cell r="J304">
            <v>0</v>
          </cell>
          <cell r="K304">
            <v>0</v>
          </cell>
        </row>
        <row r="306"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</row>
        <row r="308"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</row>
        <row r="310"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</row>
        <row r="312">
          <cell r="F312">
            <v>553070</v>
          </cell>
          <cell r="G312">
            <v>0</v>
          </cell>
          <cell r="H312">
            <v>553070</v>
          </cell>
          <cell r="I312">
            <v>0</v>
          </cell>
          <cell r="J312">
            <v>553070</v>
          </cell>
          <cell r="K312">
            <v>3000</v>
          </cell>
        </row>
        <row r="313">
          <cell r="F313">
            <v>319654</v>
          </cell>
          <cell r="G313">
            <v>0</v>
          </cell>
          <cell r="H313">
            <v>319654</v>
          </cell>
          <cell r="I313">
            <v>0</v>
          </cell>
          <cell r="J313">
            <v>319654</v>
          </cell>
          <cell r="K313">
            <v>498840</v>
          </cell>
        </row>
        <row r="314">
          <cell r="F314">
            <v>432801.91</v>
          </cell>
          <cell r="G314">
            <v>0</v>
          </cell>
          <cell r="H314">
            <v>432801.91</v>
          </cell>
          <cell r="I314">
            <v>0</v>
          </cell>
          <cell r="J314">
            <v>432801.91</v>
          </cell>
          <cell r="K314">
            <v>214595.18</v>
          </cell>
        </row>
        <row r="315">
          <cell r="F315">
            <v>1305525.9099999999</v>
          </cell>
          <cell r="G315">
            <v>0</v>
          </cell>
          <cell r="H315">
            <v>1305525.9099999999</v>
          </cell>
          <cell r="I315">
            <v>0</v>
          </cell>
          <cell r="J315">
            <v>1305525.9099999999</v>
          </cell>
          <cell r="K315">
            <v>716435.17999999993</v>
          </cell>
        </row>
        <row r="317"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</row>
        <row r="319">
          <cell r="F319">
            <v>3082759.15</v>
          </cell>
          <cell r="G319">
            <v>138189.99</v>
          </cell>
          <cell r="H319">
            <v>3220949.14</v>
          </cell>
          <cell r="I319">
            <v>0</v>
          </cell>
          <cell r="J319">
            <v>3220949.14</v>
          </cell>
          <cell r="K319">
            <v>0</v>
          </cell>
        </row>
        <row r="320">
          <cell r="F320">
            <v>1035252.23</v>
          </cell>
          <cell r="G320">
            <v>0</v>
          </cell>
          <cell r="H320">
            <v>1035252.23</v>
          </cell>
          <cell r="I320">
            <v>0</v>
          </cell>
          <cell r="J320">
            <v>1035252.23</v>
          </cell>
          <cell r="K320">
            <v>0</v>
          </cell>
        </row>
        <row r="321">
          <cell r="F321">
            <v>177500</v>
          </cell>
          <cell r="G321">
            <v>0</v>
          </cell>
          <cell r="H321">
            <v>177500</v>
          </cell>
          <cell r="I321">
            <v>0</v>
          </cell>
          <cell r="J321">
            <v>177500</v>
          </cell>
          <cell r="K321">
            <v>0</v>
          </cell>
        </row>
        <row r="322">
          <cell r="F322">
            <v>113314.92</v>
          </cell>
          <cell r="G322">
            <v>0</v>
          </cell>
          <cell r="H322">
            <v>113314.92</v>
          </cell>
          <cell r="I322">
            <v>0</v>
          </cell>
          <cell r="J322">
            <v>113314.92</v>
          </cell>
          <cell r="K322">
            <v>117345</v>
          </cell>
        </row>
        <row r="323">
          <cell r="F323">
            <v>4408826.3</v>
          </cell>
          <cell r="G323">
            <v>138189.99</v>
          </cell>
          <cell r="H323">
            <v>4547016.29</v>
          </cell>
          <cell r="I323">
            <v>0</v>
          </cell>
          <cell r="J323">
            <v>4547016.29</v>
          </cell>
          <cell r="K323">
            <v>117345</v>
          </cell>
        </row>
        <row r="325">
          <cell r="F325">
            <v>26171787.899999999</v>
          </cell>
          <cell r="G325">
            <v>0</v>
          </cell>
          <cell r="H325">
            <v>26171787.899999999</v>
          </cell>
          <cell r="I325">
            <v>0</v>
          </cell>
          <cell r="J325">
            <v>26171787.899999999</v>
          </cell>
          <cell r="K325">
            <v>0</v>
          </cell>
        </row>
        <row r="326"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6851823.21</v>
          </cell>
        </row>
        <row r="327"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8635329.4499999993</v>
          </cell>
        </row>
        <row r="328">
          <cell r="F328">
            <v>0</v>
          </cell>
          <cell r="G328">
            <v>0</v>
          </cell>
          <cell r="H328">
            <v>0</v>
          </cell>
          <cell r="I328">
            <v>0</v>
          </cell>
          <cell r="J328">
            <v>0</v>
          </cell>
          <cell r="K328">
            <v>547850</v>
          </cell>
        </row>
        <row r="329"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530300</v>
          </cell>
        </row>
        <row r="330">
          <cell r="F330">
            <v>2936852.06</v>
          </cell>
          <cell r="G330">
            <v>0</v>
          </cell>
          <cell r="H330">
            <v>2936852.06</v>
          </cell>
          <cell r="I330">
            <v>0</v>
          </cell>
          <cell r="J330">
            <v>2936852.06</v>
          </cell>
          <cell r="K330">
            <v>1500812.19</v>
          </cell>
        </row>
        <row r="331"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8039403.3799999999</v>
          </cell>
        </row>
        <row r="332"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866002.11</v>
          </cell>
        </row>
        <row r="333">
          <cell r="F333">
            <v>0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3414788.15</v>
          </cell>
        </row>
        <row r="334">
          <cell r="F334">
            <v>3808953.25</v>
          </cell>
          <cell r="G334">
            <v>0</v>
          </cell>
          <cell r="H334">
            <v>3808953.25</v>
          </cell>
          <cell r="I334">
            <v>11000</v>
          </cell>
          <cell r="J334">
            <v>3819953.25</v>
          </cell>
          <cell r="K334">
            <v>1511332.62</v>
          </cell>
        </row>
        <row r="335">
          <cell r="F335">
            <v>2210715.92</v>
          </cell>
          <cell r="G335">
            <v>0</v>
          </cell>
          <cell r="H335">
            <v>2210715.92</v>
          </cell>
          <cell r="I335">
            <v>0</v>
          </cell>
          <cell r="J335">
            <v>2210715.92</v>
          </cell>
          <cell r="K335">
            <v>978355.95</v>
          </cell>
        </row>
        <row r="336">
          <cell r="F336">
            <v>2381313.73</v>
          </cell>
          <cell r="G336">
            <v>0</v>
          </cell>
          <cell r="H336">
            <v>2381313.73</v>
          </cell>
          <cell r="I336">
            <v>0</v>
          </cell>
          <cell r="J336">
            <v>2381313.73</v>
          </cell>
          <cell r="K336">
            <v>459140</v>
          </cell>
        </row>
        <row r="337">
          <cell r="F337">
            <v>0</v>
          </cell>
          <cell r="G337">
            <v>0</v>
          </cell>
          <cell r="H337">
            <v>0</v>
          </cell>
          <cell r="I337">
            <v>0</v>
          </cell>
          <cell r="J337">
            <v>0</v>
          </cell>
          <cell r="K337">
            <v>30772.49</v>
          </cell>
        </row>
        <row r="338">
          <cell r="F338">
            <v>0</v>
          </cell>
          <cell r="G338">
            <v>0</v>
          </cell>
          <cell r="H338">
            <v>0</v>
          </cell>
          <cell r="I338">
            <v>0</v>
          </cell>
          <cell r="J338">
            <v>0</v>
          </cell>
          <cell r="K338">
            <v>41000</v>
          </cell>
        </row>
        <row r="339">
          <cell r="F339">
            <v>0</v>
          </cell>
          <cell r="G339">
            <v>0</v>
          </cell>
          <cell r="H339">
            <v>0</v>
          </cell>
          <cell r="I339">
            <v>0</v>
          </cell>
          <cell r="J339">
            <v>0</v>
          </cell>
          <cell r="K339">
            <v>300739.73</v>
          </cell>
        </row>
        <row r="340">
          <cell r="F340">
            <v>0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8239039.9100000001</v>
          </cell>
        </row>
        <row r="341">
          <cell r="F341">
            <v>7852572.6299999999</v>
          </cell>
          <cell r="G341">
            <v>0</v>
          </cell>
          <cell r="H341">
            <v>7852572.6299999999</v>
          </cell>
          <cell r="I341">
            <v>0</v>
          </cell>
          <cell r="J341">
            <v>7852572.6299999999</v>
          </cell>
          <cell r="K341">
            <v>5657493.7599999998</v>
          </cell>
        </row>
        <row r="342">
          <cell r="F342">
            <v>0</v>
          </cell>
          <cell r="G342">
            <v>0</v>
          </cell>
          <cell r="H342">
            <v>0</v>
          </cell>
          <cell r="I342">
            <v>0</v>
          </cell>
          <cell r="J342">
            <v>0</v>
          </cell>
          <cell r="K342">
            <v>1728500</v>
          </cell>
        </row>
        <row r="343">
          <cell r="F343">
            <v>12814129.57</v>
          </cell>
          <cell r="G343">
            <v>0</v>
          </cell>
          <cell r="H343">
            <v>12814129.57</v>
          </cell>
          <cell r="I343">
            <v>0</v>
          </cell>
          <cell r="J343">
            <v>12814129.57</v>
          </cell>
          <cell r="K343">
            <v>4614055.43</v>
          </cell>
        </row>
        <row r="344">
          <cell r="F344">
            <v>0</v>
          </cell>
          <cell r="G344">
            <v>0</v>
          </cell>
          <cell r="H344">
            <v>0</v>
          </cell>
          <cell r="I344">
            <v>0</v>
          </cell>
          <cell r="J344">
            <v>0</v>
          </cell>
          <cell r="K344">
            <v>2216800.04</v>
          </cell>
        </row>
        <row r="345">
          <cell r="F345">
            <v>0</v>
          </cell>
          <cell r="G345">
            <v>0</v>
          </cell>
          <cell r="H345">
            <v>0</v>
          </cell>
          <cell r="I345">
            <v>0</v>
          </cell>
          <cell r="J345">
            <v>0</v>
          </cell>
          <cell r="K345">
            <v>608480.47</v>
          </cell>
        </row>
        <row r="346">
          <cell r="F346">
            <v>0</v>
          </cell>
          <cell r="G346">
            <v>0</v>
          </cell>
          <cell r="H346">
            <v>0</v>
          </cell>
          <cell r="I346">
            <v>0</v>
          </cell>
          <cell r="J346">
            <v>0</v>
          </cell>
          <cell r="K346">
            <v>452313.32</v>
          </cell>
        </row>
        <row r="347">
          <cell r="F347">
            <v>90781.68</v>
          </cell>
          <cell r="G347">
            <v>0</v>
          </cell>
          <cell r="H347">
            <v>90781.68</v>
          </cell>
          <cell r="I347">
            <v>0</v>
          </cell>
          <cell r="J347">
            <v>90781.68</v>
          </cell>
          <cell r="K347">
            <v>181500</v>
          </cell>
        </row>
        <row r="348">
          <cell r="F348">
            <v>0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350230</v>
          </cell>
        </row>
        <row r="349">
          <cell r="F349">
            <v>0</v>
          </cell>
          <cell r="G349">
            <v>0</v>
          </cell>
          <cell r="H349">
            <v>0</v>
          </cell>
          <cell r="I349">
            <v>0</v>
          </cell>
          <cell r="J349">
            <v>0</v>
          </cell>
          <cell r="K349">
            <v>655317.35</v>
          </cell>
        </row>
        <row r="350">
          <cell r="F350">
            <v>58267106.739999995</v>
          </cell>
          <cell r="G350">
            <v>0</v>
          </cell>
          <cell r="H350">
            <v>58267106.739999995</v>
          </cell>
          <cell r="I350">
            <v>11000</v>
          </cell>
          <cell r="J350">
            <v>58278106.739999995</v>
          </cell>
          <cell r="K350">
            <v>58411379.559999995</v>
          </cell>
        </row>
        <row r="352">
          <cell r="F352">
            <v>0</v>
          </cell>
          <cell r="G352">
            <v>0</v>
          </cell>
          <cell r="H352">
            <v>0</v>
          </cell>
          <cell r="I352">
            <v>0</v>
          </cell>
          <cell r="J352">
            <v>0</v>
          </cell>
          <cell r="K352">
            <v>0</v>
          </cell>
        </row>
        <row r="354">
          <cell r="F354">
            <v>330203.63</v>
          </cell>
          <cell r="G354">
            <v>0</v>
          </cell>
          <cell r="H354">
            <v>330203.63</v>
          </cell>
          <cell r="I354">
            <v>0</v>
          </cell>
          <cell r="J354">
            <v>330203.63</v>
          </cell>
          <cell r="K354">
            <v>115697.64</v>
          </cell>
        </row>
        <row r="355">
          <cell r="F355">
            <v>0</v>
          </cell>
          <cell r="G355">
            <v>6896854.0800000001</v>
          </cell>
          <cell r="H355">
            <v>6896854.0800000001</v>
          </cell>
          <cell r="I355">
            <v>0</v>
          </cell>
          <cell r="J355">
            <v>6896854.0800000001</v>
          </cell>
          <cell r="K355">
            <v>79981.61</v>
          </cell>
        </row>
        <row r="356">
          <cell r="F356">
            <v>0</v>
          </cell>
          <cell r="G356">
            <v>0</v>
          </cell>
          <cell r="H356">
            <v>0</v>
          </cell>
          <cell r="I356">
            <v>0</v>
          </cell>
          <cell r="J356">
            <v>0</v>
          </cell>
          <cell r="K356">
            <v>595979.18000000005</v>
          </cell>
        </row>
        <row r="357"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0</v>
          </cell>
          <cell r="K357">
            <v>320.74</v>
          </cell>
        </row>
        <row r="358">
          <cell r="F358">
            <v>330203.63</v>
          </cell>
          <cell r="G358">
            <v>6896854.0800000001</v>
          </cell>
          <cell r="H358">
            <v>7227057.71</v>
          </cell>
          <cell r="I358">
            <v>0</v>
          </cell>
          <cell r="J358">
            <v>7227057.71</v>
          </cell>
          <cell r="K358">
            <v>791979.17</v>
          </cell>
        </row>
        <row r="360"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123700</v>
          </cell>
        </row>
        <row r="361"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8000</v>
          </cell>
        </row>
        <row r="362">
          <cell r="F362">
            <v>2416840</v>
          </cell>
          <cell r="G362">
            <v>142052</v>
          </cell>
          <cell r="H362">
            <v>2558892</v>
          </cell>
          <cell r="I362">
            <v>0</v>
          </cell>
          <cell r="J362">
            <v>2558892</v>
          </cell>
          <cell r="K362">
            <v>6459076</v>
          </cell>
        </row>
        <row r="363">
          <cell r="F363">
            <v>2416840</v>
          </cell>
          <cell r="G363">
            <v>142052</v>
          </cell>
          <cell r="H363">
            <v>2558892</v>
          </cell>
          <cell r="I363">
            <v>0</v>
          </cell>
          <cell r="J363">
            <v>2558892</v>
          </cell>
          <cell r="K363">
            <v>6590776</v>
          </cell>
        </row>
        <row r="365">
          <cell r="F365">
            <v>5918755.5899999999</v>
          </cell>
          <cell r="G365">
            <v>0</v>
          </cell>
          <cell r="H365">
            <v>5918755.5899999999</v>
          </cell>
          <cell r="I365">
            <v>0</v>
          </cell>
          <cell r="J365">
            <v>5918755.5899999999</v>
          </cell>
          <cell r="K365">
            <v>5388064.9299999997</v>
          </cell>
        </row>
        <row r="366"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231250</v>
          </cell>
        </row>
        <row r="367"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3902963.95</v>
          </cell>
        </row>
        <row r="368"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41970</v>
          </cell>
        </row>
        <row r="369">
          <cell r="F369">
            <v>412000</v>
          </cell>
          <cell r="G369">
            <v>0</v>
          </cell>
          <cell r="H369">
            <v>412000</v>
          </cell>
          <cell r="I369">
            <v>0</v>
          </cell>
          <cell r="J369">
            <v>412000</v>
          </cell>
          <cell r="K369">
            <v>1290975</v>
          </cell>
        </row>
        <row r="370">
          <cell r="F370">
            <v>737770</v>
          </cell>
          <cell r="G370">
            <v>0</v>
          </cell>
          <cell r="H370">
            <v>737770</v>
          </cell>
          <cell r="I370">
            <v>0</v>
          </cell>
          <cell r="J370">
            <v>737770</v>
          </cell>
          <cell r="K370">
            <v>1246777</v>
          </cell>
        </row>
        <row r="371"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200040</v>
          </cell>
        </row>
        <row r="372"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817480.5</v>
          </cell>
        </row>
        <row r="373"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1500</v>
          </cell>
        </row>
        <row r="374"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416758.95</v>
          </cell>
        </row>
        <row r="375"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0</v>
          </cell>
          <cell r="K375">
            <v>493740</v>
          </cell>
        </row>
        <row r="376">
          <cell r="F376">
            <v>14540</v>
          </cell>
          <cell r="G376">
            <v>0</v>
          </cell>
          <cell r="H376">
            <v>14540</v>
          </cell>
          <cell r="I376">
            <v>0</v>
          </cell>
          <cell r="J376">
            <v>14540</v>
          </cell>
          <cell r="K376">
            <v>232300</v>
          </cell>
        </row>
        <row r="377"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0</v>
          </cell>
          <cell r="K377">
            <v>338950</v>
          </cell>
        </row>
        <row r="378">
          <cell r="F378">
            <v>0</v>
          </cell>
          <cell r="G378">
            <v>0</v>
          </cell>
          <cell r="H378">
            <v>0</v>
          </cell>
          <cell r="I378">
            <v>0</v>
          </cell>
          <cell r="J378">
            <v>0</v>
          </cell>
          <cell r="K378">
            <v>24500</v>
          </cell>
        </row>
        <row r="379">
          <cell r="F379">
            <v>0</v>
          </cell>
          <cell r="G379">
            <v>0</v>
          </cell>
          <cell r="H379">
            <v>0</v>
          </cell>
          <cell r="I379">
            <v>0</v>
          </cell>
          <cell r="J379">
            <v>0</v>
          </cell>
          <cell r="K379">
            <v>184079.67</v>
          </cell>
        </row>
        <row r="380">
          <cell r="F380">
            <v>7083065.5899999999</v>
          </cell>
          <cell r="G380">
            <v>0</v>
          </cell>
          <cell r="H380">
            <v>7083065.5899999999</v>
          </cell>
          <cell r="I380">
            <v>0</v>
          </cell>
          <cell r="J380">
            <v>7083065.5899999999</v>
          </cell>
          <cell r="K380">
            <v>14811349.999999998</v>
          </cell>
        </row>
        <row r="382">
          <cell r="F382">
            <v>2334602.5</v>
          </cell>
          <cell r="G382">
            <v>0</v>
          </cell>
          <cell r="H382">
            <v>2334602.5</v>
          </cell>
          <cell r="I382">
            <v>0</v>
          </cell>
          <cell r="J382">
            <v>2334602.5</v>
          </cell>
          <cell r="K382">
            <v>0</v>
          </cell>
        </row>
        <row r="383"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37295</v>
          </cell>
        </row>
        <row r="384"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800</v>
          </cell>
        </row>
        <row r="385">
          <cell r="F385">
            <v>0</v>
          </cell>
          <cell r="G385">
            <v>0</v>
          </cell>
          <cell r="H385">
            <v>0</v>
          </cell>
          <cell r="I385">
            <v>0</v>
          </cell>
          <cell r="J385">
            <v>0</v>
          </cell>
          <cell r="K385">
            <v>168618.5</v>
          </cell>
        </row>
        <row r="386">
          <cell r="F386">
            <v>0</v>
          </cell>
          <cell r="G386">
            <v>0</v>
          </cell>
          <cell r="H386">
            <v>0</v>
          </cell>
          <cell r="I386">
            <v>0</v>
          </cell>
          <cell r="J386">
            <v>0</v>
          </cell>
          <cell r="K386">
            <v>233655</v>
          </cell>
        </row>
        <row r="387"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166465</v>
          </cell>
        </row>
        <row r="388">
          <cell r="F388">
            <v>0</v>
          </cell>
          <cell r="G388">
            <v>0</v>
          </cell>
          <cell r="H388">
            <v>0</v>
          </cell>
          <cell r="I388">
            <v>0</v>
          </cell>
          <cell r="J388">
            <v>0</v>
          </cell>
          <cell r="K388">
            <v>20000</v>
          </cell>
        </row>
        <row r="389">
          <cell r="F389">
            <v>0</v>
          </cell>
          <cell r="G389">
            <v>0</v>
          </cell>
          <cell r="H389">
            <v>0</v>
          </cell>
          <cell r="I389">
            <v>0</v>
          </cell>
          <cell r="J389">
            <v>0</v>
          </cell>
          <cell r="K389">
            <v>1216505</v>
          </cell>
        </row>
        <row r="390">
          <cell r="F390">
            <v>2334602.5</v>
          </cell>
          <cell r="G390">
            <v>0</v>
          </cell>
          <cell r="H390">
            <v>2334602.5</v>
          </cell>
          <cell r="I390">
            <v>0</v>
          </cell>
          <cell r="J390">
            <v>2334602.5</v>
          </cell>
          <cell r="K390">
            <v>1843338.5</v>
          </cell>
        </row>
        <row r="392">
          <cell r="F392">
            <v>789900</v>
          </cell>
          <cell r="G392">
            <v>0</v>
          </cell>
          <cell r="H392">
            <v>789900</v>
          </cell>
          <cell r="I392">
            <v>0</v>
          </cell>
          <cell r="J392">
            <v>789900</v>
          </cell>
          <cell r="K392">
            <v>1216110</v>
          </cell>
        </row>
        <row r="393">
          <cell r="F393">
            <v>0</v>
          </cell>
          <cell r="G393">
            <v>0</v>
          </cell>
          <cell r="H393">
            <v>0</v>
          </cell>
          <cell r="I393">
            <v>0</v>
          </cell>
          <cell r="J393">
            <v>0</v>
          </cell>
          <cell r="K393">
            <v>140400</v>
          </cell>
        </row>
        <row r="394">
          <cell r="F394">
            <v>0</v>
          </cell>
          <cell r="G394">
            <v>0</v>
          </cell>
          <cell r="H394">
            <v>0</v>
          </cell>
          <cell r="I394">
            <v>0</v>
          </cell>
          <cell r="J394">
            <v>0</v>
          </cell>
          <cell r="K394">
            <v>161800</v>
          </cell>
        </row>
        <row r="395">
          <cell r="F395">
            <v>789900</v>
          </cell>
          <cell r="G395">
            <v>0</v>
          </cell>
          <cell r="H395">
            <v>789900</v>
          </cell>
          <cell r="I395">
            <v>0</v>
          </cell>
          <cell r="J395">
            <v>789900</v>
          </cell>
          <cell r="K395">
            <v>1518310</v>
          </cell>
        </row>
        <row r="397">
          <cell r="F397">
            <v>1868060.11</v>
          </cell>
          <cell r="G397">
            <v>0</v>
          </cell>
          <cell r="H397">
            <v>1868060.11</v>
          </cell>
          <cell r="I397">
            <v>0</v>
          </cell>
          <cell r="J397">
            <v>1868060.11</v>
          </cell>
          <cell r="K397">
            <v>3848.9</v>
          </cell>
        </row>
        <row r="398">
          <cell r="F398">
            <v>1868060.11</v>
          </cell>
          <cell r="G398">
            <v>0</v>
          </cell>
          <cell r="H398">
            <v>1868060.11</v>
          </cell>
          <cell r="I398">
            <v>0</v>
          </cell>
          <cell r="J398">
            <v>1868060.11</v>
          </cell>
          <cell r="K398">
            <v>3848.9</v>
          </cell>
        </row>
        <row r="400">
          <cell r="F400">
            <v>4857804.43</v>
          </cell>
          <cell r="G400">
            <v>0</v>
          </cell>
          <cell r="H400">
            <v>4857804.43</v>
          </cell>
          <cell r="I400">
            <v>0</v>
          </cell>
          <cell r="J400">
            <v>4857804.43</v>
          </cell>
          <cell r="K400">
            <v>0</v>
          </cell>
        </row>
        <row r="401">
          <cell r="F401">
            <v>141678.48000000001</v>
          </cell>
          <cell r="G401">
            <v>0</v>
          </cell>
          <cell r="H401">
            <v>141678.48000000001</v>
          </cell>
          <cell r="I401">
            <v>0</v>
          </cell>
          <cell r="J401">
            <v>141678.48000000001</v>
          </cell>
          <cell r="K401">
            <v>0</v>
          </cell>
        </row>
        <row r="402">
          <cell r="F402">
            <v>712025</v>
          </cell>
          <cell r="G402">
            <v>0</v>
          </cell>
          <cell r="H402">
            <v>712025</v>
          </cell>
          <cell r="I402">
            <v>0</v>
          </cell>
          <cell r="J402">
            <v>712025</v>
          </cell>
          <cell r="K402">
            <v>0</v>
          </cell>
        </row>
        <row r="403">
          <cell r="F403">
            <v>277119.43</v>
          </cell>
          <cell r="G403">
            <v>0</v>
          </cell>
          <cell r="H403">
            <v>277119.43</v>
          </cell>
          <cell r="I403">
            <v>-277119.43</v>
          </cell>
          <cell r="J403">
            <v>0</v>
          </cell>
          <cell r="K403">
            <v>0</v>
          </cell>
        </row>
        <row r="404">
          <cell r="F404">
            <v>522000</v>
          </cell>
          <cell r="G404">
            <v>0</v>
          </cell>
          <cell r="H404">
            <v>522000</v>
          </cell>
          <cell r="I404">
            <v>0</v>
          </cell>
          <cell r="J404">
            <v>522000</v>
          </cell>
          <cell r="K404">
            <v>0</v>
          </cell>
        </row>
        <row r="405">
          <cell r="F405">
            <v>29400</v>
          </cell>
          <cell r="G405">
            <v>0</v>
          </cell>
          <cell r="H405">
            <v>29400</v>
          </cell>
          <cell r="I405">
            <v>0</v>
          </cell>
          <cell r="J405">
            <v>29400</v>
          </cell>
          <cell r="K405">
            <v>7500</v>
          </cell>
        </row>
        <row r="406"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32500</v>
          </cell>
        </row>
        <row r="407"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281428.75</v>
          </cell>
        </row>
        <row r="408">
          <cell r="F408">
            <v>58000</v>
          </cell>
          <cell r="G408">
            <v>0</v>
          </cell>
          <cell r="H408">
            <v>58000</v>
          </cell>
          <cell r="I408">
            <v>0</v>
          </cell>
          <cell r="J408">
            <v>58000</v>
          </cell>
          <cell r="K408">
            <v>36500</v>
          </cell>
        </row>
        <row r="409"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2761719.06</v>
          </cell>
        </row>
        <row r="410">
          <cell r="F410">
            <v>2990395.54</v>
          </cell>
          <cell r="G410">
            <v>0</v>
          </cell>
          <cell r="H410">
            <v>2990395.54</v>
          </cell>
          <cell r="I410">
            <v>23000</v>
          </cell>
          <cell r="J410">
            <v>3013395.54</v>
          </cell>
          <cell r="K410">
            <v>0</v>
          </cell>
        </row>
        <row r="411">
          <cell r="F411">
            <v>9588422.879999999</v>
          </cell>
          <cell r="G411">
            <v>0</v>
          </cell>
          <cell r="H411">
            <v>9588422.879999999</v>
          </cell>
          <cell r="I411">
            <v>-254119.43</v>
          </cell>
          <cell r="J411">
            <v>9334303.4499999993</v>
          </cell>
          <cell r="K411">
            <v>3119647.81</v>
          </cell>
        </row>
        <row r="413">
          <cell r="F413">
            <v>0</v>
          </cell>
          <cell r="G413">
            <v>0</v>
          </cell>
          <cell r="H413">
            <v>0</v>
          </cell>
          <cell r="I413">
            <v>0</v>
          </cell>
          <cell r="J413">
            <v>0</v>
          </cell>
          <cell r="K413">
            <v>823671.3</v>
          </cell>
        </row>
        <row r="414">
          <cell r="F414">
            <v>0</v>
          </cell>
          <cell r="G414">
            <v>0</v>
          </cell>
          <cell r="H414">
            <v>0</v>
          </cell>
          <cell r="I414">
            <v>0</v>
          </cell>
          <cell r="J414">
            <v>0</v>
          </cell>
          <cell r="K414">
            <v>385503.53</v>
          </cell>
        </row>
        <row r="415">
          <cell r="F415">
            <v>63512.72</v>
          </cell>
          <cell r="G415">
            <v>234081.56</v>
          </cell>
          <cell r="H415">
            <v>297594.28000000003</v>
          </cell>
          <cell r="I415">
            <v>36956.800000000003</v>
          </cell>
          <cell r="J415">
            <v>334551.08</v>
          </cell>
          <cell r="K415">
            <v>71593.56</v>
          </cell>
        </row>
        <row r="416">
          <cell r="F416">
            <v>276786</v>
          </cell>
          <cell r="G416">
            <v>574670.21</v>
          </cell>
          <cell r="H416">
            <v>851456.21</v>
          </cell>
          <cell r="I416">
            <v>0</v>
          </cell>
          <cell r="J416">
            <v>851456.21</v>
          </cell>
          <cell r="K416">
            <v>503419.84</v>
          </cell>
        </row>
        <row r="417">
          <cell r="F417">
            <v>1664590.16</v>
          </cell>
          <cell r="G417">
            <v>722807.59</v>
          </cell>
          <cell r="H417">
            <v>2387397.75</v>
          </cell>
          <cell r="I417">
            <v>0</v>
          </cell>
          <cell r="J417">
            <v>2387397.75</v>
          </cell>
          <cell r="K417">
            <v>3980510</v>
          </cell>
        </row>
        <row r="418">
          <cell r="F418">
            <v>0</v>
          </cell>
          <cell r="G418">
            <v>546505</v>
          </cell>
          <cell r="H418">
            <v>546505</v>
          </cell>
          <cell r="I418">
            <v>0</v>
          </cell>
          <cell r="J418">
            <v>546505</v>
          </cell>
          <cell r="K418">
            <v>661050</v>
          </cell>
        </row>
        <row r="419">
          <cell r="F419">
            <v>2004888.88</v>
          </cell>
          <cell r="G419">
            <v>2078064.3599999999</v>
          </cell>
          <cell r="H419">
            <v>4082953.24</v>
          </cell>
          <cell r="I419">
            <v>36956.800000000003</v>
          </cell>
          <cell r="J419">
            <v>4119910.04</v>
          </cell>
          <cell r="K419">
            <v>6425748.2300000004</v>
          </cell>
        </row>
        <row r="421">
          <cell r="F421">
            <v>0</v>
          </cell>
          <cell r="G421">
            <v>0</v>
          </cell>
          <cell r="H421">
            <v>0</v>
          </cell>
          <cell r="I421">
            <v>0</v>
          </cell>
          <cell r="J421">
            <v>0</v>
          </cell>
          <cell r="K421">
            <v>1030532.61</v>
          </cell>
        </row>
        <row r="422">
          <cell r="F422">
            <v>0</v>
          </cell>
          <cell r="G422">
            <v>0</v>
          </cell>
          <cell r="H422">
            <v>0</v>
          </cell>
          <cell r="I422">
            <v>0</v>
          </cell>
          <cell r="J422">
            <v>0</v>
          </cell>
          <cell r="K422">
            <v>53776458.030000001</v>
          </cell>
        </row>
        <row r="423">
          <cell r="F423">
            <v>0</v>
          </cell>
          <cell r="G423">
            <v>0</v>
          </cell>
          <cell r="H423">
            <v>0</v>
          </cell>
          <cell r="I423">
            <v>0</v>
          </cell>
          <cell r="J423">
            <v>0</v>
          </cell>
          <cell r="K423">
            <v>0</v>
          </cell>
        </row>
        <row r="424">
          <cell r="F424">
            <v>30000</v>
          </cell>
          <cell r="G424">
            <v>0</v>
          </cell>
          <cell r="H424">
            <v>30000</v>
          </cell>
          <cell r="I424">
            <v>0</v>
          </cell>
          <cell r="J424">
            <v>30000</v>
          </cell>
          <cell r="K424">
            <v>0</v>
          </cell>
        </row>
        <row r="425">
          <cell r="F425">
            <v>0</v>
          </cell>
          <cell r="G425">
            <v>6660031.3899999997</v>
          </cell>
          <cell r="H425">
            <v>6660031.3899999997</v>
          </cell>
          <cell r="I425">
            <v>0</v>
          </cell>
          <cell r="J425">
            <v>6660031.3899999997</v>
          </cell>
          <cell r="K425">
            <v>0</v>
          </cell>
        </row>
        <row r="426">
          <cell r="F426">
            <v>0</v>
          </cell>
          <cell r="G426">
            <v>11019270.6</v>
          </cell>
          <cell r="H426">
            <v>11019270.6</v>
          </cell>
          <cell r="I426">
            <v>0</v>
          </cell>
          <cell r="J426">
            <v>11019270.6</v>
          </cell>
          <cell r="K426">
            <v>0</v>
          </cell>
        </row>
        <row r="427">
          <cell r="F427">
            <v>36348967.299999997</v>
          </cell>
          <cell r="G427">
            <v>46932412.759999998</v>
          </cell>
          <cell r="H427">
            <v>83281380.060000002</v>
          </cell>
          <cell r="I427">
            <v>0</v>
          </cell>
          <cell r="J427">
            <v>83281380.060000002</v>
          </cell>
          <cell r="K427">
            <v>11876916.220000001</v>
          </cell>
        </row>
        <row r="428">
          <cell r="F428">
            <v>36378967.299999997</v>
          </cell>
          <cell r="G428">
            <v>64611714.75</v>
          </cell>
          <cell r="H428">
            <v>100990682.05</v>
          </cell>
          <cell r="I428">
            <v>0</v>
          </cell>
          <cell r="J428">
            <v>100990682.05</v>
          </cell>
          <cell r="K428">
            <v>66683906.859999999</v>
          </cell>
        </row>
        <row r="430">
          <cell r="F430">
            <v>4628013.08</v>
          </cell>
          <cell r="G430">
            <v>0</v>
          </cell>
          <cell r="H430">
            <v>4628013.08</v>
          </cell>
          <cell r="I430">
            <v>-551356.82999999996</v>
          </cell>
          <cell r="J430">
            <v>4076656.25</v>
          </cell>
          <cell r="K430">
            <v>0</v>
          </cell>
        </row>
        <row r="431">
          <cell r="F431">
            <v>4628013.08</v>
          </cell>
          <cell r="G431">
            <v>0</v>
          </cell>
          <cell r="H431">
            <v>4628013.08</v>
          </cell>
          <cell r="I431">
            <v>-551356.82999999996</v>
          </cell>
          <cell r="J431">
            <v>4076656.25</v>
          </cell>
          <cell r="K431">
            <v>0</v>
          </cell>
        </row>
        <row r="433">
          <cell r="F433">
            <v>13816506.65</v>
          </cell>
          <cell r="G433">
            <v>0</v>
          </cell>
          <cell r="H433">
            <v>13816506.65</v>
          </cell>
          <cell r="I433">
            <v>0</v>
          </cell>
          <cell r="J433">
            <v>13816506.65</v>
          </cell>
          <cell r="K433">
            <v>11921613.550000001</v>
          </cell>
        </row>
        <row r="434">
          <cell r="F434">
            <v>13816506.65</v>
          </cell>
          <cell r="G434">
            <v>0</v>
          </cell>
          <cell r="H434">
            <v>13816506.65</v>
          </cell>
          <cell r="I434">
            <v>0</v>
          </cell>
          <cell r="J434">
            <v>13816506.65</v>
          </cell>
          <cell r="K434">
            <v>11921613.550000001</v>
          </cell>
        </row>
        <row r="436">
          <cell r="F436">
            <v>2000</v>
          </cell>
          <cell r="G436">
            <v>0</v>
          </cell>
          <cell r="H436">
            <v>2000</v>
          </cell>
          <cell r="I436">
            <v>0</v>
          </cell>
          <cell r="J436">
            <v>2000</v>
          </cell>
          <cell r="K436">
            <v>0</v>
          </cell>
        </row>
        <row r="437">
          <cell r="F437">
            <v>-710366.26</v>
          </cell>
          <cell r="G437">
            <v>0</v>
          </cell>
          <cell r="H437">
            <v>-710366.26</v>
          </cell>
          <cell r="I437">
            <v>828476.26</v>
          </cell>
          <cell r="J437">
            <v>118110</v>
          </cell>
          <cell r="K437">
            <v>0</v>
          </cell>
        </row>
        <row r="438">
          <cell r="F438">
            <v>3187749.39</v>
          </cell>
          <cell r="G438">
            <v>0</v>
          </cell>
          <cell r="H438">
            <v>3187749.39</v>
          </cell>
          <cell r="I438">
            <v>0</v>
          </cell>
          <cell r="J438">
            <v>3187749.39</v>
          </cell>
          <cell r="K438">
            <v>7271022.5599999996</v>
          </cell>
        </row>
        <row r="439">
          <cell r="F439">
            <v>2751744.5</v>
          </cell>
          <cell r="G439">
            <v>0</v>
          </cell>
          <cell r="H439">
            <v>2751744.5</v>
          </cell>
          <cell r="I439">
            <v>102500</v>
          </cell>
          <cell r="J439">
            <v>2854244.5</v>
          </cell>
          <cell r="K439">
            <v>4577944.97</v>
          </cell>
        </row>
        <row r="440">
          <cell r="F440">
            <v>519465</v>
          </cell>
          <cell r="G440">
            <v>0</v>
          </cell>
          <cell r="H440">
            <v>519465</v>
          </cell>
          <cell r="I440">
            <v>28000</v>
          </cell>
          <cell r="J440">
            <v>547465</v>
          </cell>
          <cell r="K440">
            <v>253831.04000000001</v>
          </cell>
        </row>
        <row r="441">
          <cell r="F441">
            <v>0</v>
          </cell>
          <cell r="G441">
            <v>0</v>
          </cell>
          <cell r="H441">
            <v>0</v>
          </cell>
          <cell r="I441">
            <v>0</v>
          </cell>
          <cell r="J441">
            <v>0</v>
          </cell>
          <cell r="K441">
            <v>140600</v>
          </cell>
        </row>
        <row r="442">
          <cell r="F442">
            <v>104400</v>
          </cell>
          <cell r="G442">
            <v>0</v>
          </cell>
          <cell r="H442">
            <v>104400</v>
          </cell>
          <cell r="I442">
            <v>229350</v>
          </cell>
          <cell r="J442">
            <v>333750</v>
          </cell>
          <cell r="K442">
            <v>923690.17</v>
          </cell>
        </row>
        <row r="443">
          <cell r="F443">
            <v>5854992.6299999999</v>
          </cell>
          <cell r="G443">
            <v>0</v>
          </cell>
          <cell r="H443">
            <v>5854992.6299999999</v>
          </cell>
          <cell r="I443">
            <v>1188326.26</v>
          </cell>
          <cell r="J443">
            <v>7043318.8900000006</v>
          </cell>
          <cell r="K443">
            <v>13167088.739999998</v>
          </cell>
        </row>
        <row r="445">
          <cell r="F445">
            <v>310797.5</v>
          </cell>
          <cell r="G445">
            <v>0</v>
          </cell>
          <cell r="H445">
            <v>310797.5</v>
          </cell>
          <cell r="I445">
            <v>0</v>
          </cell>
          <cell r="J445">
            <v>310797.5</v>
          </cell>
          <cell r="K445">
            <v>826695</v>
          </cell>
        </row>
        <row r="446"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28450</v>
          </cell>
        </row>
        <row r="447">
          <cell r="F447">
            <v>310797.5</v>
          </cell>
          <cell r="G447">
            <v>0</v>
          </cell>
          <cell r="H447">
            <v>310797.5</v>
          </cell>
          <cell r="I447">
            <v>0</v>
          </cell>
          <cell r="J447">
            <v>310797.5</v>
          </cell>
          <cell r="K447">
            <v>855145</v>
          </cell>
        </row>
        <row r="449">
          <cell r="F449">
            <v>18250</v>
          </cell>
          <cell r="G449">
            <v>0</v>
          </cell>
          <cell r="H449">
            <v>18250</v>
          </cell>
          <cell r="I449">
            <v>0</v>
          </cell>
          <cell r="J449">
            <v>18250</v>
          </cell>
          <cell r="K449">
            <v>0</v>
          </cell>
        </row>
        <row r="450">
          <cell r="F450">
            <v>455000</v>
          </cell>
          <cell r="G450">
            <v>0</v>
          </cell>
          <cell r="H450">
            <v>455000</v>
          </cell>
          <cell r="I450">
            <v>0</v>
          </cell>
          <cell r="J450">
            <v>455000</v>
          </cell>
          <cell r="K450">
            <v>240000</v>
          </cell>
        </row>
        <row r="451">
          <cell r="F451">
            <v>410000</v>
          </cell>
          <cell r="G451">
            <v>0</v>
          </cell>
          <cell r="H451">
            <v>410000</v>
          </cell>
          <cell r="I451">
            <v>0</v>
          </cell>
          <cell r="J451">
            <v>410000</v>
          </cell>
          <cell r="K451">
            <v>240000</v>
          </cell>
        </row>
        <row r="452">
          <cell r="F452">
            <v>883250</v>
          </cell>
          <cell r="G452">
            <v>0</v>
          </cell>
          <cell r="H452">
            <v>883250</v>
          </cell>
          <cell r="I452">
            <v>0</v>
          </cell>
          <cell r="J452">
            <v>883250</v>
          </cell>
          <cell r="K452">
            <v>480000</v>
          </cell>
        </row>
        <row r="454"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</row>
        <row r="456">
          <cell r="F456">
            <v>1180228.46</v>
          </cell>
          <cell r="G456">
            <v>45552.55</v>
          </cell>
          <cell r="H456">
            <v>1225781.01</v>
          </cell>
          <cell r="I456">
            <v>0</v>
          </cell>
          <cell r="J456">
            <v>1225781.01</v>
          </cell>
          <cell r="K456">
            <v>2914387.37</v>
          </cell>
        </row>
        <row r="457"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116433.33</v>
          </cell>
        </row>
        <row r="458"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107950</v>
          </cell>
        </row>
        <row r="459">
          <cell r="F459">
            <v>1180228.46</v>
          </cell>
          <cell r="G459">
            <v>45552.55</v>
          </cell>
          <cell r="H459">
            <v>1225781.01</v>
          </cell>
          <cell r="I459">
            <v>0</v>
          </cell>
          <cell r="J459">
            <v>1225781.01</v>
          </cell>
          <cell r="K459">
            <v>3138770.7</v>
          </cell>
        </row>
        <row r="461">
          <cell r="F461">
            <v>1253177.25</v>
          </cell>
          <cell r="G461">
            <v>0</v>
          </cell>
          <cell r="H461">
            <v>1253177.25</v>
          </cell>
          <cell r="I461">
            <v>0</v>
          </cell>
          <cell r="J461">
            <v>1253177.25</v>
          </cell>
          <cell r="K461">
            <v>2466518</v>
          </cell>
        </row>
        <row r="462">
          <cell r="F462">
            <v>144672.5</v>
          </cell>
          <cell r="G462">
            <v>0</v>
          </cell>
          <cell r="H462">
            <v>144672.5</v>
          </cell>
          <cell r="I462">
            <v>0</v>
          </cell>
          <cell r="J462">
            <v>144672.5</v>
          </cell>
          <cell r="K462">
            <v>876405</v>
          </cell>
        </row>
        <row r="463">
          <cell r="F463">
            <v>439640.97</v>
          </cell>
          <cell r="G463">
            <v>0</v>
          </cell>
          <cell r="H463">
            <v>439640.97</v>
          </cell>
          <cell r="I463">
            <v>0</v>
          </cell>
          <cell r="J463">
            <v>439640.97</v>
          </cell>
          <cell r="K463">
            <v>1055986.03</v>
          </cell>
        </row>
        <row r="464">
          <cell r="F464">
            <v>1837490.72</v>
          </cell>
          <cell r="G464">
            <v>0</v>
          </cell>
          <cell r="H464">
            <v>1837490.72</v>
          </cell>
          <cell r="I464">
            <v>0</v>
          </cell>
          <cell r="J464">
            <v>1837490.72</v>
          </cell>
          <cell r="K464">
            <v>4398909.03</v>
          </cell>
        </row>
        <row r="466">
          <cell r="F466">
            <v>1773064.6</v>
          </cell>
          <cell r="G466">
            <v>0</v>
          </cell>
          <cell r="H466">
            <v>1773064.6</v>
          </cell>
          <cell r="I466">
            <v>0</v>
          </cell>
          <cell r="J466">
            <v>1773064.6</v>
          </cell>
          <cell r="K466">
            <v>1610025</v>
          </cell>
        </row>
        <row r="467">
          <cell r="F467">
            <v>950000</v>
          </cell>
          <cell r="G467">
            <v>0</v>
          </cell>
          <cell r="H467">
            <v>950000</v>
          </cell>
          <cell r="I467">
            <v>0</v>
          </cell>
          <cell r="J467">
            <v>950000</v>
          </cell>
          <cell r="K467">
            <v>1152000</v>
          </cell>
        </row>
        <row r="468">
          <cell r="F468">
            <v>2723064.6</v>
          </cell>
          <cell r="G468">
            <v>0</v>
          </cell>
          <cell r="H468">
            <v>2723064.6</v>
          </cell>
          <cell r="I468">
            <v>0</v>
          </cell>
          <cell r="J468">
            <v>2723064.6</v>
          </cell>
          <cell r="K468">
            <v>2762025</v>
          </cell>
        </row>
        <row r="470">
          <cell r="F470">
            <v>700000</v>
          </cell>
          <cell r="G470">
            <v>4300000</v>
          </cell>
          <cell r="H470">
            <v>5000000</v>
          </cell>
          <cell r="I470">
            <v>0</v>
          </cell>
          <cell r="J470">
            <v>5000000</v>
          </cell>
          <cell r="K470">
            <v>3000000</v>
          </cell>
        </row>
        <row r="471">
          <cell r="F471">
            <v>700000</v>
          </cell>
          <cell r="G471">
            <v>4300000</v>
          </cell>
          <cell r="H471">
            <v>5000000</v>
          </cell>
          <cell r="I471">
            <v>0</v>
          </cell>
          <cell r="J471">
            <v>5000000</v>
          </cell>
          <cell r="K471">
            <v>3000000</v>
          </cell>
        </row>
        <row r="473"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1721168.33</v>
          </cell>
        </row>
        <row r="474"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1721168.33</v>
          </cell>
        </row>
        <row r="476"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66960.3</v>
          </cell>
        </row>
        <row r="477"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66960.3</v>
          </cell>
        </row>
        <row r="479">
          <cell r="F479">
            <v>1216400</v>
          </cell>
          <cell r="G479">
            <v>0</v>
          </cell>
          <cell r="H479">
            <v>1216400</v>
          </cell>
          <cell r="I479">
            <v>0</v>
          </cell>
          <cell r="J479">
            <v>1216400</v>
          </cell>
          <cell r="K479">
            <v>819800</v>
          </cell>
        </row>
        <row r="480">
          <cell r="F480">
            <v>2863835</v>
          </cell>
          <cell r="G480">
            <v>0</v>
          </cell>
          <cell r="H480">
            <v>2863835</v>
          </cell>
          <cell r="I480">
            <v>0</v>
          </cell>
          <cell r="J480">
            <v>2863835</v>
          </cell>
          <cell r="K480">
            <v>4998500</v>
          </cell>
        </row>
        <row r="481">
          <cell r="F481">
            <v>-422421.18</v>
          </cell>
          <cell r="G481">
            <v>0</v>
          </cell>
          <cell r="H481">
            <v>-422421.18</v>
          </cell>
          <cell r="I481">
            <v>0</v>
          </cell>
          <cell r="J481">
            <v>-422421.18</v>
          </cell>
          <cell r="K481">
            <v>153315</v>
          </cell>
        </row>
        <row r="482">
          <cell r="F482">
            <v>3657813.82</v>
          </cell>
          <cell r="G482">
            <v>0</v>
          </cell>
          <cell r="H482">
            <v>3657813.82</v>
          </cell>
          <cell r="I482">
            <v>0</v>
          </cell>
          <cell r="J482">
            <v>3657813.82</v>
          </cell>
          <cell r="K482">
            <v>5971615</v>
          </cell>
        </row>
        <row r="484"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6561183.3300000001</v>
          </cell>
        </row>
        <row r="485"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6561183.3300000001</v>
          </cell>
        </row>
        <row r="487">
          <cell r="F487">
            <v>1100660.8700000001</v>
          </cell>
          <cell r="G487">
            <v>55794.89</v>
          </cell>
          <cell r="H487">
            <v>1156455.76</v>
          </cell>
          <cell r="I487">
            <v>0</v>
          </cell>
          <cell r="J487">
            <v>1156455.76</v>
          </cell>
          <cell r="K487">
            <v>7490000</v>
          </cell>
        </row>
        <row r="488">
          <cell r="F488">
            <v>5668304.3700000001</v>
          </cell>
          <cell r="G488">
            <v>891274.46</v>
          </cell>
          <cell r="H488">
            <v>6559578.8300000001</v>
          </cell>
          <cell r="I488">
            <v>0</v>
          </cell>
          <cell r="J488">
            <v>6559578.8300000001</v>
          </cell>
          <cell r="K488">
            <v>43804065</v>
          </cell>
        </row>
        <row r="489">
          <cell r="F489">
            <v>6768965.2400000002</v>
          </cell>
          <cell r="G489">
            <v>947069.35</v>
          </cell>
          <cell r="H489">
            <v>7716034.5899999999</v>
          </cell>
          <cell r="I489">
            <v>0</v>
          </cell>
          <cell r="J489">
            <v>7716034.5899999999</v>
          </cell>
          <cell r="K489">
            <v>51294065</v>
          </cell>
        </row>
        <row r="491">
          <cell r="F491">
            <v>420250</v>
          </cell>
          <cell r="G491">
            <v>0</v>
          </cell>
          <cell r="H491">
            <v>420250</v>
          </cell>
          <cell r="I491">
            <v>0</v>
          </cell>
          <cell r="J491">
            <v>420250</v>
          </cell>
          <cell r="K491">
            <v>561980</v>
          </cell>
        </row>
        <row r="492"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280000</v>
          </cell>
        </row>
        <row r="493">
          <cell r="F493">
            <v>420250</v>
          </cell>
          <cell r="G493">
            <v>0</v>
          </cell>
          <cell r="H493">
            <v>420250</v>
          </cell>
          <cell r="I493">
            <v>0</v>
          </cell>
          <cell r="J493">
            <v>420250</v>
          </cell>
          <cell r="K493">
            <v>841980</v>
          </cell>
        </row>
        <row r="495"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</row>
        <row r="497"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</row>
        <row r="499">
          <cell r="F499">
            <v>199230</v>
          </cell>
          <cell r="G499">
            <v>0</v>
          </cell>
          <cell r="H499">
            <v>199230</v>
          </cell>
          <cell r="I499">
            <v>0</v>
          </cell>
          <cell r="J499">
            <v>199230</v>
          </cell>
          <cell r="K499">
            <v>223125.85</v>
          </cell>
        </row>
        <row r="500">
          <cell r="F500">
            <v>0</v>
          </cell>
          <cell r="G500">
            <v>0</v>
          </cell>
          <cell r="H500">
            <v>0</v>
          </cell>
          <cell r="I500">
            <v>0</v>
          </cell>
          <cell r="J500">
            <v>0</v>
          </cell>
          <cell r="K500">
            <v>26070</v>
          </cell>
        </row>
        <row r="501">
          <cell r="F501">
            <v>199230</v>
          </cell>
          <cell r="G501">
            <v>0</v>
          </cell>
          <cell r="H501">
            <v>199230</v>
          </cell>
          <cell r="I501">
            <v>0</v>
          </cell>
          <cell r="J501">
            <v>199230</v>
          </cell>
          <cell r="K501">
            <v>249195.85</v>
          </cell>
        </row>
        <row r="503">
          <cell r="F503">
            <v>3052000</v>
          </cell>
          <cell r="G503">
            <v>0</v>
          </cell>
          <cell r="H503">
            <v>3052000</v>
          </cell>
          <cell r="I503">
            <v>0</v>
          </cell>
          <cell r="J503">
            <v>3052000</v>
          </cell>
          <cell r="K503">
            <v>2439800.16</v>
          </cell>
        </row>
        <row r="504">
          <cell r="F504">
            <v>3052000</v>
          </cell>
          <cell r="G504">
            <v>0</v>
          </cell>
          <cell r="H504">
            <v>3052000</v>
          </cell>
          <cell r="I504">
            <v>0</v>
          </cell>
          <cell r="J504">
            <v>3052000</v>
          </cell>
          <cell r="K504">
            <v>2439800.16</v>
          </cell>
        </row>
        <row r="506">
          <cell r="F506">
            <v>0</v>
          </cell>
          <cell r="G506">
            <v>0</v>
          </cell>
          <cell r="H506">
            <v>0</v>
          </cell>
          <cell r="I506">
            <v>0</v>
          </cell>
          <cell r="J506">
            <v>0</v>
          </cell>
          <cell r="K506">
            <v>0</v>
          </cell>
        </row>
        <row r="508">
          <cell r="F508">
            <v>-452360</v>
          </cell>
          <cell r="G508">
            <v>0</v>
          </cell>
          <cell r="H508">
            <v>-452360</v>
          </cell>
          <cell r="I508">
            <v>0</v>
          </cell>
          <cell r="J508">
            <v>-452360</v>
          </cell>
          <cell r="K508">
            <v>0</v>
          </cell>
        </row>
        <row r="509">
          <cell r="F509">
            <v>-2447849.4</v>
          </cell>
          <cell r="G509">
            <v>0</v>
          </cell>
          <cell r="H509">
            <v>-2447849.4</v>
          </cell>
          <cell r="I509">
            <v>-393850</v>
          </cell>
          <cell r="J509">
            <v>-2841699.4</v>
          </cell>
          <cell r="K509">
            <v>-183300</v>
          </cell>
        </row>
        <row r="510">
          <cell r="F510">
            <v>-2220389.7200000002</v>
          </cell>
          <cell r="G510">
            <v>0</v>
          </cell>
          <cell r="H510">
            <v>-2220389.7200000002</v>
          </cell>
          <cell r="I510">
            <v>0</v>
          </cell>
          <cell r="J510">
            <v>-2220389.7200000002</v>
          </cell>
          <cell r="K510">
            <v>-10117409.33</v>
          </cell>
        </row>
        <row r="511">
          <cell r="F511">
            <v>-5120599.12</v>
          </cell>
          <cell r="G511">
            <v>0</v>
          </cell>
          <cell r="H511">
            <v>-5120599.12</v>
          </cell>
          <cell r="I511">
            <v>-393850</v>
          </cell>
          <cell r="J511">
            <v>-5514449.1200000001</v>
          </cell>
          <cell r="K511">
            <v>-10300709.33</v>
          </cell>
        </row>
        <row r="513">
          <cell r="F513">
            <v>4500</v>
          </cell>
          <cell r="G513">
            <v>0</v>
          </cell>
          <cell r="H513">
            <v>4500</v>
          </cell>
          <cell r="I513">
            <v>0</v>
          </cell>
          <cell r="J513">
            <v>4500</v>
          </cell>
          <cell r="K513">
            <v>204097.01</v>
          </cell>
        </row>
        <row r="514">
          <cell r="F514">
            <v>2642137.1</v>
          </cell>
          <cell r="G514">
            <v>0</v>
          </cell>
          <cell r="H514">
            <v>2642137.1</v>
          </cell>
          <cell r="I514">
            <v>0</v>
          </cell>
          <cell r="J514">
            <v>2642137.1</v>
          </cell>
          <cell r="K514">
            <v>4497672.1900000004</v>
          </cell>
        </row>
        <row r="515">
          <cell r="F515">
            <v>2646637.1</v>
          </cell>
          <cell r="G515">
            <v>0</v>
          </cell>
          <cell r="H515">
            <v>2646637.1</v>
          </cell>
          <cell r="I515">
            <v>0</v>
          </cell>
          <cell r="J515">
            <v>2646637.1</v>
          </cell>
          <cell r="K515">
            <v>4701769.2</v>
          </cell>
        </row>
        <row r="517">
          <cell r="F517">
            <v>0</v>
          </cell>
          <cell r="G517">
            <v>0</v>
          </cell>
          <cell r="H517">
            <v>0</v>
          </cell>
          <cell r="I517">
            <v>0</v>
          </cell>
          <cell r="J517">
            <v>0</v>
          </cell>
          <cell r="K517">
            <v>0</v>
          </cell>
        </row>
        <row r="519">
          <cell r="F519">
            <v>0</v>
          </cell>
          <cell r="G519">
            <v>0</v>
          </cell>
          <cell r="H519">
            <v>0</v>
          </cell>
          <cell r="I519">
            <v>0</v>
          </cell>
          <cell r="J519">
            <v>0</v>
          </cell>
          <cell r="K519">
            <v>0</v>
          </cell>
        </row>
        <row r="521">
          <cell r="F521">
            <v>0</v>
          </cell>
          <cell r="G521">
            <v>0</v>
          </cell>
          <cell r="H521">
            <v>0</v>
          </cell>
          <cell r="I521">
            <v>0</v>
          </cell>
          <cell r="J521">
            <v>0</v>
          </cell>
          <cell r="K521">
            <v>0</v>
          </cell>
        </row>
        <row r="522">
          <cell r="F522">
            <v>5.1222741603851318E-9</v>
          </cell>
          <cell r="G522">
            <v>-6.1700120568275452E-9</v>
          </cell>
          <cell r="H522">
            <v>-1.5366822481155396E-8</v>
          </cell>
          <cell r="I522">
            <v>2.3283064365386963E-10</v>
          </cell>
          <cell r="J522">
            <v>-7.8696757555007935E-8</v>
          </cell>
          <cell r="K522">
            <v>30.219999958761036</v>
          </cell>
        </row>
      </sheetData>
      <sheetData sheetId="2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TAL"/>
      <sheetName val="Jan"/>
      <sheetName val="Feb"/>
      <sheetName val="Mar"/>
      <sheetName val="Apr"/>
      <sheetName val="May"/>
      <sheetName val="Jun"/>
      <sheetName val="Jul"/>
      <sheetName val="Aug"/>
      <sheetName val="Sept"/>
      <sheetName val="Oct"/>
      <sheetName val="Nov"/>
      <sheetName val="Dec"/>
      <sheetName val="Sheet11"/>
      <sheetName val="BSNotes"/>
      <sheetName val="Expenses Breakdown - June 2010"/>
      <sheetName val="Form Admin"/>
      <sheetName val="Expenses_Breakdown_-_June_2010"/>
      <sheetName val="Form_Admin"/>
      <sheetName val="May10"/>
      <sheetName val="Expenses_Breakdown_-_June_20101"/>
      <sheetName val="Form_Admin1"/>
      <sheetName val="Expenses_Breakdown_-_June_20102"/>
      <sheetName val="Form_Admin2"/>
      <sheetName val="MBR3-340"/>
      <sheetName val="Expenses_Breakdown_-_June_20103"/>
      <sheetName val="Form_Admin3"/>
    </sheetNames>
    <sheetDataSet>
      <sheetData sheetId="0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7">
          <cell r="C7">
            <v>7.1474908287018121E-2</v>
          </cell>
        </row>
        <row r="8">
          <cell r="C8">
            <v>8.3239412420544695E-2</v>
          </cell>
        </row>
        <row r="9">
          <cell r="C9">
            <v>0.5179883041464044</v>
          </cell>
        </row>
        <row r="10">
          <cell r="C10">
            <v>0.211317127333227</v>
          </cell>
        </row>
        <row r="12">
          <cell r="C12">
            <v>3.3850695076906731E-2</v>
          </cell>
        </row>
        <row r="17">
          <cell r="C17">
            <v>0.18089203040855978</v>
          </cell>
        </row>
        <row r="18">
          <cell r="C18">
            <v>0.33709627373784468</v>
          </cell>
        </row>
      </sheetData>
      <sheetData sheetId="14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_sheet"/>
      <sheetName val="inc_stat"/>
      <sheetName val="notes"/>
      <sheetName val="Correction Journal"/>
      <sheetName val="trial_bal"/>
      <sheetName val="raw_trial_bal"/>
      <sheetName val="step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_sheet"/>
      <sheetName val="inc_stat"/>
      <sheetName val="notes"/>
      <sheetName val="Correction Journal"/>
      <sheetName val="trial_bal"/>
      <sheetName val="raw_trial_bal"/>
      <sheetName val="step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_sheet"/>
      <sheetName val="inc_stat"/>
      <sheetName val="notes"/>
      <sheetName val="Correction Journal"/>
      <sheetName val="trial_bal"/>
      <sheetName val="raw_trial_bal"/>
      <sheetName val="steps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_sheet"/>
      <sheetName val="inc_stat"/>
      <sheetName val="notes"/>
      <sheetName val="Correction Journal"/>
      <sheetName val="trial_bal"/>
      <sheetName val="raw_trial_bal"/>
      <sheetName val="steps"/>
    </sheetNames>
    <sheetDataSet>
      <sheetData sheetId="0">
        <row r="16">
          <cell r="N16" t="str">
            <v>November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_sheet"/>
      <sheetName val="inc_stat"/>
      <sheetName val="notes"/>
      <sheetName val="Correction Journal"/>
      <sheetName val="trial_bal"/>
      <sheetName val="raw_trial_bal"/>
      <sheetName val="steps"/>
    </sheetNames>
    <sheetDataSet>
      <sheetData sheetId="0">
        <row r="16">
          <cell r="N16" t="str">
            <v>November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_sheet"/>
      <sheetName val="inc_stat"/>
      <sheetName val="notes"/>
      <sheetName val="Correction Journal"/>
      <sheetName val="trial_bal"/>
      <sheetName val="raw_trial_bal"/>
      <sheetName val="steps"/>
    </sheetNames>
    <sheetDataSet>
      <sheetData sheetId="0">
        <row r="16">
          <cell r="N16" t="str">
            <v>November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_sheet"/>
      <sheetName val="inc_stat"/>
      <sheetName val="notes"/>
      <sheetName val="Correction Journal"/>
      <sheetName val="trial_bal"/>
      <sheetName val="raw_trial_bal"/>
      <sheetName val="steps"/>
    </sheetNames>
    <sheetDataSet>
      <sheetData sheetId="0">
        <row r="16">
          <cell r="N16" t="str">
            <v>November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LL TABLES"/>
      <sheetName val="PG2 (97)"/>
      <sheetName val="PG2 (96)"/>
      <sheetName val="PG2 (95)"/>
      <sheetName val="PG2 (94)"/>
      <sheetName val="PG2 (93)"/>
      <sheetName val="OLDFILE"/>
      <sheetName val="NEWFILE"/>
      <sheetName val="Sheet9"/>
      <sheetName val="JAN (2)"/>
      <sheetName val="BSHEET"/>
      <sheetName val="P&amp;L "/>
      <sheetName val="Mapping Fields to AGG node"/>
      <sheetName val=" CHART@APR'00"/>
      <sheetName val="MAR 2000-DRAFT (2)"/>
      <sheetName val="FEB 2000 FINAL"/>
      <sheetName val="MAR 2000-DRAFT"/>
      <sheetName val="Sheet1 (2)"/>
      <sheetName val="Sheet1"/>
      <sheetName val="MAR 2000 DRAFT 2"/>
      <sheetName val="APRIL DRAFT"/>
      <sheetName val="APRIL FINAL"/>
      <sheetName val="MAY DRAFT"/>
      <sheetName val="MAY FINAL"/>
      <sheetName val="Sheet2"/>
      <sheetName val=" CHART@MAY'00 "/>
      <sheetName val="JUNE DRAFT"/>
      <sheetName val="JUNE FINAL"/>
      <sheetName val="ALL_TABLES"/>
      <sheetName val="PG2_(97)"/>
      <sheetName val="PG2_(96)"/>
      <sheetName val="PG2_(95)"/>
      <sheetName val="PG2_(94)"/>
      <sheetName val="PG2_(93)"/>
      <sheetName val="Sales Seasonality by Month"/>
      <sheetName val="DATABANK"/>
      <sheetName val="Administration"/>
      <sheetName val="ALL_TABLES1"/>
      <sheetName val="PG2_(97)1"/>
      <sheetName val="PG2_(96)1"/>
      <sheetName val="PG2_(95)1"/>
      <sheetName val="PG2_(94)1"/>
      <sheetName val="PG2_(93)1"/>
      <sheetName val="JAN_(2)"/>
      <sheetName val="P&amp;L_"/>
      <sheetName val="Mapping_Fields_to_AGG_node"/>
      <sheetName val="Sales_Seasonality_by_Month"/>
      <sheetName val="_CHART@APR'00"/>
      <sheetName val="MAR_2000-DRAFT_(2)"/>
      <sheetName val="FEB_2000_FINAL"/>
      <sheetName val="MAR_2000-DRAFT"/>
      <sheetName val="Sheet1_(2)"/>
      <sheetName val="MAR_2000_DRAFT_2"/>
      <sheetName val="APRIL_DRAFT"/>
      <sheetName val="APRIL_FINAL"/>
      <sheetName val="MAY_DRAFT"/>
      <sheetName val="MAY_FINAL"/>
      <sheetName val="_CHART@MAY'00_"/>
      <sheetName val="JUNE_DRAFT"/>
      <sheetName val="JUNE_FINAL"/>
      <sheetName val="ALL_TABLES2"/>
      <sheetName val="PG2_(97)2"/>
      <sheetName val="PG2_(96)2"/>
      <sheetName val="PG2_(95)2"/>
      <sheetName val="PG2_(94)2"/>
      <sheetName val="PG2_(93)2"/>
      <sheetName val="JAN_(2)1"/>
      <sheetName val="P&amp;L_1"/>
      <sheetName val="Mapping_Fields_to_AGG_node1"/>
      <sheetName val="Sales_Seasonality_by_Month1"/>
      <sheetName val="_CHART@APR'001"/>
      <sheetName val="MAR_2000-DRAFT_(2)1"/>
      <sheetName val="FEB_2000_FINAL1"/>
      <sheetName val="MAR_2000-DRAFT1"/>
      <sheetName val="Sheet1_(2)1"/>
      <sheetName val="MAR_2000_DRAFT_21"/>
      <sheetName val="APRIL_DRAFT1"/>
      <sheetName val="APRIL_FINAL1"/>
      <sheetName val="MAY_DRAFT1"/>
      <sheetName val="MAY_FINAL1"/>
      <sheetName val="_CHART@MAY'00_1"/>
      <sheetName val="JUNE_DRAFT1"/>
      <sheetName val="JUNE_FINAL1"/>
      <sheetName val="Information"/>
      <sheetName val="ALL_TABLES3"/>
      <sheetName val="PG2_(97)3"/>
      <sheetName val="PG2_(96)3"/>
      <sheetName val="PG2_(95)3"/>
      <sheetName val="PG2_(94)3"/>
      <sheetName val="PG2_(93)3"/>
      <sheetName val="JAN_(2)2"/>
      <sheetName val="P&amp;L_2"/>
      <sheetName val="Mapping_Fields_to_AGG_node2"/>
      <sheetName val="_CHART@APR'002"/>
      <sheetName val="MAR_2000-DRAFT_(2)2"/>
      <sheetName val="FEB_2000_FINAL2"/>
      <sheetName val="MAR_2000-DRAFT2"/>
      <sheetName val="Sheet1_(2)2"/>
      <sheetName val="MAR_2000_DRAFT_22"/>
      <sheetName val="APRIL_DRAFT2"/>
      <sheetName val="APRIL_FINAL2"/>
      <sheetName val="MAY_DRAFT2"/>
      <sheetName val="MAY_FINAL2"/>
      <sheetName val="_CHART@MAY'00_2"/>
      <sheetName val="JUNE_DRAFT2"/>
      <sheetName val="JUNE_FINAL2"/>
      <sheetName val="Sales_Seasonality_by_Month2"/>
      <sheetName val="ALL_TABLES4"/>
      <sheetName val="PG2_(97)4"/>
      <sheetName val="PG2_(96)4"/>
      <sheetName val="PG2_(95)4"/>
      <sheetName val="PG2_(94)4"/>
      <sheetName val="PG2_(93)4"/>
      <sheetName val="JAN_(2)3"/>
      <sheetName val="P&amp;L_3"/>
      <sheetName val="Mapping_Fields_to_AGG_node3"/>
      <sheetName val="_CHART@APR'003"/>
      <sheetName val="MAR_2000-DRAFT_(2)3"/>
      <sheetName val="FEB_2000_FINAL3"/>
      <sheetName val="MAR_2000-DRAFT3"/>
      <sheetName val="Sheet1_(2)3"/>
      <sheetName val="MAR_2000_DRAFT_23"/>
      <sheetName val="APRIL_DRAFT3"/>
      <sheetName val="APRIL_FINAL3"/>
      <sheetName val="MAY_DRAFT3"/>
      <sheetName val="MAY_FINAL3"/>
      <sheetName val="_CHART@MAY'00_3"/>
      <sheetName val="JUNE_DRAFT3"/>
      <sheetName val="JUNE_FINAL3"/>
      <sheetName val="Sales_Seasonality_by_Month3"/>
      <sheetName val="ALL_TABLES5"/>
      <sheetName val="PG2_(97)5"/>
      <sheetName val="PG2_(96)5"/>
      <sheetName val="PG2_(95)5"/>
      <sheetName val="PG2_(94)5"/>
      <sheetName val="PG2_(93)5"/>
      <sheetName val="JAN_(2)4"/>
      <sheetName val="P&amp;L_4"/>
      <sheetName val="Mapping_Fields_to_AGG_node4"/>
      <sheetName val="_CHART@APR'004"/>
      <sheetName val="MAR_2000-DRAFT_(2)4"/>
      <sheetName val="FEB_2000_FINAL4"/>
      <sheetName val="MAR_2000-DRAFT4"/>
      <sheetName val="Sheet1_(2)4"/>
      <sheetName val="MAR_2000_DRAFT_24"/>
      <sheetName val="APRIL_DRAFT4"/>
      <sheetName val="APRIL_FINAL4"/>
      <sheetName val="MAY_DRAFT4"/>
      <sheetName val="MAY_FINAL4"/>
      <sheetName val="_CHART@MAY'00_4"/>
      <sheetName val="JUNE_DRAFT4"/>
      <sheetName val="JUNE_FINAL4"/>
      <sheetName val="Sales_Seasonality_by_Month4"/>
      <sheetName val="ALL_TABLES6"/>
      <sheetName val="PG2_(97)6"/>
      <sheetName val="PG2_(96)6"/>
      <sheetName val="PG2_(95)6"/>
      <sheetName val="PG2_(94)6"/>
      <sheetName val="PG2_(93)6"/>
      <sheetName val="JAN_(2)5"/>
      <sheetName val="P&amp;L_5"/>
      <sheetName val="Mapping_Fields_to_AGG_node5"/>
      <sheetName val="_CHART@APR'005"/>
      <sheetName val="MAR_2000-DRAFT_(2)5"/>
      <sheetName val="FEB_2000_FINAL5"/>
      <sheetName val="MAR_2000-DRAFT5"/>
      <sheetName val="Sheet1_(2)5"/>
      <sheetName val="MAR_2000_DRAFT_25"/>
      <sheetName val="APRIL_DRAFT5"/>
      <sheetName val="APRIL_FINAL5"/>
      <sheetName val="MAY_DRAFT5"/>
      <sheetName val="MAY_FINAL5"/>
      <sheetName val="_CHART@MAY'00_5"/>
      <sheetName val="JUNE_DRAFT5"/>
      <sheetName val="JUNE_FINAL5"/>
      <sheetName val="Sales_Seasonality_by_Month5"/>
      <sheetName val="ALL_TABLES7"/>
      <sheetName val="PG2_(97)7"/>
      <sheetName val="PG2_(96)7"/>
      <sheetName val="PG2_(95)7"/>
      <sheetName val="PG2_(94)7"/>
      <sheetName val="PG2_(93)7"/>
      <sheetName val="JAN_(2)6"/>
      <sheetName val="P&amp;L_6"/>
      <sheetName val="Mapping_Fields_to_AGG_node6"/>
      <sheetName val="_CHART@APR'006"/>
      <sheetName val="MAR_2000-DRAFT_(2)6"/>
      <sheetName val="FEB_2000_FINAL6"/>
      <sheetName val="MAR_2000-DRAFT6"/>
      <sheetName val="Sheet1_(2)6"/>
      <sheetName val="MAR_2000_DRAFT_26"/>
      <sheetName val="APRIL_DRAFT6"/>
      <sheetName val="APRIL_FINAL6"/>
      <sheetName val="MAY_DRAFT6"/>
      <sheetName val="MAY_FINAL6"/>
      <sheetName val="_CHART@MAY'00_6"/>
      <sheetName val="JUNE_DRAFT6"/>
      <sheetName val="JUNE_FINAL6"/>
      <sheetName val="Sales_Seasonality_by_Month6"/>
      <sheetName val="ALL_TABLES10"/>
      <sheetName val="PG2_(97)10"/>
      <sheetName val="PG2_(96)10"/>
      <sheetName val="PG2_(95)10"/>
      <sheetName val="PG2_(94)10"/>
      <sheetName val="PG2_(93)10"/>
      <sheetName val="JAN_(2)9"/>
      <sheetName val="P&amp;L_9"/>
      <sheetName val="Mapping_Fields_to_AGG_node9"/>
      <sheetName val="_CHART@APR'009"/>
      <sheetName val="MAR_2000-DRAFT_(2)9"/>
      <sheetName val="FEB_2000_FINAL9"/>
      <sheetName val="MAR_2000-DRAFT9"/>
      <sheetName val="Sheet1_(2)9"/>
      <sheetName val="MAR_2000_DRAFT_29"/>
      <sheetName val="APRIL_DRAFT9"/>
      <sheetName val="APRIL_FINAL9"/>
      <sheetName val="MAY_DRAFT9"/>
      <sheetName val="MAY_FINAL9"/>
      <sheetName val="_CHART@MAY'00_9"/>
      <sheetName val="JUNE_DRAFT9"/>
      <sheetName val="JUNE_FINAL9"/>
      <sheetName val="Sales_Seasonality_by_Month9"/>
      <sheetName val="ALL_TABLES9"/>
      <sheetName val="PG2_(97)9"/>
      <sheetName val="PG2_(96)9"/>
      <sheetName val="PG2_(95)9"/>
      <sheetName val="PG2_(94)9"/>
      <sheetName val="PG2_(93)9"/>
      <sheetName val="JAN_(2)8"/>
      <sheetName val="P&amp;L_8"/>
      <sheetName val="Mapping_Fields_to_AGG_node8"/>
      <sheetName val="_CHART@APR'008"/>
      <sheetName val="MAR_2000-DRAFT_(2)8"/>
      <sheetName val="FEB_2000_FINAL8"/>
      <sheetName val="MAR_2000-DRAFT8"/>
      <sheetName val="Sheet1_(2)8"/>
      <sheetName val="MAR_2000_DRAFT_28"/>
      <sheetName val="APRIL_DRAFT8"/>
      <sheetName val="APRIL_FINAL8"/>
      <sheetName val="MAY_DRAFT8"/>
      <sheetName val="MAY_FINAL8"/>
      <sheetName val="_CHART@MAY'00_8"/>
      <sheetName val="JUNE_DRAFT8"/>
      <sheetName val="JUNE_FINAL8"/>
      <sheetName val="Sales_Seasonality_by_Month8"/>
      <sheetName val="ALL_TABLES8"/>
      <sheetName val="PG2_(97)8"/>
      <sheetName val="PG2_(96)8"/>
      <sheetName val="PG2_(95)8"/>
      <sheetName val="PG2_(94)8"/>
      <sheetName val="PG2_(93)8"/>
      <sheetName val="JAN_(2)7"/>
      <sheetName val="P&amp;L_7"/>
      <sheetName val="Mapping_Fields_to_AGG_node7"/>
      <sheetName val="_CHART@APR'007"/>
      <sheetName val="MAR_2000-DRAFT_(2)7"/>
      <sheetName val="FEB_2000_FINAL7"/>
      <sheetName val="MAR_2000-DRAFT7"/>
      <sheetName val="Sheet1_(2)7"/>
      <sheetName val="MAR_2000_DRAFT_27"/>
      <sheetName val="APRIL_DRAFT7"/>
      <sheetName val="APRIL_FINAL7"/>
      <sheetName val="MAY_DRAFT7"/>
      <sheetName val="MAY_FINAL7"/>
      <sheetName val="_CHART@MAY'00_7"/>
      <sheetName val="JUNE_DRAFT7"/>
      <sheetName val="JUNE_FINAL7"/>
      <sheetName val="Sales_Seasonality_by_Month7"/>
      <sheetName val="ALL_TABLES11"/>
      <sheetName val="PG2_(97)11"/>
      <sheetName val="PG2_(96)11"/>
      <sheetName val="PG2_(95)11"/>
      <sheetName val="PG2_(94)11"/>
      <sheetName val="PG2_(93)11"/>
      <sheetName val="JAN_(2)10"/>
      <sheetName val="P&amp;L_10"/>
      <sheetName val="Mapping_Fields_to_AGG_node10"/>
      <sheetName val="_CHART@APR'0010"/>
      <sheetName val="MAR_2000-DRAFT_(2)10"/>
      <sheetName val="FEB_2000_FINAL10"/>
      <sheetName val="MAR_2000-DRAFT10"/>
      <sheetName val="Sheet1_(2)10"/>
      <sheetName val="MAR_2000_DRAFT_210"/>
      <sheetName val="APRIL_DRAFT10"/>
      <sheetName val="APRIL_FINAL10"/>
      <sheetName val="MAY_DRAFT10"/>
      <sheetName val="MAY_FINAL10"/>
      <sheetName val="_CHART@MAY'00_10"/>
      <sheetName val="JUNE_DRAFT10"/>
      <sheetName val="JUNE_FINAL10"/>
      <sheetName val="Sales_Seasonality_by_Month10"/>
      <sheetName val="ALL_TABLES12"/>
      <sheetName val="PG2_(97)12"/>
      <sheetName val="PG2_(96)12"/>
      <sheetName val="PG2_(95)12"/>
      <sheetName val="PG2_(94)12"/>
      <sheetName val="PG2_(93)12"/>
      <sheetName val="JAN_(2)11"/>
      <sheetName val="P&amp;L_11"/>
      <sheetName val="Mapping_Fields_to_AGG_node11"/>
      <sheetName val="_CHART@APR'0011"/>
      <sheetName val="MAR_2000-DRAFT_(2)11"/>
      <sheetName val="FEB_2000_FINAL11"/>
      <sheetName val="MAR_2000-DRAFT11"/>
      <sheetName val="Sheet1_(2)11"/>
      <sheetName val="MAR_2000_DRAFT_211"/>
      <sheetName val="APRIL_DRAFT11"/>
      <sheetName val="APRIL_FINAL11"/>
      <sheetName val="MAY_DRAFT11"/>
      <sheetName val="MAY_FINAL11"/>
      <sheetName val="_CHART@MAY'00_11"/>
      <sheetName val="JUNE_DRAFT11"/>
      <sheetName val="JUNE_FINAL11"/>
      <sheetName val="Sales_Seasonality_by_Month11"/>
      <sheetName val="Macro1"/>
      <sheetName val="ALL_TABLES19"/>
      <sheetName val="PG2_(97)19"/>
      <sheetName val="PG2_(96)19"/>
      <sheetName val="PG2_(95)19"/>
      <sheetName val="PG2_(94)19"/>
      <sheetName val="PG2_(93)19"/>
      <sheetName val="JAN_(2)18"/>
      <sheetName val="P&amp;L_18"/>
      <sheetName val="Mapping_Fields_to_AGG_node18"/>
      <sheetName val="_CHART@APR'0018"/>
      <sheetName val="MAR_2000-DRAFT_(2)18"/>
      <sheetName val="FEB_2000_FINAL18"/>
      <sheetName val="MAR_2000-DRAFT18"/>
      <sheetName val="Sheet1_(2)18"/>
      <sheetName val="MAR_2000_DRAFT_218"/>
      <sheetName val="APRIL_DRAFT18"/>
      <sheetName val="APRIL_FINAL18"/>
      <sheetName val="MAY_DRAFT18"/>
      <sheetName val="MAY_FINAL18"/>
      <sheetName val="_CHART@MAY'00_18"/>
      <sheetName val="JUNE_DRAFT18"/>
      <sheetName val="JUNE_FINAL18"/>
      <sheetName val="Sales_Seasonality_by_Month18"/>
      <sheetName val="ALL_TABLES16"/>
      <sheetName val="PG2_(97)16"/>
      <sheetName val="PG2_(96)16"/>
      <sheetName val="PG2_(95)16"/>
      <sheetName val="PG2_(94)16"/>
      <sheetName val="PG2_(93)16"/>
      <sheetName val="JAN_(2)15"/>
      <sheetName val="P&amp;L_15"/>
      <sheetName val="Mapping_Fields_to_AGG_node15"/>
      <sheetName val="_CHART@APR'0015"/>
      <sheetName val="MAR_2000-DRAFT_(2)15"/>
      <sheetName val="FEB_2000_FINAL15"/>
      <sheetName val="MAR_2000-DRAFT15"/>
      <sheetName val="Sheet1_(2)15"/>
      <sheetName val="MAR_2000_DRAFT_215"/>
      <sheetName val="APRIL_DRAFT15"/>
      <sheetName val="APRIL_FINAL15"/>
      <sheetName val="MAY_DRAFT15"/>
      <sheetName val="MAY_FINAL15"/>
      <sheetName val="_CHART@MAY'00_15"/>
      <sheetName val="JUNE_DRAFT15"/>
      <sheetName val="JUNE_FINAL15"/>
      <sheetName val="Sales_Seasonality_by_Month15"/>
      <sheetName val="ALL_TABLES13"/>
      <sheetName val="PG2_(97)13"/>
      <sheetName val="PG2_(96)13"/>
      <sheetName val="PG2_(95)13"/>
      <sheetName val="PG2_(94)13"/>
      <sheetName val="PG2_(93)13"/>
      <sheetName val="JAN_(2)12"/>
      <sheetName val="P&amp;L_12"/>
      <sheetName val="Mapping_Fields_to_AGG_node12"/>
      <sheetName val="_CHART@APR'0012"/>
      <sheetName val="MAR_2000-DRAFT_(2)12"/>
      <sheetName val="FEB_2000_FINAL12"/>
      <sheetName val="MAR_2000-DRAFT12"/>
      <sheetName val="Sheet1_(2)12"/>
      <sheetName val="MAR_2000_DRAFT_212"/>
      <sheetName val="APRIL_DRAFT12"/>
      <sheetName val="APRIL_FINAL12"/>
      <sheetName val="MAY_DRAFT12"/>
      <sheetName val="MAY_FINAL12"/>
      <sheetName val="_CHART@MAY'00_12"/>
      <sheetName val="JUNE_DRAFT12"/>
      <sheetName val="JUNE_FINAL12"/>
      <sheetName val="Sales_Seasonality_by_Month12"/>
      <sheetName val="ALL_TABLES14"/>
      <sheetName val="PG2_(97)14"/>
      <sheetName val="PG2_(96)14"/>
      <sheetName val="PG2_(95)14"/>
      <sheetName val="PG2_(94)14"/>
      <sheetName val="PG2_(93)14"/>
      <sheetName val="JAN_(2)13"/>
      <sheetName val="P&amp;L_13"/>
      <sheetName val="Mapping_Fields_to_AGG_node13"/>
      <sheetName val="_CHART@APR'0013"/>
      <sheetName val="MAR_2000-DRAFT_(2)13"/>
      <sheetName val="FEB_2000_FINAL13"/>
      <sheetName val="MAR_2000-DRAFT13"/>
      <sheetName val="Sheet1_(2)13"/>
      <sheetName val="MAR_2000_DRAFT_213"/>
      <sheetName val="APRIL_DRAFT13"/>
      <sheetName val="APRIL_FINAL13"/>
      <sheetName val="MAY_DRAFT13"/>
      <sheetName val="MAY_FINAL13"/>
      <sheetName val="_CHART@MAY'00_13"/>
      <sheetName val="JUNE_DRAFT13"/>
      <sheetName val="JUNE_FINAL13"/>
      <sheetName val="Sales_Seasonality_by_Month13"/>
      <sheetName val="ALL_TABLES15"/>
      <sheetName val="PG2_(97)15"/>
      <sheetName val="PG2_(96)15"/>
      <sheetName val="PG2_(95)15"/>
      <sheetName val="PG2_(94)15"/>
      <sheetName val="PG2_(93)15"/>
      <sheetName val="JAN_(2)14"/>
      <sheetName val="P&amp;L_14"/>
      <sheetName val="Mapping_Fields_to_AGG_node14"/>
      <sheetName val="_CHART@APR'0014"/>
      <sheetName val="MAR_2000-DRAFT_(2)14"/>
      <sheetName val="FEB_2000_FINAL14"/>
      <sheetName val="MAR_2000-DRAFT14"/>
      <sheetName val="Sheet1_(2)14"/>
      <sheetName val="MAR_2000_DRAFT_214"/>
      <sheetName val="APRIL_DRAFT14"/>
      <sheetName val="APRIL_FINAL14"/>
      <sheetName val="MAY_DRAFT14"/>
      <sheetName val="MAY_FINAL14"/>
      <sheetName val="_CHART@MAY'00_14"/>
      <sheetName val="JUNE_DRAFT14"/>
      <sheetName val="JUNE_FINAL14"/>
      <sheetName val="Sales_Seasonality_by_Month14"/>
      <sheetName val="ALL_TABLES17"/>
      <sheetName val="PG2_(97)17"/>
      <sheetName val="PG2_(96)17"/>
      <sheetName val="PG2_(95)17"/>
      <sheetName val="PG2_(94)17"/>
      <sheetName val="PG2_(93)17"/>
      <sheetName val="JAN_(2)16"/>
      <sheetName val="P&amp;L_16"/>
      <sheetName val="Mapping_Fields_to_AGG_node16"/>
      <sheetName val="_CHART@APR'0016"/>
      <sheetName val="MAR_2000-DRAFT_(2)16"/>
      <sheetName val="FEB_2000_FINAL16"/>
      <sheetName val="MAR_2000-DRAFT16"/>
      <sheetName val="Sheet1_(2)16"/>
      <sheetName val="MAR_2000_DRAFT_216"/>
      <sheetName val="APRIL_DRAFT16"/>
      <sheetName val="APRIL_FINAL16"/>
      <sheetName val="MAY_DRAFT16"/>
      <sheetName val="MAY_FINAL16"/>
      <sheetName val="_CHART@MAY'00_16"/>
      <sheetName val="JUNE_DRAFT16"/>
      <sheetName val="JUNE_FINAL16"/>
      <sheetName val="Sales_Seasonality_by_Month16"/>
      <sheetName val="ALL_TABLES18"/>
      <sheetName val="PG2_(97)18"/>
      <sheetName val="PG2_(96)18"/>
      <sheetName val="PG2_(95)18"/>
      <sheetName val="PG2_(94)18"/>
      <sheetName val="PG2_(93)18"/>
      <sheetName val="JAN_(2)17"/>
      <sheetName val="P&amp;L_17"/>
      <sheetName val="Mapping_Fields_to_AGG_node17"/>
      <sheetName val="_CHART@APR'0017"/>
      <sheetName val="MAR_2000-DRAFT_(2)17"/>
      <sheetName val="FEB_2000_FINAL17"/>
      <sheetName val="MAR_2000-DRAFT17"/>
      <sheetName val="Sheet1_(2)17"/>
      <sheetName val="MAR_2000_DRAFT_217"/>
      <sheetName val="APRIL_DRAFT17"/>
      <sheetName val="APRIL_FINAL17"/>
      <sheetName val="MAY_DRAFT17"/>
      <sheetName val="MAY_FINAL17"/>
      <sheetName val="_CHART@MAY'00_17"/>
      <sheetName val="JUNE_DRAFT17"/>
      <sheetName val="JUNE_FINAL17"/>
      <sheetName val="Sales_Seasonality_by_Month17"/>
      <sheetName val="ALL_TABLES20"/>
      <sheetName val="PG2_(97)20"/>
      <sheetName val="PG2_(96)20"/>
      <sheetName val="PG2_(95)20"/>
      <sheetName val="PG2_(94)20"/>
      <sheetName val="PG2_(93)20"/>
      <sheetName val="JAN_(2)19"/>
      <sheetName val="P&amp;L_19"/>
      <sheetName val="Mapping_Fields_to_AGG_node19"/>
      <sheetName val="_CHART@APR'0019"/>
      <sheetName val="MAR_2000-DRAFT_(2)19"/>
      <sheetName val="FEB_2000_FINAL19"/>
      <sheetName val="MAR_2000-DRAFT19"/>
      <sheetName val="Sheet1_(2)19"/>
      <sheetName val="MAR_2000_DRAFT_219"/>
      <sheetName val="APRIL_DRAFT19"/>
      <sheetName val="APRIL_FINAL19"/>
      <sheetName val="MAY_DRAFT19"/>
      <sheetName val="MAY_FINAL19"/>
      <sheetName val="_CHART@MAY'00_19"/>
      <sheetName val="JUNE_DRAFT19"/>
      <sheetName val="JUNE_FINAL19"/>
      <sheetName val="Sales_Seasonality_by_Month19"/>
      <sheetName val="ALL_TABLES22"/>
      <sheetName val="PG2_(97)22"/>
      <sheetName val="PG2_(96)22"/>
      <sheetName val="PG2_(95)22"/>
      <sheetName val="PG2_(94)22"/>
      <sheetName val="PG2_(93)22"/>
      <sheetName val="JAN_(2)21"/>
      <sheetName val="P&amp;L_21"/>
      <sheetName val="Mapping_Fields_to_AGG_node21"/>
      <sheetName val="_CHART@APR'0021"/>
      <sheetName val="MAR_2000-DRAFT_(2)21"/>
      <sheetName val="FEB_2000_FINAL21"/>
      <sheetName val="MAR_2000-DRAFT21"/>
      <sheetName val="Sheet1_(2)21"/>
      <sheetName val="MAR_2000_DRAFT_221"/>
      <sheetName val="APRIL_DRAFT21"/>
      <sheetName val="APRIL_FINAL21"/>
      <sheetName val="MAY_DRAFT21"/>
      <sheetName val="MAY_FINAL21"/>
      <sheetName val="_CHART@MAY'00_21"/>
      <sheetName val="JUNE_DRAFT21"/>
      <sheetName val="JUNE_FINAL21"/>
      <sheetName val="Sales_Seasonality_by_Month21"/>
      <sheetName val="ALL_TABLES21"/>
      <sheetName val="PG2_(97)21"/>
      <sheetName val="PG2_(96)21"/>
      <sheetName val="PG2_(95)21"/>
      <sheetName val="PG2_(94)21"/>
      <sheetName val="PG2_(93)21"/>
      <sheetName val="JAN_(2)20"/>
      <sheetName val="P&amp;L_20"/>
      <sheetName val="Mapping_Fields_to_AGG_node20"/>
      <sheetName val="_CHART@APR'0020"/>
      <sheetName val="MAR_2000-DRAFT_(2)20"/>
      <sheetName val="FEB_2000_FINAL20"/>
      <sheetName val="MAR_2000-DRAFT20"/>
      <sheetName val="Sheet1_(2)20"/>
      <sheetName val="MAR_2000_DRAFT_220"/>
      <sheetName val="APRIL_DRAFT20"/>
      <sheetName val="APRIL_FINAL20"/>
      <sheetName val="MAY_DRAFT20"/>
      <sheetName val="MAY_FINAL20"/>
      <sheetName val="_CHART@MAY'00_20"/>
      <sheetName val="JUNE_DRAFT20"/>
      <sheetName val="JUNE_FINAL20"/>
      <sheetName val="Sales_Seasonality_by_Month20"/>
      <sheetName val="ALL_TABLES23"/>
      <sheetName val="PG2_(97)23"/>
      <sheetName val="PG2_(96)23"/>
      <sheetName val="PG2_(95)23"/>
      <sheetName val="PG2_(94)23"/>
      <sheetName val="PG2_(93)23"/>
      <sheetName val="JAN_(2)22"/>
      <sheetName val="P&amp;L_22"/>
      <sheetName val="Mapping_Fields_to_AGG_node22"/>
      <sheetName val="_CHART@APR'0022"/>
      <sheetName val="MAR_2000-DRAFT_(2)22"/>
      <sheetName val="FEB_2000_FINAL22"/>
      <sheetName val="MAR_2000-DRAFT22"/>
      <sheetName val="Sheet1_(2)22"/>
      <sheetName val="MAR_2000_DRAFT_222"/>
      <sheetName val="APRIL_DRAFT22"/>
      <sheetName val="APRIL_FINAL22"/>
      <sheetName val="MAY_DRAFT22"/>
      <sheetName val="MAY_FINAL22"/>
      <sheetName val="_CHART@MAY'00_22"/>
      <sheetName val="JUNE_DRAFT22"/>
      <sheetName val="JUNE_FINAL22"/>
      <sheetName val="Sales_Seasonality_by_Month22"/>
      <sheetName val="ALL_TABLES24"/>
      <sheetName val="PG2_(97)24"/>
      <sheetName val="PG2_(96)24"/>
      <sheetName val="PG2_(95)24"/>
      <sheetName val="PG2_(94)24"/>
      <sheetName val="PG2_(93)24"/>
      <sheetName val="JAN_(2)23"/>
      <sheetName val="P&amp;L_23"/>
      <sheetName val="Mapping_Fields_to_AGG_node23"/>
      <sheetName val="_CHART@APR'0023"/>
      <sheetName val="MAR_2000-DRAFT_(2)23"/>
      <sheetName val="FEB_2000_FINAL23"/>
      <sheetName val="MAR_2000-DRAFT23"/>
      <sheetName val="Sheet1_(2)23"/>
      <sheetName val="MAR_2000_DRAFT_223"/>
      <sheetName val="APRIL_DRAFT23"/>
      <sheetName val="APRIL_FINAL23"/>
      <sheetName val="MAY_DRAFT23"/>
      <sheetName val="MAY_FINAL23"/>
      <sheetName val="_CHART@MAY'00_23"/>
      <sheetName val="JUNE_DRAFT23"/>
      <sheetName val="JUNE_FINAL23"/>
      <sheetName val="Sales_Seasonality_by_Month23"/>
      <sheetName val="ALL_TABLES25"/>
      <sheetName val="PG2_(97)25"/>
      <sheetName val="PG2_(96)25"/>
      <sheetName val="PG2_(95)25"/>
      <sheetName val="PG2_(94)25"/>
      <sheetName val="PG2_(93)25"/>
      <sheetName val="JAN_(2)24"/>
      <sheetName val="P&amp;L_24"/>
      <sheetName val="Mapping_Fields_to_AGG_node24"/>
      <sheetName val="_CHART@APR'0024"/>
      <sheetName val="MAR_2000-DRAFT_(2)24"/>
      <sheetName val="FEB_2000_FINAL24"/>
      <sheetName val="MAR_2000-DRAFT24"/>
      <sheetName val="Sheet1_(2)24"/>
      <sheetName val="MAR_2000_DRAFT_224"/>
      <sheetName val="APRIL_DRAFT24"/>
      <sheetName val="APRIL_FINAL24"/>
      <sheetName val="MAY_DRAFT24"/>
      <sheetName val="MAY_FINAL24"/>
      <sheetName val="_CHART@MAY'00_24"/>
      <sheetName val="JUNE_DRAFT24"/>
      <sheetName val="JUNE_FINAL24"/>
      <sheetName val="Sales_Seasonality_by_Month24"/>
      <sheetName val="ALL_TABLES26"/>
      <sheetName val="PG2_(97)26"/>
      <sheetName val="PG2_(96)26"/>
      <sheetName val="PG2_(95)26"/>
      <sheetName val="PG2_(94)26"/>
      <sheetName val="PG2_(93)26"/>
      <sheetName val="JAN_(2)25"/>
      <sheetName val="P&amp;L_25"/>
      <sheetName val="Mapping_Fields_to_AGG_node25"/>
      <sheetName val="_CHART@APR'0025"/>
      <sheetName val="MAR_2000-DRAFT_(2)25"/>
      <sheetName val="FEB_2000_FINAL25"/>
      <sheetName val="MAR_2000-DRAFT25"/>
      <sheetName val="Sheet1_(2)25"/>
      <sheetName val="MAR_2000_DRAFT_225"/>
      <sheetName val="APRIL_DRAFT25"/>
      <sheetName val="APRIL_FINAL25"/>
      <sheetName val="MAY_DRAFT25"/>
      <sheetName val="MAY_FINAL25"/>
      <sheetName val="_CHART@MAY'00_25"/>
      <sheetName val="JUNE_DRAFT25"/>
      <sheetName val="JUNE_FINAL25"/>
      <sheetName val="Sales_Seasonality_by_Month25"/>
      <sheetName val="ALL_TABLES27"/>
      <sheetName val="PG2_(97)27"/>
      <sheetName val="PG2_(96)27"/>
      <sheetName val="PG2_(95)27"/>
      <sheetName val="PG2_(94)27"/>
      <sheetName val="PG2_(93)27"/>
      <sheetName val="JAN_(2)26"/>
      <sheetName val="P&amp;L_26"/>
      <sheetName val="Mapping_Fields_to_AGG_node26"/>
      <sheetName val="_CHART@APR'0026"/>
      <sheetName val="MAR_2000-DRAFT_(2)26"/>
      <sheetName val="FEB_2000_FINAL26"/>
      <sheetName val="MAR_2000-DRAFT26"/>
      <sheetName val="Sheet1_(2)26"/>
      <sheetName val="MAR_2000_DRAFT_226"/>
      <sheetName val="APRIL_DRAFT26"/>
      <sheetName val="APRIL_FINAL26"/>
      <sheetName val="MAY_DRAFT26"/>
      <sheetName val="MAY_FINAL26"/>
      <sheetName val="_CHART@MAY'00_26"/>
      <sheetName val="JUNE_DRAFT26"/>
      <sheetName val="JUNE_FINAL26"/>
      <sheetName val="Sales_Seasonality_by_Month26"/>
      <sheetName val="ALL_TABLES29"/>
      <sheetName val="PG2_(97)29"/>
      <sheetName val="PG2_(96)29"/>
      <sheetName val="PG2_(95)29"/>
      <sheetName val="PG2_(94)29"/>
      <sheetName val="PG2_(93)29"/>
      <sheetName val="JAN_(2)28"/>
      <sheetName val="P&amp;L_28"/>
      <sheetName val="Mapping_Fields_to_AGG_node28"/>
      <sheetName val="_CHART@APR'0028"/>
      <sheetName val="MAR_2000-DRAFT_(2)28"/>
      <sheetName val="FEB_2000_FINAL28"/>
      <sheetName val="MAR_2000-DRAFT28"/>
      <sheetName val="Sheet1_(2)28"/>
      <sheetName val="MAR_2000_DRAFT_228"/>
      <sheetName val="APRIL_DRAFT28"/>
      <sheetName val="APRIL_FINAL28"/>
      <sheetName val="MAY_DRAFT28"/>
      <sheetName val="MAY_FINAL28"/>
      <sheetName val="_CHART@MAY'00_28"/>
      <sheetName val="JUNE_DRAFT28"/>
      <sheetName val="JUNE_FINAL28"/>
      <sheetName val="Sales_Seasonality_by_Month28"/>
      <sheetName val="ALL_TABLES28"/>
      <sheetName val="PG2_(97)28"/>
      <sheetName val="PG2_(96)28"/>
      <sheetName val="PG2_(95)28"/>
      <sheetName val="PG2_(94)28"/>
      <sheetName val="PG2_(93)28"/>
      <sheetName val="JAN_(2)27"/>
      <sheetName val="P&amp;L_27"/>
      <sheetName val="Mapping_Fields_to_AGG_node27"/>
      <sheetName val="_CHART@APR'0027"/>
      <sheetName val="MAR_2000-DRAFT_(2)27"/>
      <sheetName val="FEB_2000_FINAL27"/>
      <sheetName val="MAR_2000-DRAFT27"/>
      <sheetName val="Sheet1_(2)27"/>
      <sheetName val="MAR_2000_DRAFT_227"/>
      <sheetName val="APRIL_DRAFT27"/>
      <sheetName val="APRIL_FINAL27"/>
      <sheetName val="MAY_DRAFT27"/>
      <sheetName val="MAY_FINAL27"/>
      <sheetName val="_CHART@MAY'00_27"/>
      <sheetName val="JUNE_DRAFT27"/>
      <sheetName val="JUNE_FINAL27"/>
      <sheetName val="Sales_Seasonality_by_Month27"/>
      <sheetName val="ALL_TABLES30"/>
      <sheetName val="PG2_(97)30"/>
      <sheetName val="PG2_(96)30"/>
      <sheetName val="PG2_(95)30"/>
      <sheetName val="PG2_(94)30"/>
      <sheetName val="PG2_(93)30"/>
      <sheetName val="JAN_(2)29"/>
      <sheetName val="P&amp;L_29"/>
      <sheetName val="Mapping_Fields_to_AGG_node29"/>
      <sheetName val="_CHART@APR'0029"/>
      <sheetName val="MAR_2000-DRAFT_(2)29"/>
      <sheetName val="FEB_2000_FINAL29"/>
      <sheetName val="MAR_2000-DRAFT29"/>
      <sheetName val="Sheet1_(2)29"/>
      <sheetName val="MAR_2000_DRAFT_229"/>
      <sheetName val="APRIL_DRAFT29"/>
      <sheetName val="APRIL_FINAL29"/>
      <sheetName val="MAY_DRAFT29"/>
      <sheetName val="MAY_FINAL29"/>
      <sheetName val="_CHART@MAY'00_29"/>
      <sheetName val="JUNE_DRAFT29"/>
      <sheetName val="JUNE_FINAL29"/>
      <sheetName val="Sales_Seasonality_by_Month29"/>
      <sheetName val="ALL_TABLES31"/>
      <sheetName val="PG2_(97)31"/>
      <sheetName val="PG2_(96)31"/>
      <sheetName val="PG2_(95)31"/>
      <sheetName val="PG2_(94)31"/>
      <sheetName val="PG2_(93)31"/>
      <sheetName val="JAN_(2)30"/>
      <sheetName val="P&amp;L_30"/>
      <sheetName val="Mapping_Fields_to_AGG_node30"/>
      <sheetName val="_CHART@APR'0030"/>
      <sheetName val="MAR_2000-DRAFT_(2)30"/>
      <sheetName val="FEB_2000_FINAL30"/>
      <sheetName val="MAR_2000-DRAFT30"/>
      <sheetName val="Sheet1_(2)30"/>
      <sheetName val="MAR_2000_DRAFT_230"/>
      <sheetName val="APRIL_DRAFT30"/>
      <sheetName val="APRIL_FINAL30"/>
      <sheetName val="MAY_DRAFT30"/>
      <sheetName val="MAY_FINAL30"/>
      <sheetName val="_CHART@MAY'00_30"/>
      <sheetName val="JUNE_DRAFT30"/>
      <sheetName val="JUNE_FINAL30"/>
      <sheetName val="Sales_Seasonality_by_Month30"/>
      <sheetName val="ALL_TABLES32"/>
      <sheetName val="PG2_(97)32"/>
      <sheetName val="PG2_(96)32"/>
      <sheetName val="PG2_(95)32"/>
      <sheetName val="PG2_(94)32"/>
      <sheetName val="PG2_(93)32"/>
      <sheetName val="JAN_(2)31"/>
      <sheetName val="P&amp;L_31"/>
      <sheetName val="Mapping_Fields_to_AGG_node31"/>
      <sheetName val="_CHART@APR'0031"/>
      <sheetName val="MAR_2000-DRAFT_(2)31"/>
      <sheetName val="FEB_2000_FINAL31"/>
      <sheetName val="MAR_2000-DRAFT31"/>
      <sheetName val="Sheet1_(2)31"/>
      <sheetName val="MAR_2000_DRAFT_231"/>
      <sheetName val="APRIL_DRAFT31"/>
      <sheetName val="APRIL_FINAL31"/>
      <sheetName val="MAY_DRAFT31"/>
      <sheetName val="MAY_FINAL31"/>
      <sheetName val="_CHART@MAY'00_31"/>
      <sheetName val="JUNE_DRAFT31"/>
      <sheetName val="JUNE_FINAL31"/>
      <sheetName val="Sales_Seasonality_by_Month31"/>
      <sheetName val="ALL_TABLES33"/>
      <sheetName val="PG2_(97)33"/>
      <sheetName val="PG2_(96)33"/>
      <sheetName val="PG2_(95)33"/>
      <sheetName val="PG2_(94)33"/>
      <sheetName val="PG2_(93)33"/>
      <sheetName val="JAN_(2)32"/>
      <sheetName val="P&amp;L_32"/>
      <sheetName val="Mapping_Fields_to_AGG_node32"/>
      <sheetName val="_CHART@APR'0032"/>
      <sheetName val="MAR_2000-DRAFT_(2)32"/>
      <sheetName val="FEB_2000_FINAL32"/>
      <sheetName val="MAR_2000-DRAFT32"/>
      <sheetName val="Sheet1_(2)32"/>
      <sheetName val="MAR_2000_DRAFT_232"/>
      <sheetName val="APRIL_DRAFT32"/>
      <sheetName val="APRIL_FINAL32"/>
      <sheetName val="MAY_DRAFT32"/>
      <sheetName val="MAY_FINAL32"/>
      <sheetName val="_CHART@MAY'00_32"/>
      <sheetName val="JUNE_DRAFT32"/>
      <sheetName val="JUNE_FINAL32"/>
      <sheetName val="Sales_Seasonality_by_Month32"/>
      <sheetName val="VERSION 1"/>
      <sheetName val="MBR3-340"/>
      <sheetName val="Manpower_1"/>
      <sheetName val="Bal Adj"/>
      <sheetName val="Summary"/>
      <sheetName val="LRP WORKINGS"/>
      <sheetName val="Reconciliation of Income Tax"/>
      <sheetName val="Basis period"/>
      <sheetName val="Adjusted profit(Loss)"/>
      <sheetName val="CIT Computation"/>
      <sheetName val="Deferred Tax"/>
      <sheetName val="Capital Allowance"/>
      <sheetName val="Bal_Adj"/>
      <sheetName val="LRP_WORKINGS"/>
      <sheetName val="Reconciliation_of_Income_Tax"/>
      <sheetName val="Basis_period"/>
      <sheetName val="Adjusted_profit(Loss)"/>
      <sheetName val="CIT_Computation"/>
      <sheetName val="Deferred_Tax"/>
      <sheetName val="Capital_Allowance"/>
      <sheetName val="2012 DollarFS"/>
      <sheetName val="Fixed asset register"/>
      <sheetName val="_Bankrank97 Peer Group 2"/>
      <sheetName val="Sheet3"/>
      <sheetName val="ALL_TABLES35"/>
      <sheetName val="PG2_(97)35"/>
      <sheetName val="PG2_(96)35"/>
      <sheetName val="PG2_(95)35"/>
      <sheetName val="PG2_(94)35"/>
      <sheetName val="PG2_(93)35"/>
      <sheetName val="JAN_(2)34"/>
      <sheetName val="P&amp;L_34"/>
      <sheetName val="Mapping_Fields_to_AGG_node34"/>
      <sheetName val="Sales_Seasonality_by_Month34"/>
      <sheetName val="_CHART@APR'0034"/>
      <sheetName val="MAR_2000-DRAFT_(2)34"/>
      <sheetName val="FEB_2000_FINAL34"/>
      <sheetName val="MAR_2000-DRAFT34"/>
      <sheetName val="Sheet1_(2)34"/>
      <sheetName val="MAR_2000_DRAFT_234"/>
      <sheetName val="APRIL_DRAFT34"/>
      <sheetName val="APRIL_FINAL34"/>
      <sheetName val="MAY_DRAFT34"/>
      <sheetName val="MAY_FINAL34"/>
      <sheetName val="_CHART@MAY'00_34"/>
      <sheetName val="JUNE_DRAFT34"/>
      <sheetName val="JUNE_FINAL34"/>
      <sheetName val="VERSION_11"/>
      <sheetName val="ALL_TABLES34"/>
      <sheetName val="PG2_(97)34"/>
      <sheetName val="PG2_(96)34"/>
      <sheetName val="PG2_(95)34"/>
      <sheetName val="PG2_(94)34"/>
      <sheetName val="PG2_(93)34"/>
      <sheetName val="JAN_(2)33"/>
      <sheetName val="P&amp;L_33"/>
      <sheetName val="Mapping_Fields_to_AGG_node33"/>
      <sheetName val="Sales_Seasonality_by_Month33"/>
      <sheetName val="_CHART@APR'0033"/>
      <sheetName val="MAR_2000-DRAFT_(2)33"/>
      <sheetName val="FEB_2000_FINAL33"/>
      <sheetName val="MAR_2000-DRAFT33"/>
      <sheetName val="Sheet1_(2)33"/>
      <sheetName val="MAR_2000_DRAFT_233"/>
      <sheetName val="APRIL_DRAFT33"/>
      <sheetName val="APRIL_FINAL33"/>
      <sheetName val="MAY_DRAFT33"/>
      <sheetName val="MAY_FINAL33"/>
      <sheetName val="_CHART@MAY'00_33"/>
      <sheetName val="JUNE_DRAFT33"/>
      <sheetName val="JUNE_FINAL33"/>
      <sheetName val="VERSION_1"/>
      <sheetName val="data"/>
      <sheetName val="Product Line"/>
      <sheetName val="FORMS"/>
      <sheetName val="Fixed_asset_register"/>
      <sheetName val="2012_DollarFS"/>
      <sheetName val="Bal_Adj1"/>
      <sheetName val="LRP_WORKINGS1"/>
      <sheetName val="Reconciliation_of_Income_Tax1"/>
      <sheetName val="Basis_period1"/>
      <sheetName val="Adjusted_profit(Loss)1"/>
      <sheetName val="CIT_Computation1"/>
      <sheetName val="Deferred_Tax1"/>
      <sheetName val="Capital_Allowance1"/>
      <sheetName val="_Bankrank97_Peer_Group_2"/>
      <sheetName val="Product_Line"/>
      <sheetName val="Sheet15"/>
      <sheetName val="ALL_TABLES36"/>
      <sheetName val="PG2_(97)36"/>
      <sheetName val="PG2_(96)36"/>
      <sheetName val="PG2_(95)36"/>
      <sheetName val="PG2_(94)36"/>
      <sheetName val="PG2_(93)36"/>
      <sheetName val="JAN_(2)35"/>
      <sheetName val="P&amp;L_35"/>
      <sheetName val="Mapping_Fields_to_AGG_node35"/>
      <sheetName val="Sales_Seasonality_by_Month35"/>
      <sheetName val="_CHART@APR'0035"/>
      <sheetName val="MAR_2000-DRAFT_(2)35"/>
      <sheetName val="FEB_2000_FINAL35"/>
      <sheetName val="MAR_2000-DRAFT35"/>
      <sheetName val="Sheet1_(2)35"/>
      <sheetName val="MAR_2000_DRAFT_235"/>
      <sheetName val="APRIL_DRAFT35"/>
      <sheetName val="APRIL_FINAL35"/>
      <sheetName val="MAY_DRAFT35"/>
      <sheetName val="MAY_FINAL35"/>
      <sheetName val="_CHART@MAY'00_35"/>
      <sheetName val="JUNE_DRAFT35"/>
      <sheetName val="JUNE_FINAL35"/>
      <sheetName val="Fixed_asset_register1"/>
      <sheetName val="VERSION_12"/>
      <sheetName val="Bal_Adj2"/>
      <sheetName val="LRP_WORKINGS2"/>
      <sheetName val="Reconciliation_of_Income_Tax2"/>
      <sheetName val="Basis_period2"/>
      <sheetName val="Adjusted_profit(Loss)2"/>
      <sheetName val="CIT_Computation2"/>
      <sheetName val="Deferred_Tax2"/>
      <sheetName val="Capital_Allowance2"/>
      <sheetName val="Fixed_asset_register2"/>
      <sheetName val="Bal_Adj3"/>
      <sheetName val="LRP_WORKINGS3"/>
      <sheetName val="Reconciliation_of_Income_Tax3"/>
      <sheetName val="Basis_period3"/>
      <sheetName val="Adjusted_profit(Loss)3"/>
      <sheetName val="CIT_Computation3"/>
      <sheetName val="Deferred_Tax3"/>
      <sheetName val="Capital_Allowance3"/>
      <sheetName val="jan.01"/>
      <sheetName val="2012_DollarFS2"/>
      <sheetName val="_Bankrank97_Peer_Group_22"/>
      <sheetName val="2012_DollarFS1"/>
      <sheetName val="_Bankrank97_Peer_Group_21"/>
      <sheetName val="ALL_TABLES37"/>
      <sheetName val="PG2_(97)37"/>
      <sheetName val="PG2_(96)37"/>
      <sheetName val="PG2_(95)37"/>
      <sheetName val="PG2_(94)37"/>
      <sheetName val="PG2_(93)37"/>
      <sheetName val="JAN_(2)36"/>
      <sheetName val="P&amp;L_36"/>
      <sheetName val="Mapping_Fields_to_AGG_node36"/>
      <sheetName val="Sales_Seasonality_by_Month36"/>
      <sheetName val="_CHART@APR'0036"/>
      <sheetName val="MAR_2000-DRAFT_(2)36"/>
      <sheetName val="FEB_2000_FINAL36"/>
      <sheetName val="MAR_2000-DRAFT36"/>
      <sheetName val="Sheet1_(2)36"/>
      <sheetName val="MAR_2000_DRAFT_236"/>
      <sheetName val="APRIL_DRAFT36"/>
      <sheetName val="APRIL_FINAL36"/>
      <sheetName val="MAY_DRAFT36"/>
      <sheetName val="MAY_FINAL36"/>
      <sheetName val="_CHART@MAY'00_36"/>
      <sheetName val="JUNE_DRAFT36"/>
      <sheetName val="JUNE_FINAL36"/>
      <sheetName val="VERSION_13"/>
      <sheetName val="2012_DollarFS3"/>
      <sheetName val="_Bankrank97_Peer_Group_23"/>
      <sheetName val="Bal_Adj4"/>
      <sheetName val="LRP_WORKINGS4"/>
      <sheetName val="Reconciliation_of_Income_Tax4"/>
      <sheetName val="Basis_period4"/>
      <sheetName val="Adjusted_profit(Loss)4"/>
      <sheetName val="CIT_Computation4"/>
      <sheetName val="Deferred_Tax4"/>
      <sheetName val="Capital_Allowance4"/>
      <sheetName val="ALL_TABLES38"/>
      <sheetName val="PG2_(97)38"/>
      <sheetName val="PG2_(96)38"/>
      <sheetName val="PG2_(95)38"/>
      <sheetName val="PG2_(94)38"/>
      <sheetName val="PG2_(93)38"/>
      <sheetName val="JAN_(2)37"/>
      <sheetName val="P&amp;L_37"/>
      <sheetName val="Mapping_Fields_to_AGG_node37"/>
      <sheetName val="Sales_Seasonality_by_Month37"/>
      <sheetName val="_CHART@APR'0037"/>
      <sheetName val="MAR_2000-DRAFT_(2)37"/>
      <sheetName val="FEB_2000_FINAL37"/>
      <sheetName val="MAR_2000-DRAFT37"/>
      <sheetName val="Sheet1_(2)37"/>
      <sheetName val="MAR_2000_DRAFT_237"/>
      <sheetName val="APRIL_DRAFT37"/>
      <sheetName val="APRIL_FINAL37"/>
      <sheetName val="MAY_DRAFT37"/>
      <sheetName val="MAY_FINAL37"/>
      <sheetName val="_CHART@MAY'00_37"/>
      <sheetName val="JUNE_DRAFT37"/>
      <sheetName val="JUNE_FINAL37"/>
      <sheetName val="VERSION_14"/>
      <sheetName val="2012_DollarFS4"/>
      <sheetName val="_Bankrank97_Peer_Group_24"/>
      <sheetName val="Bal_Adj5"/>
      <sheetName val="LRP_WORKINGS5"/>
      <sheetName val="Reconciliation_of_Income_Tax5"/>
      <sheetName val="Basis_period5"/>
      <sheetName val="Adjusted_profit(Loss)5"/>
      <sheetName val="CIT_Computation5"/>
      <sheetName val="Deferred_Tax5"/>
      <sheetName val="Capital_Allowance5"/>
      <sheetName val="ALL_TABLES39"/>
      <sheetName val="PG2_(97)39"/>
      <sheetName val="PG2_(96)39"/>
      <sheetName val="PG2_(95)39"/>
      <sheetName val="PG2_(94)39"/>
      <sheetName val="PG2_(93)39"/>
      <sheetName val="JAN_(2)38"/>
      <sheetName val="P&amp;L_38"/>
      <sheetName val="Mapping_Fields_to_AGG_node38"/>
      <sheetName val="Sales_Seasonality_by_Month38"/>
      <sheetName val="_CHART@APR'0038"/>
      <sheetName val="MAR_2000-DRAFT_(2)38"/>
      <sheetName val="FEB_2000_FINAL38"/>
      <sheetName val="MAR_2000-DRAFT38"/>
      <sheetName val="Sheet1_(2)38"/>
      <sheetName val="MAR_2000_DRAFT_238"/>
      <sheetName val="APRIL_DRAFT38"/>
      <sheetName val="APRIL_FINAL38"/>
      <sheetName val="MAY_DRAFT38"/>
      <sheetName val="MAY_FINAL38"/>
      <sheetName val="_CHART@MAY'00_38"/>
      <sheetName val="JUNE_DRAFT38"/>
      <sheetName val="JUNE_FINAL38"/>
      <sheetName val="VERSION_15"/>
      <sheetName val="2012_DollarFS5"/>
      <sheetName val="_Bankrank97_Peer_Group_25"/>
      <sheetName val="Bal_Adj6"/>
      <sheetName val="LRP_WORKINGS6"/>
      <sheetName val="Reconciliation_of_Income_Tax6"/>
      <sheetName val="Basis_period6"/>
      <sheetName val="Adjusted_profit(Loss)6"/>
      <sheetName val="CIT_Computation6"/>
      <sheetName val="Deferred_Tax6"/>
      <sheetName val="Capital_Allowance6"/>
      <sheetName val="Fixed_asset_register3"/>
      <sheetName val="ALL_TABLES40"/>
      <sheetName val="PG2_(97)40"/>
      <sheetName val="PG2_(96)40"/>
      <sheetName val="PG2_(95)40"/>
      <sheetName val="PG2_(94)40"/>
      <sheetName val="PG2_(93)40"/>
      <sheetName val="JAN_(2)39"/>
      <sheetName val="P&amp;L_39"/>
      <sheetName val="Mapping_Fields_to_AGG_node39"/>
      <sheetName val="Sales_Seasonality_by_Month39"/>
      <sheetName val="_CHART@APR'0039"/>
      <sheetName val="MAR_2000-DRAFT_(2)39"/>
      <sheetName val="FEB_2000_FINAL39"/>
      <sheetName val="MAR_2000-DRAFT39"/>
      <sheetName val="Sheet1_(2)39"/>
      <sheetName val="MAR_2000_DRAFT_239"/>
      <sheetName val="APRIL_DRAFT39"/>
      <sheetName val="APRIL_FINAL39"/>
      <sheetName val="MAY_DRAFT39"/>
      <sheetName val="MAY_FINAL39"/>
      <sheetName val="_CHART@MAY'00_39"/>
      <sheetName val="JUNE_DRAFT39"/>
      <sheetName val="JUNE_FINAL39"/>
      <sheetName val="VERSION_16"/>
      <sheetName val="2012_DollarFS6"/>
      <sheetName val="_Bankrank97_Peer_Group_26"/>
      <sheetName val="Bal_Adj7"/>
      <sheetName val="LRP_WORKINGS7"/>
      <sheetName val="Reconciliation_of_Income_Tax7"/>
      <sheetName val="Basis_period7"/>
      <sheetName val="Adjusted_profit(Loss)7"/>
      <sheetName val="CIT_Computation7"/>
      <sheetName val="Deferred_Tax7"/>
      <sheetName val="Capital_Allowance7"/>
      <sheetName val="Fixed_asset_register4"/>
      <sheetName val="ALL_TABLES41"/>
      <sheetName val="PG2_(97)41"/>
      <sheetName val="PG2_(96)41"/>
      <sheetName val="PG2_(95)41"/>
      <sheetName val="PG2_(94)41"/>
      <sheetName val="PG2_(93)41"/>
      <sheetName val="JAN_(2)40"/>
      <sheetName val="P&amp;L_40"/>
      <sheetName val="Mapping_Fields_to_AGG_node40"/>
      <sheetName val="_CHART@APR'0040"/>
      <sheetName val="MAR_2000-DRAFT_(2)40"/>
      <sheetName val="FEB_2000_FINAL40"/>
      <sheetName val="MAR_2000-DRAFT40"/>
      <sheetName val="Sheet1_(2)40"/>
      <sheetName val="MAR_2000_DRAFT_240"/>
      <sheetName val="APRIL_DRAFT40"/>
      <sheetName val="APRIL_FINAL40"/>
      <sheetName val="MAY_DRAFT40"/>
      <sheetName val="MAY_FINAL40"/>
      <sheetName val="_CHART@MAY'00_40"/>
      <sheetName val="JUNE_DRAFT40"/>
      <sheetName val="JUNE_FINAL40"/>
      <sheetName val="Sales_Seasonality_by_Month40"/>
      <sheetName val="VERSION_17"/>
      <sheetName val="2012_DollarFS7"/>
      <sheetName val="_Bankrank97_Peer_Group_27"/>
      <sheetName val="Bal_Adj8"/>
      <sheetName val="LRP_WORKINGS8"/>
      <sheetName val="Reconciliation_of_Income_Tax8"/>
      <sheetName val="Basis_period8"/>
      <sheetName val="Adjusted_profit(Loss)8"/>
      <sheetName val="CIT_Computation8"/>
      <sheetName val="Deferred_Tax8"/>
      <sheetName val="Capital_Allowance8"/>
      <sheetName val="Fixed_asset_register5"/>
      <sheetName val="ALL_TABLES42"/>
      <sheetName val="PG2_(97)42"/>
      <sheetName val="PG2_(96)42"/>
      <sheetName val="PG2_(95)42"/>
      <sheetName val="PG2_(94)42"/>
      <sheetName val="PG2_(93)42"/>
      <sheetName val="JAN_(2)41"/>
      <sheetName val="P&amp;L_41"/>
      <sheetName val="Mapping_Fields_to_AGG_node41"/>
      <sheetName val="Sales_Seasonality_by_Month41"/>
      <sheetName val="_CHART@APR'0041"/>
      <sheetName val="MAR_2000-DRAFT_(2)41"/>
      <sheetName val="FEB_2000_FINAL41"/>
      <sheetName val="MAR_2000-DRAFT41"/>
      <sheetName val="Sheet1_(2)41"/>
      <sheetName val="MAR_2000_DRAFT_241"/>
      <sheetName val="APRIL_DRAFT41"/>
      <sheetName val="APRIL_FINAL41"/>
      <sheetName val="MAY_DRAFT41"/>
      <sheetName val="MAY_FINAL41"/>
      <sheetName val="_CHART@MAY'00_41"/>
      <sheetName val="JUNE_DRAFT41"/>
      <sheetName val="JUNE_FINAL41"/>
      <sheetName val="VERSION_18"/>
      <sheetName val="2012_DollarFS8"/>
      <sheetName val="_Bankrank97_Peer_Group_28"/>
      <sheetName val="Bal_Adj9"/>
      <sheetName val="LRP_WORKINGS9"/>
      <sheetName val="Reconciliation_of_Income_Tax9"/>
      <sheetName val="Basis_period9"/>
      <sheetName val="Adjusted_profit(Loss)9"/>
      <sheetName val="CIT_Computation9"/>
      <sheetName val="Deferred_Tax9"/>
      <sheetName val="Capital_Allowance9"/>
      <sheetName val="ALL_TABLES43"/>
      <sheetName val="PG2_(97)43"/>
      <sheetName val="PG2_(96)43"/>
      <sheetName val="PG2_(95)43"/>
      <sheetName val="PG2_(94)43"/>
      <sheetName val="PG2_(93)43"/>
      <sheetName val="JAN_(2)42"/>
      <sheetName val="P&amp;L_42"/>
      <sheetName val="Mapping_Fields_to_AGG_node42"/>
      <sheetName val="Sales_Seasonality_by_Month42"/>
      <sheetName val="_CHART@APR'0042"/>
      <sheetName val="MAR_2000-DRAFT_(2)42"/>
      <sheetName val="FEB_2000_FINAL42"/>
      <sheetName val="MAR_2000-DRAFT42"/>
      <sheetName val="Sheet1_(2)42"/>
      <sheetName val="MAR_2000_DRAFT_242"/>
      <sheetName val="APRIL_DRAFT42"/>
      <sheetName val="APRIL_FINAL42"/>
      <sheetName val="MAY_DRAFT42"/>
      <sheetName val="MAY_FINAL42"/>
      <sheetName val="_CHART@MAY'00_42"/>
      <sheetName val="JUNE_DRAFT42"/>
      <sheetName val="JUNE_FINAL42"/>
      <sheetName val="VERSION_19"/>
      <sheetName val="2012_DollarFS9"/>
      <sheetName val="_Bankrank97_Peer_Group_29"/>
      <sheetName val="Bal_Adj10"/>
      <sheetName val="LRP_WORKINGS10"/>
      <sheetName val="Reconciliation_of_Income_Tax10"/>
      <sheetName val="Basis_period10"/>
      <sheetName val="Adjusted_profit(Loss)10"/>
      <sheetName val="CIT_Computation10"/>
      <sheetName val="Deferred_Tax10"/>
      <sheetName val="Capital_Allowance10"/>
      <sheetName val="Fixed_asset_register6"/>
      <sheetName val="SM2-MS2 leavers"/>
      <sheetName val="Two Step Revenue Testing Master"/>
      <sheetName val="Non-Statistical Sampling Master"/>
      <sheetName val="Global Data"/>
      <sheetName val="ALL_TABLES44"/>
      <sheetName val="PG2_(97)44"/>
      <sheetName val="PG2_(96)44"/>
      <sheetName val="PG2_(95)44"/>
      <sheetName val="PG2_(94)44"/>
      <sheetName val="PG2_(93)44"/>
      <sheetName val="JAN_(2)43"/>
      <sheetName val="P&amp;L_43"/>
      <sheetName val="Mapping_Fields_to_AGG_node43"/>
      <sheetName val="Sales_Seasonality_by_Month43"/>
      <sheetName val="_CHART@APR'0043"/>
      <sheetName val="MAR_2000-DRAFT_(2)43"/>
      <sheetName val="FEB_2000_FINAL43"/>
      <sheetName val="MAR_2000-DRAFT43"/>
      <sheetName val="Sheet1_(2)43"/>
      <sheetName val="MAR_2000_DRAFT_243"/>
      <sheetName val="APRIL_DRAFT43"/>
      <sheetName val="APRIL_FINAL43"/>
      <sheetName val="MAY_DRAFT43"/>
      <sheetName val="MAY_FINAL43"/>
      <sheetName val="_CHART@MAY'00_43"/>
      <sheetName val="JUNE_DRAFT43"/>
      <sheetName val="JUNE_FINAL43"/>
      <sheetName val="Bal_Adj11"/>
      <sheetName val="LRP_WORKINGS11"/>
      <sheetName val="Reconciliation_of_Income_Tax11"/>
      <sheetName val="Basis_period11"/>
      <sheetName val="Adjusted_profit(Loss)11"/>
      <sheetName val="CIT_Computation11"/>
      <sheetName val="Deferred_Tax11"/>
      <sheetName val="Capital_Allowance11"/>
      <sheetName val="ALL_TABLES45"/>
      <sheetName val="PG2_(97)45"/>
      <sheetName val="PG2_(96)45"/>
      <sheetName val="PG2_(95)45"/>
      <sheetName val="PG2_(94)45"/>
      <sheetName val="PG2_(93)45"/>
      <sheetName val="JAN_(2)44"/>
      <sheetName val="P&amp;L_44"/>
      <sheetName val="Mapping_Fields_to_AGG_node44"/>
      <sheetName val="_CHART@APR'0044"/>
      <sheetName val="MAR_2000-DRAFT_(2)44"/>
      <sheetName val="FEB_2000_FINAL44"/>
      <sheetName val="MAR_2000-DRAFT44"/>
      <sheetName val="Sheet1_(2)44"/>
      <sheetName val="MAR_2000_DRAFT_244"/>
      <sheetName val="APRIL_DRAFT44"/>
      <sheetName val="APRIL_FINAL44"/>
      <sheetName val="MAY_DRAFT44"/>
      <sheetName val="MAY_FINAL44"/>
      <sheetName val="_CHART@MAY'00_44"/>
      <sheetName val="JUNE_DRAFT44"/>
      <sheetName val="JUNE_FINAL44"/>
      <sheetName val="Sales_Seasonality_by_Month44"/>
      <sheetName val="Bal_Adj12"/>
      <sheetName val="LRP_WORKINGS12"/>
      <sheetName val="Reconciliation_of_Income_Tax12"/>
      <sheetName val="Basis_period12"/>
      <sheetName val="Adjusted_profit(Loss)12"/>
      <sheetName val="CIT_Computation12"/>
      <sheetName val="Deferred_Tax12"/>
      <sheetName val="Capital_Allowance12"/>
      <sheetName val="SEP-96"/>
      <sheetName val="ALL_TABLES46"/>
      <sheetName val="PG2_(97)46"/>
      <sheetName val="PG2_(96)46"/>
      <sheetName val="PG2_(95)46"/>
      <sheetName val="PG2_(94)46"/>
      <sheetName val="PG2_(93)46"/>
      <sheetName val="JAN_(2)45"/>
      <sheetName val="P&amp;L_45"/>
      <sheetName val="Mapping_Fields_to_AGG_node45"/>
      <sheetName val="Sales_Seasonality_by_Month45"/>
      <sheetName val="_CHART@APR'0045"/>
      <sheetName val="MAR_2000-DRAFT_(2)45"/>
      <sheetName val="FEB_2000_FINAL45"/>
      <sheetName val="MAR_2000-DRAFT45"/>
      <sheetName val="Sheet1_(2)45"/>
      <sheetName val="MAR_2000_DRAFT_245"/>
      <sheetName val="APRIL_DRAFT45"/>
      <sheetName val="APRIL_FINAL45"/>
      <sheetName val="MAY_DRAFT45"/>
      <sheetName val="MAY_FINAL45"/>
      <sheetName val="_CHART@MAY'00_45"/>
      <sheetName val="JUNE_DRAFT45"/>
      <sheetName val="JUNE_FINAL45"/>
      <sheetName val="Bal_Adj13"/>
      <sheetName val="LRP_WORKINGS13"/>
      <sheetName val="Reconciliation_of_Income_Tax13"/>
      <sheetName val="Basis_period13"/>
      <sheetName val="Adjusted_profit(Loss)13"/>
      <sheetName val="CIT_Computation13"/>
      <sheetName val="Deferred_Tax13"/>
      <sheetName val="Capital_Allowance13"/>
      <sheetName val="_Bankrank97_Peer_Group_210"/>
      <sheetName val="2012_DollarFS10"/>
      <sheetName val="Activities for the Prior Yr Q4"/>
      <sheetName val="13th Month"/>
      <sheetName val="Housing"/>
      <sheetName val="Menu"/>
      <sheetName val="Drop"/>
      <sheetName val="Selection Page"/>
      <sheetName val="do not Delete"/>
      <sheetName val="D"/>
      <sheetName val="Projects numbers"/>
      <sheetName val="Projects_numbers"/>
      <sheetName val="Projects_numbers1"/>
      <sheetName val="Projects_numbers2"/>
      <sheetName val="Projects_numbers3"/>
      <sheetName val="Projects_numbers5"/>
      <sheetName val="Projects_numbers4"/>
      <sheetName val="Projects_numbers6"/>
      <sheetName val="Projects_numbers7"/>
      <sheetName val="Projects_numbers8"/>
      <sheetName val="Projects_numbers10"/>
      <sheetName val="Projects_numbers9"/>
      <sheetName val="Projects_numbers11"/>
      <sheetName val="Projects_numbers12"/>
      <sheetName val="ALL_TABLES47"/>
      <sheetName val="PG2_(97)47"/>
      <sheetName val="PG2_(96)47"/>
      <sheetName val="PG2_(95)47"/>
      <sheetName val="PG2_(94)47"/>
      <sheetName val="PG2_(93)47"/>
      <sheetName val="JAN_(2)46"/>
      <sheetName val="P&amp;L_46"/>
      <sheetName val="Mapping_Fields_to_AGG_node46"/>
      <sheetName val="_CHART@APR'0046"/>
      <sheetName val="MAR_2000-DRAFT_(2)46"/>
      <sheetName val="FEB_2000_FINAL46"/>
      <sheetName val="MAR_2000-DRAFT46"/>
      <sheetName val="Sheet1_(2)46"/>
      <sheetName val="MAR_2000_DRAFT_246"/>
      <sheetName val="APRIL_DRAFT46"/>
      <sheetName val="APRIL_FINAL46"/>
      <sheetName val="MAY_DRAFT46"/>
      <sheetName val="MAY_FINAL46"/>
      <sheetName val="_CHART@MAY'00_46"/>
      <sheetName val="JUNE_DRAFT46"/>
      <sheetName val="JUNE_FINAL46"/>
      <sheetName val="Sales_Seasonality_by_Month46"/>
      <sheetName val="Projects_numbers13"/>
      <sheetName val="ALL_TABLES48"/>
      <sheetName val="PG2_(97)48"/>
      <sheetName val="PG2_(96)48"/>
      <sheetName val="PG2_(95)48"/>
      <sheetName val="PG2_(94)48"/>
      <sheetName val="PG2_(93)48"/>
      <sheetName val="JAN_(2)47"/>
      <sheetName val="P&amp;L_47"/>
      <sheetName val="Mapping_Fields_to_AGG_node47"/>
      <sheetName val="_CHART@APR'0047"/>
      <sheetName val="MAR_2000-DRAFT_(2)47"/>
      <sheetName val="FEB_2000_FINAL47"/>
      <sheetName val="MAR_2000-DRAFT47"/>
      <sheetName val="Sheet1_(2)47"/>
      <sheetName val="MAR_2000_DRAFT_247"/>
      <sheetName val="APRIL_DRAFT47"/>
      <sheetName val="APRIL_FINAL47"/>
      <sheetName val="MAY_DRAFT47"/>
      <sheetName val="MAY_FINAL47"/>
      <sheetName val="_CHART@MAY'00_47"/>
      <sheetName val="JUNE_DRAFT47"/>
      <sheetName val="JUNE_FINAL47"/>
      <sheetName val="Sales_Seasonality_by_Month47"/>
      <sheetName val="Projects_numbers14"/>
      <sheetName val="NSITF WORKSHEET"/>
      <sheetName val="bal_sheet"/>
      <sheetName val="PAYSLIPS"/>
      <sheetName val="AI  "/>
      <sheetName val="Cons workings"/>
      <sheetName val="Bal_Adj14"/>
      <sheetName val="LRP_WORKINGS14"/>
      <sheetName val="Reconciliation_of_Income_Tax14"/>
      <sheetName val="Basis_period14"/>
      <sheetName val="Adjusted_profit(Loss)14"/>
      <sheetName val="CIT_Computation14"/>
      <sheetName val="Deferred_Tax14"/>
      <sheetName val="Capital_Allowance14"/>
      <sheetName val="_Bankrank97_Peer_Group_211"/>
      <sheetName val="2012_DollarFS11"/>
      <sheetName val="Bal_Adj15"/>
      <sheetName val="LRP_WORKINGS15"/>
      <sheetName val="Reconciliation_of_Income_Tax15"/>
      <sheetName val="Basis_period15"/>
      <sheetName val="Adjusted_profit(Loss)15"/>
      <sheetName val="CIT_Computation15"/>
      <sheetName val="Deferred_Tax15"/>
      <sheetName val="Capital_Allowance15"/>
      <sheetName val="_Bankrank97_Peer_Group_212"/>
      <sheetName val="2012_DollarFS12"/>
      <sheetName val="MA"/>
      <sheetName val="AVERAGE RENTAL RAW"/>
      <sheetName val="FAS 143"/>
      <sheetName val="MenuForm"/>
      <sheetName val="ASSET REGISTER"/>
      <sheetName val="Società"/>
      <sheetName val="ALL_TABLES58"/>
      <sheetName val="PG2_(97)58"/>
      <sheetName val="PG2_(96)58"/>
      <sheetName val="PG2_(95)58"/>
      <sheetName val="PG2_(94)58"/>
      <sheetName val="PG2_(93)58"/>
      <sheetName val="JAN_(2)57"/>
      <sheetName val="P&amp;L_57"/>
      <sheetName val="Mapping_Fields_to_AGG_node57"/>
      <sheetName val="Sales_Seasonality_by_Month57"/>
      <sheetName val="_CHART@APR'0057"/>
      <sheetName val="MAR_2000-DRAFT_(2)57"/>
      <sheetName val="FEB_2000_FINAL57"/>
      <sheetName val="MAR_2000-DRAFT57"/>
      <sheetName val="Sheet1_(2)57"/>
      <sheetName val="MAR_2000_DRAFT_257"/>
      <sheetName val="APRIL_DRAFT57"/>
      <sheetName val="APRIL_FINAL57"/>
      <sheetName val="MAY_DRAFT57"/>
      <sheetName val="MAY_FINAL57"/>
      <sheetName val="_CHART@MAY'00_57"/>
      <sheetName val="JUNE_DRAFT57"/>
      <sheetName val="JUNE_FINAL57"/>
      <sheetName val="Bal_Adj25"/>
      <sheetName val="LRP_WORKINGS25"/>
      <sheetName val="Reconciliation_of_Income_Tax25"/>
      <sheetName val="Basis_period25"/>
      <sheetName val="Adjusted_profit(Loss)25"/>
      <sheetName val="CIT_Computation25"/>
      <sheetName val="Deferred_Tax25"/>
      <sheetName val="Capital_Allowance25"/>
      <sheetName val="_Bankrank97_Peer_Group_222"/>
      <sheetName val="2012_DollarFS22"/>
      <sheetName val="VERSION_110"/>
      <sheetName val="ALL_TABLES49"/>
      <sheetName val="PG2_(97)49"/>
      <sheetName val="PG2_(96)49"/>
      <sheetName val="PG2_(95)49"/>
      <sheetName val="PG2_(94)49"/>
      <sheetName val="PG2_(93)49"/>
      <sheetName val="JAN_(2)48"/>
      <sheetName val="P&amp;L_48"/>
      <sheetName val="Mapping_Fields_to_AGG_node48"/>
      <sheetName val="Sales_Seasonality_by_Month48"/>
      <sheetName val="_CHART@APR'0048"/>
      <sheetName val="MAR_2000-DRAFT_(2)48"/>
      <sheetName val="FEB_2000_FINAL48"/>
      <sheetName val="MAR_2000-DRAFT48"/>
      <sheetName val="Sheet1_(2)48"/>
      <sheetName val="MAR_2000_DRAFT_248"/>
      <sheetName val="APRIL_DRAFT48"/>
      <sheetName val="APRIL_FINAL48"/>
      <sheetName val="MAY_DRAFT48"/>
      <sheetName val="MAY_FINAL48"/>
      <sheetName val="_CHART@MAY'00_48"/>
      <sheetName val="JUNE_DRAFT48"/>
      <sheetName val="JUNE_FINAL48"/>
      <sheetName val="Bal_Adj16"/>
      <sheetName val="LRP_WORKINGS16"/>
      <sheetName val="Reconciliation_of_Income_Tax16"/>
      <sheetName val="Basis_period16"/>
      <sheetName val="Adjusted_profit(Loss)16"/>
      <sheetName val="CIT_Computation16"/>
      <sheetName val="Deferred_Tax16"/>
      <sheetName val="Capital_Allowance16"/>
      <sheetName val="_Bankrank97_Peer_Group_213"/>
      <sheetName val="2012_DollarFS13"/>
      <sheetName val="ALL_TABLES50"/>
      <sheetName val="PG2_(97)50"/>
      <sheetName val="PG2_(96)50"/>
      <sheetName val="PG2_(95)50"/>
      <sheetName val="PG2_(94)50"/>
      <sheetName val="PG2_(93)50"/>
      <sheetName val="JAN_(2)49"/>
      <sheetName val="P&amp;L_49"/>
      <sheetName val="Mapping_Fields_to_AGG_node49"/>
      <sheetName val="Sales_Seasonality_by_Month49"/>
      <sheetName val="_CHART@APR'0049"/>
      <sheetName val="MAR_2000-DRAFT_(2)49"/>
      <sheetName val="FEB_2000_FINAL49"/>
      <sheetName val="MAR_2000-DRAFT49"/>
      <sheetName val="Sheet1_(2)49"/>
      <sheetName val="MAR_2000_DRAFT_249"/>
      <sheetName val="APRIL_DRAFT49"/>
      <sheetName val="APRIL_FINAL49"/>
      <sheetName val="MAY_DRAFT49"/>
      <sheetName val="MAY_FINAL49"/>
      <sheetName val="_CHART@MAY'00_49"/>
      <sheetName val="JUNE_DRAFT49"/>
      <sheetName val="JUNE_FINAL49"/>
      <sheetName val="Bal_Adj17"/>
      <sheetName val="LRP_WORKINGS17"/>
      <sheetName val="Reconciliation_of_Income_Tax17"/>
      <sheetName val="Basis_period17"/>
      <sheetName val="Adjusted_profit(Loss)17"/>
      <sheetName val="CIT_Computation17"/>
      <sheetName val="Deferred_Tax17"/>
      <sheetName val="Capital_Allowance17"/>
      <sheetName val="_Bankrank97_Peer_Group_214"/>
      <sheetName val="2012_DollarFS14"/>
      <sheetName val="ALL_TABLES51"/>
      <sheetName val="PG2_(97)51"/>
      <sheetName val="PG2_(96)51"/>
      <sheetName val="PG2_(95)51"/>
      <sheetName val="PG2_(94)51"/>
      <sheetName val="PG2_(93)51"/>
      <sheetName val="JAN_(2)50"/>
      <sheetName val="P&amp;L_50"/>
      <sheetName val="Mapping_Fields_to_AGG_node50"/>
      <sheetName val="Sales_Seasonality_by_Month50"/>
      <sheetName val="_CHART@APR'0050"/>
      <sheetName val="MAR_2000-DRAFT_(2)50"/>
      <sheetName val="FEB_2000_FINAL50"/>
      <sheetName val="MAR_2000-DRAFT50"/>
      <sheetName val="Sheet1_(2)50"/>
      <sheetName val="MAR_2000_DRAFT_250"/>
      <sheetName val="APRIL_DRAFT50"/>
      <sheetName val="APRIL_FINAL50"/>
      <sheetName val="MAY_DRAFT50"/>
      <sheetName val="MAY_FINAL50"/>
      <sheetName val="_CHART@MAY'00_50"/>
      <sheetName val="JUNE_DRAFT50"/>
      <sheetName val="JUNE_FINAL50"/>
      <sheetName val="Bal_Adj18"/>
      <sheetName val="LRP_WORKINGS18"/>
      <sheetName val="Reconciliation_of_Income_Tax18"/>
      <sheetName val="Basis_period18"/>
      <sheetName val="Adjusted_profit(Loss)18"/>
      <sheetName val="CIT_Computation18"/>
      <sheetName val="Deferred_Tax18"/>
      <sheetName val="Capital_Allowance18"/>
      <sheetName val="_Bankrank97_Peer_Group_215"/>
      <sheetName val="2012_DollarFS15"/>
      <sheetName val="ALL_TABLES52"/>
      <sheetName val="PG2_(97)52"/>
      <sheetName val="PG2_(96)52"/>
      <sheetName val="PG2_(95)52"/>
      <sheetName val="PG2_(94)52"/>
      <sheetName val="PG2_(93)52"/>
      <sheetName val="JAN_(2)51"/>
      <sheetName val="P&amp;L_51"/>
      <sheetName val="Mapping_Fields_to_AGG_node51"/>
      <sheetName val="Sales_Seasonality_by_Month51"/>
      <sheetName val="_CHART@APR'0051"/>
      <sheetName val="MAR_2000-DRAFT_(2)51"/>
      <sheetName val="FEB_2000_FINAL51"/>
      <sheetName val="MAR_2000-DRAFT51"/>
      <sheetName val="Sheet1_(2)51"/>
      <sheetName val="MAR_2000_DRAFT_251"/>
      <sheetName val="APRIL_DRAFT51"/>
      <sheetName val="APRIL_FINAL51"/>
      <sheetName val="MAY_DRAFT51"/>
      <sheetName val="MAY_FINAL51"/>
      <sheetName val="_CHART@MAY'00_51"/>
      <sheetName val="JUNE_DRAFT51"/>
      <sheetName val="JUNE_FINAL51"/>
      <sheetName val="Bal_Adj19"/>
      <sheetName val="LRP_WORKINGS19"/>
      <sheetName val="Reconciliation_of_Income_Tax19"/>
      <sheetName val="Basis_period19"/>
      <sheetName val="Adjusted_profit(Loss)19"/>
      <sheetName val="CIT_Computation19"/>
      <sheetName val="Deferred_Tax19"/>
      <sheetName val="Capital_Allowance19"/>
      <sheetName val="_Bankrank97_Peer_Group_216"/>
      <sheetName val="2012_DollarFS16"/>
      <sheetName val="ALL_TABLES53"/>
      <sheetName val="PG2_(97)53"/>
      <sheetName val="PG2_(96)53"/>
      <sheetName val="PG2_(95)53"/>
      <sheetName val="PG2_(94)53"/>
      <sheetName val="PG2_(93)53"/>
      <sheetName val="JAN_(2)52"/>
      <sheetName val="P&amp;L_52"/>
      <sheetName val="Mapping_Fields_to_AGG_node52"/>
      <sheetName val="Sales_Seasonality_by_Month52"/>
      <sheetName val="_CHART@APR'0052"/>
      <sheetName val="MAR_2000-DRAFT_(2)52"/>
      <sheetName val="FEB_2000_FINAL52"/>
      <sheetName val="MAR_2000-DRAFT52"/>
      <sheetName val="Sheet1_(2)52"/>
      <sheetName val="MAR_2000_DRAFT_252"/>
      <sheetName val="APRIL_DRAFT52"/>
      <sheetName val="APRIL_FINAL52"/>
      <sheetName val="MAY_DRAFT52"/>
      <sheetName val="MAY_FINAL52"/>
      <sheetName val="_CHART@MAY'00_52"/>
      <sheetName val="JUNE_DRAFT52"/>
      <sheetName val="JUNE_FINAL52"/>
      <sheetName val="Bal_Adj20"/>
      <sheetName val="LRP_WORKINGS20"/>
      <sheetName val="Reconciliation_of_Income_Tax20"/>
      <sheetName val="Basis_period20"/>
      <sheetName val="Adjusted_profit(Loss)20"/>
      <sheetName val="CIT_Computation20"/>
      <sheetName val="Deferred_Tax20"/>
      <sheetName val="Capital_Allowance20"/>
      <sheetName val="_Bankrank97_Peer_Group_217"/>
      <sheetName val="2012_DollarFS17"/>
      <sheetName val="Fixed_asset_register7"/>
      <sheetName val="Product_Line5"/>
      <sheetName val="ALL_TABLES54"/>
      <sheetName val="PG2_(97)54"/>
      <sheetName val="PG2_(96)54"/>
      <sheetName val="PG2_(95)54"/>
      <sheetName val="PG2_(94)54"/>
      <sheetName val="PG2_(93)54"/>
      <sheetName val="JAN_(2)53"/>
      <sheetName val="P&amp;L_53"/>
      <sheetName val="Mapping_Fields_to_AGG_node53"/>
      <sheetName val="Sales_Seasonality_by_Month53"/>
      <sheetName val="_CHART@APR'0053"/>
      <sheetName val="MAR_2000-DRAFT_(2)53"/>
      <sheetName val="FEB_2000_FINAL53"/>
      <sheetName val="MAR_2000-DRAFT53"/>
      <sheetName val="Sheet1_(2)53"/>
      <sheetName val="MAR_2000_DRAFT_253"/>
      <sheetName val="APRIL_DRAFT53"/>
      <sheetName val="APRIL_FINAL53"/>
      <sheetName val="MAY_DRAFT53"/>
      <sheetName val="MAY_FINAL53"/>
      <sheetName val="_CHART@MAY'00_53"/>
      <sheetName val="JUNE_DRAFT53"/>
      <sheetName val="JUNE_FINAL53"/>
      <sheetName val="Bal_Adj21"/>
      <sheetName val="LRP_WORKINGS21"/>
      <sheetName val="Reconciliation_of_Income_Tax21"/>
      <sheetName val="Basis_period21"/>
      <sheetName val="Adjusted_profit(Loss)21"/>
      <sheetName val="CIT_Computation21"/>
      <sheetName val="Deferred_Tax21"/>
      <sheetName val="Capital_Allowance21"/>
      <sheetName val="_Bankrank97_Peer_Group_218"/>
      <sheetName val="2012_DollarFS18"/>
      <sheetName val="Product_Line1"/>
      <sheetName val="ALL_TABLES55"/>
      <sheetName val="PG2_(97)55"/>
      <sheetName val="PG2_(96)55"/>
      <sheetName val="PG2_(95)55"/>
      <sheetName val="PG2_(94)55"/>
      <sheetName val="PG2_(93)55"/>
      <sheetName val="JAN_(2)54"/>
      <sheetName val="P&amp;L_54"/>
      <sheetName val="Mapping_Fields_to_AGG_node54"/>
      <sheetName val="Sales_Seasonality_by_Month54"/>
      <sheetName val="_CHART@APR'0054"/>
      <sheetName val="MAR_2000-DRAFT_(2)54"/>
      <sheetName val="FEB_2000_FINAL54"/>
      <sheetName val="MAR_2000-DRAFT54"/>
      <sheetName val="Sheet1_(2)54"/>
      <sheetName val="MAR_2000_DRAFT_254"/>
      <sheetName val="APRIL_DRAFT54"/>
      <sheetName val="APRIL_FINAL54"/>
      <sheetName val="MAY_DRAFT54"/>
      <sheetName val="MAY_FINAL54"/>
      <sheetName val="_CHART@MAY'00_54"/>
      <sheetName val="JUNE_DRAFT54"/>
      <sheetName val="JUNE_FINAL54"/>
      <sheetName val="Bal_Adj22"/>
      <sheetName val="LRP_WORKINGS22"/>
      <sheetName val="Reconciliation_of_Income_Tax22"/>
      <sheetName val="Basis_period22"/>
      <sheetName val="Adjusted_profit(Loss)22"/>
      <sheetName val="CIT_Computation22"/>
      <sheetName val="Deferred_Tax22"/>
      <sheetName val="Capital_Allowance22"/>
      <sheetName val="_Bankrank97_Peer_Group_219"/>
      <sheetName val="2012_DollarFS19"/>
      <sheetName val="Product_Line2"/>
      <sheetName val="ALL_TABLES56"/>
      <sheetName val="PG2_(97)56"/>
      <sheetName val="PG2_(96)56"/>
      <sheetName val="PG2_(95)56"/>
      <sheetName val="PG2_(94)56"/>
      <sheetName val="PG2_(93)56"/>
      <sheetName val="JAN_(2)55"/>
      <sheetName val="P&amp;L_55"/>
      <sheetName val="Mapping_Fields_to_AGG_node55"/>
      <sheetName val="Sales_Seasonality_by_Month55"/>
      <sheetName val="_CHART@APR'0055"/>
      <sheetName val="MAR_2000-DRAFT_(2)55"/>
      <sheetName val="FEB_2000_FINAL55"/>
      <sheetName val="MAR_2000-DRAFT55"/>
      <sheetName val="Sheet1_(2)55"/>
      <sheetName val="MAR_2000_DRAFT_255"/>
      <sheetName val="APRIL_DRAFT55"/>
      <sheetName val="APRIL_FINAL55"/>
      <sheetName val="MAY_DRAFT55"/>
      <sheetName val="MAY_FINAL55"/>
      <sheetName val="_CHART@MAY'00_55"/>
      <sheetName val="JUNE_DRAFT55"/>
      <sheetName val="JUNE_FINAL55"/>
      <sheetName val="Bal_Adj23"/>
      <sheetName val="LRP_WORKINGS23"/>
      <sheetName val="Reconciliation_of_Income_Tax23"/>
      <sheetName val="Basis_period23"/>
      <sheetName val="Adjusted_profit(Loss)23"/>
      <sheetName val="CIT_Computation23"/>
      <sheetName val="Deferred_Tax23"/>
      <sheetName val="Capital_Allowance23"/>
      <sheetName val="_Bankrank97_Peer_Group_220"/>
      <sheetName val="2012_DollarFS20"/>
      <sheetName val="Product_Line3"/>
      <sheetName val="ALL_TABLES57"/>
      <sheetName val="PG2_(97)57"/>
      <sheetName val="PG2_(96)57"/>
      <sheetName val="PG2_(95)57"/>
      <sheetName val="PG2_(94)57"/>
      <sheetName val="PG2_(93)57"/>
      <sheetName val="JAN_(2)56"/>
      <sheetName val="P&amp;L_56"/>
      <sheetName val="Mapping_Fields_to_AGG_node56"/>
      <sheetName val="Sales_Seasonality_by_Month56"/>
      <sheetName val="_CHART@APR'0056"/>
      <sheetName val="MAR_2000-DRAFT_(2)56"/>
      <sheetName val="FEB_2000_FINAL56"/>
      <sheetName val="MAR_2000-DRAFT56"/>
      <sheetName val="Sheet1_(2)56"/>
      <sheetName val="MAR_2000_DRAFT_256"/>
      <sheetName val="APRIL_DRAFT56"/>
      <sheetName val="APRIL_FINAL56"/>
      <sheetName val="MAY_DRAFT56"/>
      <sheetName val="MAY_FINAL56"/>
      <sheetName val="_CHART@MAY'00_56"/>
      <sheetName val="JUNE_DRAFT56"/>
      <sheetName val="JUNE_FINAL56"/>
      <sheetName val="Bal_Adj24"/>
      <sheetName val="LRP_WORKINGS24"/>
      <sheetName val="Reconciliation_of_Income_Tax24"/>
      <sheetName val="Basis_period24"/>
      <sheetName val="Adjusted_profit(Loss)24"/>
      <sheetName val="CIT_Computation24"/>
      <sheetName val="Deferred_Tax24"/>
      <sheetName val="Capital_Allowance24"/>
      <sheetName val="_Bankrank97_Peer_Group_221"/>
      <sheetName val="2012_DollarFS21"/>
      <sheetName val="Product_Line4"/>
      <sheetName val="SM2-MS2_leavers"/>
      <sheetName val="Two_Step_Revenue_Testing_Master"/>
      <sheetName val="Non-Statistical_Sampling_Master"/>
      <sheetName val="Global_Data"/>
      <sheetName val="ALL_TABLES59"/>
      <sheetName val="PG2_(97)59"/>
      <sheetName val="PG2_(96)59"/>
      <sheetName val="PG2_(95)59"/>
      <sheetName val="PG2_(94)59"/>
      <sheetName val="PG2_(93)59"/>
      <sheetName val="JAN_(2)58"/>
      <sheetName val="P&amp;L_58"/>
      <sheetName val="Mapping_Fields_to_AGG_node58"/>
      <sheetName val="_CHART@APR'0058"/>
      <sheetName val="MAR_2000-DRAFT_(2)58"/>
      <sheetName val="FEB_2000_FINAL58"/>
      <sheetName val="MAR_2000-DRAFT58"/>
      <sheetName val="Sheet1_(2)58"/>
      <sheetName val="MAR_2000_DRAFT_258"/>
      <sheetName val="APRIL_DRAFT58"/>
      <sheetName val="APRIL_FINAL58"/>
      <sheetName val="MAY_DRAFT58"/>
      <sheetName val="MAY_FINAL58"/>
      <sheetName val="_CHART@MAY'00_58"/>
      <sheetName val="JUNE_DRAFT58"/>
      <sheetName val="JUNE_FINAL58"/>
      <sheetName val="Sales_Seasonality_by_Month58"/>
      <sheetName val="VERSION_111"/>
      <sheetName val="Fixed_asset_register8"/>
      <sheetName val="Bal_Adj26"/>
      <sheetName val="LRP_WORKINGS26"/>
      <sheetName val="Reconciliation_of_Income_Tax26"/>
      <sheetName val="Basis_period26"/>
      <sheetName val="Adjusted_profit(Loss)26"/>
      <sheetName val="CIT_Computation26"/>
      <sheetName val="Deferred_Tax26"/>
      <sheetName val="Capital_Allowance26"/>
      <sheetName val="2012_DollarFS23"/>
      <sheetName val="_Bankrank97_Peer_Group_223"/>
      <sheetName val="Product_Line6"/>
      <sheetName val="ALL_TABLES60"/>
      <sheetName val="PG2_(97)60"/>
      <sheetName val="PG2_(96)60"/>
      <sheetName val="PG2_(95)60"/>
      <sheetName val="PG2_(94)60"/>
      <sheetName val="PG2_(93)60"/>
      <sheetName val="JAN_(2)59"/>
      <sheetName val="P&amp;L_59"/>
      <sheetName val="Mapping_Fields_to_AGG_node59"/>
      <sheetName val="Sales_Seasonality_by_Month59"/>
      <sheetName val="_CHART@APR'0059"/>
      <sheetName val="MAR_2000-DRAFT_(2)59"/>
      <sheetName val="FEB_2000_FINAL59"/>
      <sheetName val="MAR_2000-DRAFT59"/>
      <sheetName val="Sheet1_(2)59"/>
      <sheetName val="MAR_2000_DRAFT_259"/>
      <sheetName val="APRIL_DRAFT59"/>
      <sheetName val="APRIL_FINAL59"/>
      <sheetName val="MAY_DRAFT59"/>
      <sheetName val="MAY_FINAL59"/>
      <sheetName val="_CHART@MAY'00_59"/>
      <sheetName val="JUNE_DRAFT59"/>
      <sheetName val="JUNE_FINAL59"/>
      <sheetName val="Fixed_asset_register9"/>
      <sheetName val="VERSION_112"/>
      <sheetName val="_Bankrank97_Peer_Group_224"/>
      <sheetName val="Bal_Adj27"/>
      <sheetName val="LRP_WORKINGS27"/>
      <sheetName val="Reconciliation_of_Income_Tax27"/>
      <sheetName val="Basis_period27"/>
      <sheetName val="Adjusted_profit(Loss)27"/>
      <sheetName val="CIT_Computation27"/>
      <sheetName val="Deferred_Tax27"/>
      <sheetName val="Capital_Allowance27"/>
      <sheetName val="2012_DollarFS24"/>
      <sheetName val="Product_Line7"/>
      <sheetName val="SM2-MS2_leavers1"/>
      <sheetName val="Selection_Page"/>
      <sheetName val="Two_Step_Revenue_Testing_Maste1"/>
      <sheetName val="Non-Statistical_Sampling_Maste1"/>
      <sheetName val="Global_Data1"/>
      <sheetName val="Activities_for_the_Prior_Yr_Q4"/>
      <sheetName val="jan_01"/>
      <sheetName val="FAS_143"/>
      <sheetName val="13th_Month"/>
      <sheetName val="do_not_Delete"/>
      <sheetName val="NSITF_WORKSHEET"/>
      <sheetName val="Projects_numbers15"/>
      <sheetName val="AI__"/>
      <sheetName val="ASSET_REGISTER"/>
      <sheetName val="Cons_workings"/>
      <sheetName val="AVERAGE_RENTAL_RAW"/>
      <sheetName val="PL"/>
      <sheetName val="BS"/>
      <sheetName val="DIRECT MANHOUR SUMMARY"/>
      <sheetName val="Disposals"/>
      <sheetName val="BAL.SHEET"/>
      <sheetName val="NSITF_WORKSHEET2"/>
      <sheetName val="jan_012"/>
      <sheetName val="SM2-MS2_leavers2"/>
      <sheetName val="Two_Step_Revenue_Testing_Maste2"/>
      <sheetName val="Non-Statistical_Sampling_Maste2"/>
      <sheetName val="Global_Data2"/>
      <sheetName val="Activities_for_the_Prior_Yr_Q42"/>
      <sheetName val="13th_Month2"/>
      <sheetName val="do_not_Delete2"/>
      <sheetName val="NSITF_WORKSHEET1"/>
      <sheetName val="jan_011"/>
      <sheetName val="Activities_for_the_Prior_Yr_Q41"/>
      <sheetName val="13th_Month1"/>
      <sheetName val="do_not_Delete1"/>
      <sheetName val="VERSION_114"/>
      <sheetName val="Fixed_asset_register11"/>
      <sheetName val="NSITF_WORKSHEET4"/>
      <sheetName val="jan_014"/>
      <sheetName val="SM2-MS2_leavers4"/>
      <sheetName val="Two_Step_Revenue_Testing_Maste4"/>
      <sheetName val="Non-Statistical_Sampling_Maste4"/>
      <sheetName val="Global_Data4"/>
      <sheetName val="Activities_for_the_Prior_Yr_Q44"/>
      <sheetName val="13th_Month4"/>
      <sheetName val="do_not_Delete4"/>
      <sheetName val="VERSION_113"/>
      <sheetName val="Fixed_asset_register10"/>
      <sheetName val="NSITF_WORKSHEET3"/>
      <sheetName val="jan_013"/>
      <sheetName val="SM2-MS2_leavers3"/>
      <sheetName val="Two_Step_Revenue_Testing_Maste3"/>
      <sheetName val="Non-Statistical_Sampling_Maste3"/>
      <sheetName val="Global_Data3"/>
      <sheetName val="Activities_for_the_Prior_Yr_Q43"/>
      <sheetName val="13th_Month3"/>
      <sheetName val="do_not_Delete3"/>
      <sheetName val="VERSION_115"/>
      <sheetName val="Fixed_asset_register12"/>
      <sheetName val="NSITF_WORKSHEET5"/>
      <sheetName val="jan_015"/>
      <sheetName val="SM2-MS2_leavers5"/>
      <sheetName val="Two_Step_Revenue_Testing_Maste5"/>
      <sheetName val="Non-Statistical_Sampling_Maste5"/>
      <sheetName val="Global_Data5"/>
      <sheetName val="Activities_for_the_Prior_Yr_Q45"/>
      <sheetName val="13th_Month5"/>
      <sheetName val="do_not_Delete5"/>
      <sheetName val="VERSION_116"/>
      <sheetName val="Fixed_asset_register13"/>
      <sheetName val="NSITF_WORKSHEET6"/>
      <sheetName val="jan_016"/>
      <sheetName val="SM2-MS2_leavers6"/>
      <sheetName val="Two_Step_Revenue_Testing_Maste6"/>
      <sheetName val="Non-Statistical_Sampling_Maste6"/>
      <sheetName val="Global_Data6"/>
      <sheetName val="Activities_for_the_Prior_Yr_Q46"/>
      <sheetName val="13th_Month6"/>
      <sheetName val="do_not_Delete6"/>
      <sheetName val="Oct31-09CLR"/>
      <sheetName val="Menu Options"/>
      <sheetName val="Setup"/>
      <sheetName val="Sum provision June 2009"/>
      <sheetName val="Calc of loans Provn "/>
      <sheetName val="SFP"/>
      <sheetName val="SCI "/>
      <sheetName val="Note 36"/>
      <sheetName val="Cflow wkg"/>
      <sheetName val="SCF "/>
      <sheetName val="N23-24"/>
      <sheetName val="Note 34-35"/>
      <sheetName val="N19-20"/>
      <sheetName val="Recon SFP-2012-Group"/>
      <sheetName val="Jan a Dez 07"/>
      <sheetName val="FBN SEC Adj"/>
      <sheetName val="Reference"/>
      <sheetName val="VERSION_122"/>
      <sheetName val="Fixed_asset_register19"/>
      <sheetName val="Product_Line13"/>
      <sheetName val="NSITF_WORKSHEET12"/>
      <sheetName val="jan_0112"/>
      <sheetName val="SM2-MS2_leavers12"/>
      <sheetName val="Two_Step_Revenue_Testing_Mast12"/>
      <sheetName val="Non-Statistical_Sampling_Mast12"/>
      <sheetName val="Global_Data12"/>
      <sheetName val="Activities_for_the_Prior_Yr_Q12"/>
      <sheetName val="13th_Month12"/>
      <sheetName val="do_not_Delete12"/>
      <sheetName val="ASSET_REGISTER9"/>
      <sheetName val="ASSET_REGISTER3"/>
      <sheetName val="ASSET_REGISTER1"/>
      <sheetName val="ASSET_REGISTER2"/>
      <sheetName val="VERSION_117"/>
      <sheetName val="Fixed_asset_register14"/>
      <sheetName val="Product_Line8"/>
      <sheetName val="NSITF_WORKSHEET7"/>
      <sheetName val="jan_017"/>
      <sheetName val="SM2-MS2_leavers7"/>
      <sheetName val="Two_Step_Revenue_Testing_Maste7"/>
      <sheetName val="Non-Statistical_Sampling_Maste7"/>
      <sheetName val="Global_Data7"/>
      <sheetName val="Activities_for_the_Prior_Yr_Q47"/>
      <sheetName val="13th_Month7"/>
      <sheetName val="do_not_Delete7"/>
      <sheetName val="ASSET_REGISTER4"/>
      <sheetName val="VERSION_118"/>
      <sheetName val="Fixed_asset_register15"/>
      <sheetName val="Product_Line9"/>
      <sheetName val="NSITF_WORKSHEET8"/>
      <sheetName val="jan_018"/>
      <sheetName val="SM2-MS2_leavers8"/>
      <sheetName val="Two_Step_Revenue_Testing_Maste8"/>
      <sheetName val="Non-Statistical_Sampling_Maste8"/>
      <sheetName val="Global_Data8"/>
      <sheetName val="Activities_for_the_Prior_Yr_Q48"/>
      <sheetName val="13th_Month8"/>
      <sheetName val="do_not_Delete8"/>
      <sheetName val="ASSET_REGISTER5"/>
      <sheetName val="VERSION_119"/>
      <sheetName val="Fixed_asset_register16"/>
      <sheetName val="Product_Line10"/>
      <sheetName val="NSITF_WORKSHEET9"/>
      <sheetName val="jan_019"/>
      <sheetName val="SM2-MS2_leavers9"/>
      <sheetName val="Two_Step_Revenue_Testing_Maste9"/>
      <sheetName val="Non-Statistical_Sampling_Maste9"/>
      <sheetName val="Global_Data9"/>
      <sheetName val="Activities_for_the_Prior_Yr_Q49"/>
      <sheetName val="13th_Month9"/>
      <sheetName val="do_not_Delete9"/>
      <sheetName val="ASSET_REGISTER6"/>
      <sheetName val="VERSION_120"/>
      <sheetName val="Fixed_asset_register17"/>
      <sheetName val="Product_Line11"/>
      <sheetName val="NSITF_WORKSHEET10"/>
      <sheetName val="jan_0110"/>
      <sheetName val="SM2-MS2_leavers10"/>
      <sheetName val="Two_Step_Revenue_Testing_Mast10"/>
      <sheetName val="Non-Statistical_Sampling_Mast10"/>
      <sheetName val="Global_Data10"/>
      <sheetName val="Activities_for_the_Prior_Yr_Q10"/>
      <sheetName val="13th_Month10"/>
      <sheetName val="do_not_Delete10"/>
      <sheetName val="ASSET_REGISTER7"/>
      <sheetName val="VERSION_121"/>
      <sheetName val="Fixed_asset_register18"/>
      <sheetName val="Product_Line12"/>
      <sheetName val="NSITF_WORKSHEET11"/>
      <sheetName val="jan_0111"/>
      <sheetName val="SM2-MS2_leavers11"/>
      <sheetName val="Two_Step_Revenue_Testing_Mast11"/>
      <sheetName val="Non-Statistical_Sampling_Mast11"/>
      <sheetName val="Global_Data11"/>
      <sheetName val="Activities_for_the_Prior_Yr_Q11"/>
      <sheetName val="13th_Month11"/>
      <sheetName val="do_not_Delete11"/>
      <sheetName val="ASSET_REGISTER8"/>
      <sheetName val="VERSION_123"/>
      <sheetName val="Fixed_asset_register20"/>
      <sheetName val="Product_Line14"/>
      <sheetName val="NSITF_WORKSHEET13"/>
      <sheetName val="jan_0113"/>
      <sheetName val="SM2-MS2_leavers13"/>
      <sheetName val="Two_Step_Revenue_Testing_Mast13"/>
      <sheetName val="Non-Statistical_Sampling_Mast13"/>
      <sheetName val="Global_Data13"/>
      <sheetName val="Activities_for_the_Prior_Yr_Q13"/>
      <sheetName val="13th_Month13"/>
      <sheetName val="do_not_Delete13"/>
      <sheetName val="ASSET_REGISTER10"/>
      <sheetName val="ALL_TABLES61"/>
      <sheetName val="PG2_(97)61"/>
      <sheetName val="PG2_(96)61"/>
      <sheetName val="PG2_(95)61"/>
      <sheetName val="PG2_(94)61"/>
      <sheetName val="PG2_(93)61"/>
      <sheetName val="JAN_(2)60"/>
      <sheetName val="P&amp;L_60"/>
      <sheetName val="Mapping_Fields_to_AGG_node60"/>
      <sheetName val="_CHART@APR'0060"/>
      <sheetName val="MAR_2000-DRAFT_(2)60"/>
      <sheetName val="FEB_2000_FINAL60"/>
      <sheetName val="MAR_2000-DRAFT60"/>
      <sheetName val="Sheet1_(2)60"/>
      <sheetName val="MAR_2000_DRAFT_260"/>
      <sheetName val="APRIL_DRAFT60"/>
      <sheetName val="APRIL_FINAL60"/>
      <sheetName val="MAY_DRAFT60"/>
      <sheetName val="MAY_FINAL60"/>
      <sheetName val="_CHART@MAY'00_60"/>
      <sheetName val="JUNE_DRAFT60"/>
      <sheetName val="JUNE_FINAL60"/>
      <sheetName val="Sales_Seasonality_by_Month60"/>
      <sheetName val="VERSION_124"/>
      <sheetName val="Fixed_asset_register21"/>
      <sheetName val="Bal_Adj28"/>
      <sheetName val="LRP_WORKINGS28"/>
      <sheetName val="Reconciliation_of_Income_Tax28"/>
      <sheetName val="Basis_period28"/>
      <sheetName val="Adjusted_profit(Loss)28"/>
      <sheetName val="CIT_Computation28"/>
      <sheetName val="Deferred_Tax28"/>
      <sheetName val="Capital_Allowance28"/>
      <sheetName val="_Bankrank97_Peer_Group_225"/>
      <sheetName val="2012_DollarFS25"/>
      <sheetName val="Product_Line15"/>
      <sheetName val="NSITF_WORKSHEET14"/>
      <sheetName val="jan_0114"/>
      <sheetName val="SM2-MS2_leavers14"/>
      <sheetName val="Two_Step_Revenue_Testing_Mast14"/>
      <sheetName val="Non-Statistical_Sampling_Mast14"/>
      <sheetName val="Global_Data14"/>
      <sheetName val="Activities_for_the_Prior_Yr_Q14"/>
      <sheetName val="13th_Month14"/>
      <sheetName val="do_not_Delete14"/>
      <sheetName val="ASSET_REGISTER11"/>
      <sheetName val="NOV 1999 FINAL REAL"/>
      <sheetName val="EXPATRIATE STAFF"/>
      <sheetName val="Tables"/>
      <sheetName val="PDS2"/>
      <sheetName val="Master"/>
      <sheetName val="Transaction Summary"/>
      <sheetName val="FB Input"/>
      <sheetName val="T301"/>
      <sheetName val="Selection_Page1"/>
      <sheetName val="FAS_1431"/>
      <sheetName val="PAGE1"/>
      <sheetName val="RE BS08"/>
      <sheetName val=" Program Support Costs"/>
      <sheetName val="A1"/>
      <sheetName val="Price List"/>
      <sheetName val="Menu_Options"/>
      <sheetName val="Note 8-10"/>
      <sheetName val="ALL_TABLES62"/>
      <sheetName val="PG2_(97)62"/>
      <sheetName val="PG2_(96)62"/>
      <sheetName val="PG2_(95)62"/>
      <sheetName val="PG2_(94)62"/>
      <sheetName val="PG2_(93)62"/>
      <sheetName val="JAN_(2)61"/>
      <sheetName val="P&amp;L_61"/>
      <sheetName val="Mapping_Fields_to_AGG_node61"/>
      <sheetName val="_CHART@APR'0061"/>
      <sheetName val="MAR_2000-DRAFT_(2)61"/>
      <sheetName val="FEB_2000_FINAL61"/>
      <sheetName val="MAR_2000-DRAFT61"/>
      <sheetName val="Sheet1_(2)61"/>
      <sheetName val="MAR_2000_DRAFT_261"/>
      <sheetName val="APRIL_DRAFT61"/>
      <sheetName val="APRIL_FINAL61"/>
      <sheetName val="MAY_DRAFT61"/>
      <sheetName val="MAY_FINAL61"/>
      <sheetName val="_CHART@MAY'00_61"/>
      <sheetName val="JUNE_DRAFT61"/>
      <sheetName val="JUNE_FINAL61"/>
      <sheetName val="Sales_Seasonality_by_Month61"/>
      <sheetName val="VERSION_125"/>
      <sheetName val="Fixed_asset_register22"/>
      <sheetName val="Bal_Adj29"/>
      <sheetName val="LRP_WORKINGS29"/>
      <sheetName val="Reconciliation_of_Income_Tax29"/>
      <sheetName val="Basis_period29"/>
      <sheetName val="Adjusted_profit(Loss)29"/>
      <sheetName val="CIT_Computation29"/>
      <sheetName val="Deferred_Tax29"/>
      <sheetName val="Capital_Allowance29"/>
      <sheetName val="_Bankrank97_Peer_Group_226"/>
      <sheetName val="2012_DollarFS26"/>
      <sheetName val="Product_Line16"/>
      <sheetName val="NSITF_WORKSHEET15"/>
      <sheetName val="jan_0115"/>
      <sheetName val="SM2-MS2_leavers15"/>
      <sheetName val="Two_Step_Revenue_Testing_Mast15"/>
      <sheetName val="Non-Statistical_Sampling_Mast15"/>
      <sheetName val="Global_Data15"/>
      <sheetName val="Activities_for_the_Prior_Yr_Q15"/>
      <sheetName val="13th_Month15"/>
      <sheetName val="do_not_Delete15"/>
      <sheetName val="ASSET_REGISTER12"/>
      <sheetName val="ALL_TABLES63"/>
      <sheetName val="PG2_(97)63"/>
      <sheetName val="PG2_(96)63"/>
      <sheetName val="PG2_(95)63"/>
      <sheetName val="PG2_(94)63"/>
      <sheetName val="PG2_(93)63"/>
      <sheetName val="JAN_(2)62"/>
      <sheetName val="P&amp;L_62"/>
      <sheetName val="Mapping_Fields_to_AGG_node62"/>
      <sheetName val="_CHART@APR'0062"/>
      <sheetName val="MAR_2000-DRAFT_(2)62"/>
      <sheetName val="FEB_2000_FINAL62"/>
      <sheetName val="MAR_2000-DRAFT62"/>
      <sheetName val="Sheet1_(2)62"/>
      <sheetName val="MAR_2000_DRAFT_262"/>
      <sheetName val="APRIL_DRAFT62"/>
      <sheetName val="APRIL_FINAL62"/>
      <sheetName val="MAY_DRAFT62"/>
      <sheetName val="MAY_FINAL62"/>
      <sheetName val="_CHART@MAY'00_62"/>
      <sheetName val="JUNE_DRAFT62"/>
      <sheetName val="JUNE_FINAL62"/>
      <sheetName val="Sales_Seasonality_by_Month62"/>
      <sheetName val="VERSION_126"/>
      <sheetName val="Fixed_asset_register23"/>
      <sheetName val="Bal_Adj30"/>
      <sheetName val="LRP_WORKINGS30"/>
      <sheetName val="Reconciliation_of_Income_Tax30"/>
      <sheetName val="Basis_period30"/>
      <sheetName val="Adjusted_profit(Loss)30"/>
      <sheetName val="CIT_Computation30"/>
      <sheetName val="Deferred_Tax30"/>
      <sheetName val="Capital_Allowance30"/>
      <sheetName val="_Bankrank97_Peer_Group_227"/>
      <sheetName val="2012_DollarFS27"/>
      <sheetName val="Product_Line17"/>
      <sheetName val="NSITF_WORKSHEET16"/>
      <sheetName val="jan_0116"/>
      <sheetName val="SM2-MS2_leavers16"/>
      <sheetName val="Two_Step_Revenue_Testing_Mast16"/>
      <sheetName val="Non-Statistical_Sampling_Mast16"/>
      <sheetName val="Global_Data16"/>
      <sheetName val="Activities_for_the_Prior_Yr_Q16"/>
      <sheetName val="13th_Month16"/>
      <sheetName val="do_not_Delete16"/>
      <sheetName val="ASSET_REGISTER13"/>
      <sheetName val="ALL_TABLES64"/>
      <sheetName val="PG2_(97)64"/>
      <sheetName val="PG2_(96)64"/>
      <sheetName val="PG2_(95)64"/>
      <sheetName val="PG2_(94)64"/>
      <sheetName val="PG2_(93)64"/>
      <sheetName val="JAN_(2)63"/>
      <sheetName val="P&amp;L_63"/>
      <sheetName val="Mapping_Fields_to_AGG_node63"/>
      <sheetName val="_CHART@APR'0063"/>
      <sheetName val="MAR_2000-DRAFT_(2)63"/>
      <sheetName val="FEB_2000_FINAL63"/>
      <sheetName val="MAR_2000-DRAFT63"/>
      <sheetName val="Sheet1_(2)63"/>
      <sheetName val="MAR_2000_DRAFT_263"/>
      <sheetName val="APRIL_DRAFT63"/>
      <sheetName val="APRIL_FINAL63"/>
      <sheetName val="MAY_DRAFT63"/>
      <sheetName val="MAY_FINAL63"/>
      <sheetName val="_CHART@MAY'00_63"/>
      <sheetName val="JUNE_DRAFT63"/>
      <sheetName val="JUNE_FINAL63"/>
      <sheetName val="Sales_Seasonality_by_Month63"/>
      <sheetName val="VERSION_127"/>
      <sheetName val="Fixed_asset_register24"/>
      <sheetName val="Bal_Adj31"/>
      <sheetName val="LRP_WORKINGS31"/>
      <sheetName val="Reconciliation_of_Income_Tax31"/>
      <sheetName val="Basis_period31"/>
      <sheetName val="Adjusted_profit(Loss)31"/>
      <sheetName val="CIT_Computation31"/>
      <sheetName val="Deferred_Tax31"/>
      <sheetName val="Capital_Allowance31"/>
      <sheetName val="_Bankrank97_Peer_Group_228"/>
      <sheetName val="2012_DollarFS28"/>
      <sheetName val="Product_Line18"/>
      <sheetName val="NSITF_WORKSHEET17"/>
      <sheetName val="jan_0117"/>
      <sheetName val="SM2-MS2_leavers17"/>
      <sheetName val="Two_Step_Revenue_Testing_Mast17"/>
      <sheetName val="Non-Statistical_Sampling_Mast17"/>
      <sheetName val="Global_Data17"/>
      <sheetName val="Activities_for_the_Prior_Yr_Q17"/>
      <sheetName val="13th_Month17"/>
      <sheetName val="do_not_Delete17"/>
      <sheetName val="ASSET_REGISTER14"/>
      <sheetName val="Sum_provision_June_2009"/>
      <sheetName val="Calc_of_loans_Provn_"/>
      <sheetName val="SCI_"/>
      <sheetName val="Note_36"/>
      <sheetName val="Cflow_wkg"/>
      <sheetName val="SCF_"/>
      <sheetName val="Note_34-35"/>
      <sheetName val="Recon_SFP-2012-Group"/>
      <sheetName val="Jan_a_Dez_07"/>
      <sheetName val="NOV_1999_FINAL_REAL"/>
      <sheetName val="EXPATRIATE_STAFF"/>
      <sheetName val="FBN_SEC_Adj"/>
      <sheetName val="FB_Input"/>
      <sheetName val="Transaction_Summary"/>
      <sheetName val="MBR 250"/>
      <sheetName val="ALL_TABLES66"/>
      <sheetName val="PG2_(97)66"/>
      <sheetName val="PG2_(96)66"/>
      <sheetName val="PG2_(95)66"/>
      <sheetName val="PG2_(94)66"/>
      <sheetName val="PG2_(93)66"/>
      <sheetName val="JAN_(2)65"/>
      <sheetName val="P&amp;L_65"/>
      <sheetName val="Mapping_Fields_to_AGG_node65"/>
      <sheetName val="_CHART@APR'0065"/>
      <sheetName val="MAR_2000-DRAFT_(2)65"/>
      <sheetName val="FEB_2000_FINAL65"/>
      <sheetName val="MAR_2000-DRAFT65"/>
      <sheetName val="Sheet1_(2)65"/>
      <sheetName val="MAR_2000_DRAFT_265"/>
      <sheetName val="APRIL_DRAFT65"/>
      <sheetName val="APRIL_FINAL65"/>
      <sheetName val="MAY_DRAFT65"/>
      <sheetName val="MAY_FINAL65"/>
      <sheetName val="_CHART@MAY'00_65"/>
      <sheetName val="JUNE_DRAFT65"/>
      <sheetName val="JUNE_FINAL65"/>
      <sheetName val="Sales_Seasonality_by_Month65"/>
      <sheetName val="VERSION_129"/>
      <sheetName val="Fixed_asset_register26"/>
      <sheetName val="Bal_Adj33"/>
      <sheetName val="LRP_WORKINGS33"/>
      <sheetName val="Reconciliation_of_Income_Tax33"/>
      <sheetName val="Basis_period33"/>
      <sheetName val="Adjusted_profit(Loss)33"/>
      <sheetName val="CIT_Computation33"/>
      <sheetName val="Deferred_Tax33"/>
      <sheetName val="Capital_Allowance33"/>
      <sheetName val="_Bankrank97_Peer_Group_230"/>
      <sheetName val="2012_DollarFS30"/>
      <sheetName val="Product_Line20"/>
      <sheetName val="NSITF_WORKSHEET19"/>
      <sheetName val="jan_0119"/>
      <sheetName val="SM2-MS2_leavers19"/>
      <sheetName val="Two_Step_Revenue_Testing_Mast19"/>
      <sheetName val="Non-Statistical_Sampling_Mast19"/>
      <sheetName val="Global_Data19"/>
      <sheetName val="Activities_for_the_Prior_Yr_Q19"/>
      <sheetName val="13th_Month19"/>
      <sheetName val="do_not_Delete19"/>
      <sheetName val="ASSET_REGISTER16"/>
      <sheetName val="ALL_TABLES65"/>
      <sheetName val="PG2_(97)65"/>
      <sheetName val="PG2_(96)65"/>
      <sheetName val="PG2_(95)65"/>
      <sheetName val="PG2_(94)65"/>
      <sheetName val="PG2_(93)65"/>
      <sheetName val="JAN_(2)64"/>
      <sheetName val="P&amp;L_64"/>
      <sheetName val="Mapping_Fields_to_AGG_node64"/>
      <sheetName val="_CHART@APR'0064"/>
      <sheetName val="MAR_2000-DRAFT_(2)64"/>
      <sheetName val="FEB_2000_FINAL64"/>
      <sheetName val="MAR_2000-DRAFT64"/>
      <sheetName val="Sheet1_(2)64"/>
      <sheetName val="MAR_2000_DRAFT_264"/>
      <sheetName val="APRIL_DRAFT64"/>
      <sheetName val="APRIL_FINAL64"/>
      <sheetName val="MAY_DRAFT64"/>
      <sheetName val="MAY_FINAL64"/>
      <sheetName val="_CHART@MAY'00_64"/>
      <sheetName val="JUNE_DRAFT64"/>
      <sheetName val="JUNE_FINAL64"/>
      <sheetName val="Sales_Seasonality_by_Month64"/>
      <sheetName val="VERSION_128"/>
      <sheetName val="Fixed_asset_register25"/>
      <sheetName val="Bal_Adj32"/>
      <sheetName val="LRP_WORKINGS32"/>
      <sheetName val="Reconciliation_of_Income_Tax32"/>
      <sheetName val="Basis_period32"/>
      <sheetName val="Adjusted_profit(Loss)32"/>
      <sheetName val="CIT_Computation32"/>
      <sheetName val="Deferred_Tax32"/>
      <sheetName val="Capital_Allowance32"/>
      <sheetName val="_Bankrank97_Peer_Group_229"/>
      <sheetName val="2012_DollarFS29"/>
      <sheetName val="Product_Line19"/>
      <sheetName val="NSITF_WORKSHEET18"/>
      <sheetName val="jan_0118"/>
      <sheetName val="SM2-MS2_leavers18"/>
      <sheetName val="Two_Step_Revenue_Testing_Mast18"/>
      <sheetName val="Non-Statistical_Sampling_Mast18"/>
      <sheetName val="Global_Data18"/>
      <sheetName val="Activities_for_the_Prior_Yr_Q18"/>
      <sheetName val="13th_Month18"/>
      <sheetName val="do_not_Delete18"/>
      <sheetName val="ASSET_REGISTER15"/>
      <sheetName val="Projects_numbers16"/>
      <sheetName val="AI__1"/>
      <sheetName val="Cons_workings1"/>
      <sheetName val="AVERAGE_RENTAL_RAW1"/>
      <sheetName val="DIRECT_MANHOUR_SUMMARY"/>
      <sheetName val="Selection_Page3"/>
      <sheetName val="FAS_1433"/>
      <sheetName val="Projects_numbers18"/>
      <sheetName val="AI__3"/>
      <sheetName val="Selection_Page2"/>
      <sheetName val="FAS_1432"/>
      <sheetName val="Projects_numbers17"/>
      <sheetName val="AI__2"/>
      <sheetName val="Selection_Page4"/>
      <sheetName val="FAS_1434"/>
      <sheetName val="Projects_numbers19"/>
      <sheetName val="AI__4"/>
    </sheetNames>
    <sheetDataSet>
      <sheetData sheetId="0"/>
      <sheetData sheetId="1"/>
      <sheetData sheetId="2"/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64">
          <cell r="AE264">
            <v>0</v>
          </cell>
        </row>
      </sheetData>
      <sheetData sheetId="14">
        <row r="264">
          <cell r="AE264">
            <v>0</v>
          </cell>
        </row>
      </sheetData>
      <sheetData sheetId="15">
        <row r="264">
          <cell r="AE264">
            <v>0</v>
          </cell>
        </row>
      </sheetData>
      <sheetData sheetId="16">
        <row r="264">
          <cell r="AE264">
            <v>0</v>
          </cell>
        </row>
      </sheetData>
      <sheetData sheetId="17">
        <row r="264">
          <cell r="AE264">
            <v>0</v>
          </cell>
        </row>
      </sheetData>
      <sheetData sheetId="18">
        <row r="264">
          <cell r="AE264">
            <v>0</v>
          </cell>
        </row>
      </sheetData>
      <sheetData sheetId="19">
        <row r="264">
          <cell r="AE264">
            <v>0</v>
          </cell>
        </row>
      </sheetData>
      <sheetData sheetId="20">
        <row r="264">
          <cell r="AE264">
            <v>0</v>
          </cell>
        </row>
      </sheetData>
      <sheetData sheetId="21">
        <row r="264">
          <cell r="AE264">
            <v>0</v>
          </cell>
        </row>
      </sheetData>
      <sheetData sheetId="22">
        <row r="264">
          <cell r="AE264">
            <v>0</v>
          </cell>
        </row>
      </sheetData>
      <sheetData sheetId="23">
        <row r="264">
          <cell r="AE264">
            <v>0</v>
          </cell>
        </row>
      </sheetData>
      <sheetData sheetId="24">
        <row r="264">
          <cell r="AE264">
            <v>0</v>
          </cell>
        </row>
      </sheetData>
      <sheetData sheetId="25">
        <row r="264">
          <cell r="AE264">
            <v>0</v>
          </cell>
        </row>
      </sheetData>
      <sheetData sheetId="26">
        <row r="264">
          <cell r="AE264">
            <v>0</v>
          </cell>
        </row>
      </sheetData>
      <sheetData sheetId="27">
        <row r="264">
          <cell r="AE264">
            <v>0</v>
          </cell>
        </row>
      </sheetData>
      <sheetData sheetId="28">
        <row r="264">
          <cell r="AE264">
            <v>0</v>
          </cell>
        </row>
      </sheetData>
      <sheetData sheetId="29">
        <row r="264">
          <cell r="AE264">
            <v>0</v>
          </cell>
        </row>
      </sheetData>
      <sheetData sheetId="30">
        <row r="264">
          <cell r="AE264">
            <v>0</v>
          </cell>
        </row>
      </sheetData>
      <sheetData sheetId="31">
        <row r="264">
          <cell r="AE264">
            <v>0</v>
          </cell>
        </row>
      </sheetData>
      <sheetData sheetId="32">
        <row r="264">
          <cell r="AE264">
            <v>0</v>
          </cell>
        </row>
      </sheetData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>
        <row r="264">
          <cell r="AE264">
            <v>0</v>
          </cell>
        </row>
      </sheetData>
      <sheetData sheetId="40">
        <row r="264">
          <cell r="AE264">
            <v>0</v>
          </cell>
        </row>
      </sheetData>
      <sheetData sheetId="41"/>
      <sheetData sheetId="42"/>
      <sheetData sheetId="43"/>
      <sheetData sheetId="44">
        <row r="264">
          <cell r="AE264">
            <v>0</v>
          </cell>
        </row>
      </sheetData>
      <sheetData sheetId="45">
        <row r="264">
          <cell r="AE264">
            <v>0</v>
          </cell>
        </row>
      </sheetData>
      <sheetData sheetId="46">
        <row r="264">
          <cell r="AE264">
            <v>0</v>
          </cell>
        </row>
      </sheetData>
      <sheetData sheetId="47">
        <row r="264">
          <cell r="AE264">
            <v>0</v>
          </cell>
        </row>
      </sheetData>
      <sheetData sheetId="48">
        <row r="264">
          <cell r="AE264">
            <v>0</v>
          </cell>
        </row>
      </sheetData>
      <sheetData sheetId="49">
        <row r="264">
          <cell r="AE264">
            <v>0</v>
          </cell>
        </row>
      </sheetData>
      <sheetData sheetId="50">
        <row r="264">
          <cell r="AE264">
            <v>0</v>
          </cell>
        </row>
      </sheetData>
      <sheetData sheetId="51">
        <row r="264">
          <cell r="AE264">
            <v>0</v>
          </cell>
        </row>
      </sheetData>
      <sheetData sheetId="52">
        <row r="264">
          <cell r="AE264">
            <v>0</v>
          </cell>
        </row>
      </sheetData>
      <sheetData sheetId="53">
        <row r="264">
          <cell r="AE264">
            <v>0</v>
          </cell>
        </row>
      </sheetData>
      <sheetData sheetId="54">
        <row r="264">
          <cell r="AE264">
            <v>0</v>
          </cell>
        </row>
      </sheetData>
      <sheetData sheetId="55">
        <row r="264">
          <cell r="AE264">
            <v>0</v>
          </cell>
        </row>
      </sheetData>
      <sheetData sheetId="56">
        <row r="264">
          <cell r="AE264">
            <v>0</v>
          </cell>
        </row>
      </sheetData>
      <sheetData sheetId="57">
        <row r="264">
          <cell r="AE264">
            <v>0</v>
          </cell>
        </row>
      </sheetData>
      <sheetData sheetId="58">
        <row r="264">
          <cell r="AE264">
            <v>0</v>
          </cell>
        </row>
      </sheetData>
      <sheetData sheetId="59">
        <row r="264">
          <cell r="AE264">
            <v>0</v>
          </cell>
        </row>
      </sheetData>
      <sheetData sheetId="60">
        <row r="264">
          <cell r="AE264">
            <v>0</v>
          </cell>
        </row>
      </sheetData>
      <sheetData sheetId="61">
        <row r="264">
          <cell r="AE264">
            <v>0</v>
          </cell>
        </row>
      </sheetData>
      <sheetData sheetId="62"/>
      <sheetData sheetId="63"/>
      <sheetData sheetId="64"/>
      <sheetData sheetId="65"/>
      <sheetData sheetId="66"/>
      <sheetData sheetId="67">
        <row r="264">
          <cell r="AE264">
            <v>0</v>
          </cell>
        </row>
      </sheetData>
      <sheetData sheetId="68">
        <row r="264">
          <cell r="AE264">
            <v>0</v>
          </cell>
        </row>
      </sheetData>
      <sheetData sheetId="69">
        <row r="264">
          <cell r="AE264">
            <v>0</v>
          </cell>
        </row>
      </sheetData>
      <sheetData sheetId="70">
        <row r="264">
          <cell r="AE264">
            <v>0</v>
          </cell>
        </row>
      </sheetData>
      <sheetData sheetId="71">
        <row r="264">
          <cell r="AE264">
            <v>0</v>
          </cell>
        </row>
      </sheetData>
      <sheetData sheetId="72">
        <row r="264">
          <cell r="AE264">
            <v>0</v>
          </cell>
        </row>
      </sheetData>
      <sheetData sheetId="73">
        <row r="264">
          <cell r="AE264">
            <v>0</v>
          </cell>
        </row>
      </sheetData>
      <sheetData sheetId="74">
        <row r="264">
          <cell r="AE264">
            <v>0</v>
          </cell>
        </row>
      </sheetData>
      <sheetData sheetId="75">
        <row r="264">
          <cell r="AE264">
            <v>0</v>
          </cell>
        </row>
      </sheetData>
      <sheetData sheetId="76">
        <row r="264">
          <cell r="AE264">
            <v>0</v>
          </cell>
        </row>
      </sheetData>
      <sheetData sheetId="77">
        <row r="264">
          <cell r="AE264">
            <v>0</v>
          </cell>
        </row>
      </sheetData>
      <sheetData sheetId="78">
        <row r="264">
          <cell r="AE264">
            <v>0</v>
          </cell>
        </row>
      </sheetData>
      <sheetData sheetId="79">
        <row r="264">
          <cell r="AE264">
            <v>0</v>
          </cell>
        </row>
      </sheetData>
      <sheetData sheetId="80">
        <row r="264">
          <cell r="AE264">
            <v>0</v>
          </cell>
        </row>
      </sheetData>
      <sheetData sheetId="81">
        <row r="264">
          <cell r="AE264">
            <v>0</v>
          </cell>
        </row>
      </sheetData>
      <sheetData sheetId="82">
        <row r="264">
          <cell r="AE264">
            <v>0</v>
          </cell>
        </row>
      </sheetData>
      <sheetData sheetId="83" refreshError="1"/>
      <sheetData sheetId="84">
        <row r="264">
          <cell r="AE264">
            <v>0</v>
          </cell>
        </row>
      </sheetData>
      <sheetData sheetId="85">
        <row r="264">
          <cell r="AE264">
            <v>0</v>
          </cell>
        </row>
      </sheetData>
      <sheetData sheetId="86"/>
      <sheetData sheetId="87"/>
      <sheetData sheetId="88"/>
      <sheetData sheetId="89"/>
      <sheetData sheetId="90">
        <row r="264">
          <cell r="AE264">
            <v>0</v>
          </cell>
        </row>
      </sheetData>
      <sheetData sheetId="91">
        <row r="264">
          <cell r="AE264">
            <v>0</v>
          </cell>
        </row>
      </sheetData>
      <sheetData sheetId="92">
        <row r="264">
          <cell r="AE264">
            <v>0</v>
          </cell>
        </row>
      </sheetData>
      <sheetData sheetId="93">
        <row r="264">
          <cell r="AE264">
            <v>0</v>
          </cell>
        </row>
      </sheetData>
      <sheetData sheetId="94">
        <row r="264">
          <cell r="AE264">
            <v>0</v>
          </cell>
        </row>
      </sheetData>
      <sheetData sheetId="95">
        <row r="264">
          <cell r="AE264">
            <v>0</v>
          </cell>
        </row>
      </sheetData>
      <sheetData sheetId="96">
        <row r="264">
          <cell r="AE264">
            <v>0</v>
          </cell>
        </row>
      </sheetData>
      <sheetData sheetId="97">
        <row r="264">
          <cell r="AE264">
            <v>0</v>
          </cell>
        </row>
      </sheetData>
      <sheetData sheetId="98">
        <row r="264">
          <cell r="AE264">
            <v>0</v>
          </cell>
        </row>
      </sheetData>
      <sheetData sheetId="99">
        <row r="264">
          <cell r="AE264">
            <v>0</v>
          </cell>
        </row>
      </sheetData>
      <sheetData sheetId="100">
        <row r="264">
          <cell r="AE264">
            <v>0</v>
          </cell>
        </row>
      </sheetData>
      <sheetData sheetId="101">
        <row r="264">
          <cell r="AE264">
            <v>0</v>
          </cell>
        </row>
      </sheetData>
      <sheetData sheetId="102">
        <row r="264">
          <cell r="AE264">
            <v>0</v>
          </cell>
        </row>
      </sheetData>
      <sheetData sheetId="103">
        <row r="264">
          <cell r="AE264">
            <v>0</v>
          </cell>
        </row>
      </sheetData>
      <sheetData sheetId="104">
        <row r="264">
          <cell r="AE264">
            <v>0</v>
          </cell>
        </row>
      </sheetData>
      <sheetData sheetId="105">
        <row r="264">
          <cell r="AE264">
            <v>0</v>
          </cell>
        </row>
      </sheetData>
      <sheetData sheetId="106">
        <row r="264">
          <cell r="AE264">
            <v>0</v>
          </cell>
        </row>
      </sheetData>
      <sheetData sheetId="107"/>
      <sheetData sheetId="108"/>
      <sheetData sheetId="109"/>
      <sheetData sheetId="110"/>
      <sheetData sheetId="111"/>
      <sheetData sheetId="112"/>
      <sheetData sheetId="113">
        <row r="264">
          <cell r="AE264">
            <v>0</v>
          </cell>
        </row>
      </sheetData>
      <sheetData sheetId="114">
        <row r="264">
          <cell r="AE264">
            <v>0</v>
          </cell>
        </row>
      </sheetData>
      <sheetData sheetId="115">
        <row r="264">
          <cell r="AE264">
            <v>0</v>
          </cell>
        </row>
      </sheetData>
      <sheetData sheetId="116">
        <row r="264">
          <cell r="AE264">
            <v>0</v>
          </cell>
        </row>
      </sheetData>
      <sheetData sheetId="117">
        <row r="264">
          <cell r="AE264">
            <v>0</v>
          </cell>
        </row>
      </sheetData>
      <sheetData sheetId="118">
        <row r="264">
          <cell r="AE264">
            <v>0</v>
          </cell>
        </row>
      </sheetData>
      <sheetData sheetId="119">
        <row r="264">
          <cell r="AE264">
            <v>0</v>
          </cell>
        </row>
      </sheetData>
      <sheetData sheetId="120">
        <row r="264">
          <cell r="AE264">
            <v>0</v>
          </cell>
        </row>
      </sheetData>
      <sheetData sheetId="121">
        <row r="264">
          <cell r="AE264">
            <v>0</v>
          </cell>
        </row>
      </sheetData>
      <sheetData sheetId="122">
        <row r="264">
          <cell r="AE264">
            <v>0</v>
          </cell>
        </row>
      </sheetData>
      <sheetData sheetId="123">
        <row r="264">
          <cell r="AE264">
            <v>0</v>
          </cell>
        </row>
      </sheetData>
      <sheetData sheetId="124">
        <row r="264">
          <cell r="AE264">
            <v>0</v>
          </cell>
        </row>
      </sheetData>
      <sheetData sheetId="125">
        <row r="264">
          <cell r="AE264">
            <v>0</v>
          </cell>
        </row>
      </sheetData>
      <sheetData sheetId="126">
        <row r="264">
          <cell r="AE264">
            <v>0</v>
          </cell>
        </row>
      </sheetData>
      <sheetData sheetId="127">
        <row r="264">
          <cell r="AE264">
            <v>0</v>
          </cell>
        </row>
      </sheetData>
      <sheetData sheetId="128">
        <row r="264">
          <cell r="AE264">
            <v>0</v>
          </cell>
        </row>
      </sheetData>
      <sheetData sheetId="129"/>
      <sheetData sheetId="130"/>
      <sheetData sheetId="131"/>
      <sheetData sheetId="132"/>
      <sheetData sheetId="133"/>
      <sheetData sheetId="134"/>
      <sheetData sheetId="135"/>
      <sheetData sheetId="136">
        <row r="264">
          <cell r="AE264">
            <v>0</v>
          </cell>
        </row>
      </sheetData>
      <sheetData sheetId="137">
        <row r="264">
          <cell r="AE264">
            <v>0</v>
          </cell>
        </row>
      </sheetData>
      <sheetData sheetId="138">
        <row r="264">
          <cell r="AE264">
            <v>0</v>
          </cell>
        </row>
      </sheetData>
      <sheetData sheetId="139">
        <row r="264">
          <cell r="AE264">
            <v>0</v>
          </cell>
        </row>
      </sheetData>
      <sheetData sheetId="140">
        <row r="264">
          <cell r="AE264">
            <v>0</v>
          </cell>
        </row>
      </sheetData>
      <sheetData sheetId="141">
        <row r="264">
          <cell r="AE264">
            <v>0</v>
          </cell>
        </row>
      </sheetData>
      <sheetData sheetId="142">
        <row r="264">
          <cell r="AE264">
            <v>0</v>
          </cell>
        </row>
      </sheetData>
      <sheetData sheetId="143">
        <row r="264">
          <cell r="AE264">
            <v>0</v>
          </cell>
        </row>
      </sheetData>
      <sheetData sheetId="144">
        <row r="264">
          <cell r="AE264">
            <v>0</v>
          </cell>
        </row>
      </sheetData>
      <sheetData sheetId="145">
        <row r="264">
          <cell r="AE264">
            <v>0</v>
          </cell>
        </row>
      </sheetData>
      <sheetData sheetId="146">
        <row r="264">
          <cell r="AE264">
            <v>0</v>
          </cell>
        </row>
      </sheetData>
      <sheetData sheetId="147">
        <row r="264">
          <cell r="AE264">
            <v>0</v>
          </cell>
        </row>
      </sheetData>
      <sheetData sheetId="148">
        <row r="264">
          <cell r="AE264">
            <v>0</v>
          </cell>
        </row>
      </sheetData>
      <sheetData sheetId="149">
        <row r="264">
          <cell r="AE264">
            <v>0</v>
          </cell>
        </row>
      </sheetData>
      <sheetData sheetId="150">
        <row r="264">
          <cell r="AE264">
            <v>0</v>
          </cell>
        </row>
      </sheetData>
      <sheetData sheetId="151">
        <row r="264">
          <cell r="AE264">
            <v>0</v>
          </cell>
        </row>
      </sheetData>
      <sheetData sheetId="152"/>
      <sheetData sheetId="153"/>
      <sheetData sheetId="154"/>
      <sheetData sheetId="155"/>
      <sheetData sheetId="156"/>
      <sheetData sheetId="157"/>
      <sheetData sheetId="158"/>
      <sheetData sheetId="159">
        <row r="264">
          <cell r="AE264">
            <v>0</v>
          </cell>
        </row>
      </sheetData>
      <sheetData sheetId="160">
        <row r="264">
          <cell r="AE264">
            <v>0</v>
          </cell>
        </row>
      </sheetData>
      <sheetData sheetId="161">
        <row r="264">
          <cell r="AE264">
            <v>0</v>
          </cell>
        </row>
      </sheetData>
      <sheetData sheetId="162">
        <row r="264">
          <cell r="AE264">
            <v>0</v>
          </cell>
        </row>
      </sheetData>
      <sheetData sheetId="163">
        <row r="264">
          <cell r="AE264">
            <v>0</v>
          </cell>
        </row>
      </sheetData>
      <sheetData sheetId="164">
        <row r="264">
          <cell r="AE264">
            <v>0</v>
          </cell>
        </row>
      </sheetData>
      <sheetData sheetId="165">
        <row r="264">
          <cell r="AE264">
            <v>0</v>
          </cell>
        </row>
      </sheetData>
      <sheetData sheetId="166">
        <row r="264">
          <cell r="AE264">
            <v>0</v>
          </cell>
        </row>
      </sheetData>
      <sheetData sheetId="167">
        <row r="264">
          <cell r="AE264">
            <v>0</v>
          </cell>
        </row>
      </sheetData>
      <sheetData sheetId="168">
        <row r="264">
          <cell r="AE264">
            <v>0</v>
          </cell>
        </row>
      </sheetData>
      <sheetData sheetId="169">
        <row r="264">
          <cell r="AE264">
            <v>0</v>
          </cell>
        </row>
      </sheetData>
      <sheetData sheetId="170">
        <row r="264">
          <cell r="AE264">
            <v>0</v>
          </cell>
        </row>
      </sheetData>
      <sheetData sheetId="171">
        <row r="264">
          <cell r="AE264">
            <v>0</v>
          </cell>
        </row>
      </sheetData>
      <sheetData sheetId="172">
        <row r="264">
          <cell r="AE264">
            <v>0</v>
          </cell>
        </row>
      </sheetData>
      <sheetData sheetId="173">
        <row r="264">
          <cell r="AE264">
            <v>0</v>
          </cell>
        </row>
      </sheetData>
      <sheetData sheetId="174">
        <row r="264">
          <cell r="AE264">
            <v>0</v>
          </cell>
        </row>
      </sheetData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>
        <row r="264">
          <cell r="AE264">
            <v>0</v>
          </cell>
        </row>
      </sheetData>
      <sheetData sheetId="185">
        <row r="264">
          <cell r="AE264">
            <v>0</v>
          </cell>
        </row>
      </sheetData>
      <sheetData sheetId="186">
        <row r="264">
          <cell r="AE264">
            <v>0</v>
          </cell>
        </row>
      </sheetData>
      <sheetData sheetId="187">
        <row r="264">
          <cell r="AE264">
            <v>0</v>
          </cell>
        </row>
      </sheetData>
      <sheetData sheetId="188">
        <row r="264">
          <cell r="AE264">
            <v>0</v>
          </cell>
        </row>
      </sheetData>
      <sheetData sheetId="189">
        <row r="264">
          <cell r="AE264">
            <v>0</v>
          </cell>
        </row>
      </sheetData>
      <sheetData sheetId="190">
        <row r="264">
          <cell r="AE264">
            <v>0</v>
          </cell>
        </row>
      </sheetData>
      <sheetData sheetId="191">
        <row r="264">
          <cell r="AE264">
            <v>0</v>
          </cell>
        </row>
      </sheetData>
      <sheetData sheetId="192">
        <row r="264">
          <cell r="AE264">
            <v>0</v>
          </cell>
        </row>
      </sheetData>
      <sheetData sheetId="193">
        <row r="264">
          <cell r="AE264">
            <v>0</v>
          </cell>
        </row>
      </sheetData>
      <sheetData sheetId="194"/>
      <sheetData sheetId="195">
        <row r="264">
          <cell r="AE264">
            <v>0</v>
          </cell>
        </row>
      </sheetData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>
        <row r="264">
          <cell r="AE264">
            <v>0</v>
          </cell>
        </row>
      </sheetData>
      <sheetData sheetId="208">
        <row r="264">
          <cell r="AE264">
            <v>0</v>
          </cell>
        </row>
      </sheetData>
      <sheetData sheetId="209">
        <row r="264">
          <cell r="AE264">
            <v>0</v>
          </cell>
        </row>
      </sheetData>
      <sheetData sheetId="210">
        <row r="264">
          <cell r="AE264">
            <v>0</v>
          </cell>
        </row>
      </sheetData>
      <sheetData sheetId="211">
        <row r="264">
          <cell r="AE264">
            <v>0</v>
          </cell>
        </row>
      </sheetData>
      <sheetData sheetId="212">
        <row r="264">
          <cell r="AE264">
            <v>0</v>
          </cell>
        </row>
      </sheetData>
      <sheetData sheetId="213">
        <row r="264">
          <cell r="AE264">
            <v>0</v>
          </cell>
        </row>
      </sheetData>
      <sheetData sheetId="214">
        <row r="264">
          <cell r="AE264">
            <v>0</v>
          </cell>
        </row>
      </sheetData>
      <sheetData sheetId="215">
        <row r="264">
          <cell r="AE264">
            <v>0</v>
          </cell>
        </row>
      </sheetData>
      <sheetData sheetId="216">
        <row r="264">
          <cell r="AE264">
            <v>0</v>
          </cell>
        </row>
      </sheetData>
      <sheetData sheetId="217"/>
      <sheetData sheetId="218">
        <row r="264">
          <cell r="AE264">
            <v>0</v>
          </cell>
        </row>
      </sheetData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>
        <row r="264">
          <cell r="AE264">
            <v>0</v>
          </cell>
        </row>
      </sheetData>
      <sheetData sheetId="231">
        <row r="264">
          <cell r="AE264">
            <v>0</v>
          </cell>
        </row>
      </sheetData>
      <sheetData sheetId="232">
        <row r="264">
          <cell r="AE264">
            <v>0</v>
          </cell>
        </row>
      </sheetData>
      <sheetData sheetId="233">
        <row r="264">
          <cell r="AE264">
            <v>0</v>
          </cell>
        </row>
      </sheetData>
      <sheetData sheetId="234">
        <row r="264">
          <cell r="AE264">
            <v>0</v>
          </cell>
        </row>
      </sheetData>
      <sheetData sheetId="235">
        <row r="264">
          <cell r="AE264">
            <v>0</v>
          </cell>
        </row>
      </sheetData>
      <sheetData sheetId="236">
        <row r="264">
          <cell r="AE264">
            <v>0</v>
          </cell>
        </row>
      </sheetData>
      <sheetData sheetId="237">
        <row r="264">
          <cell r="AE264">
            <v>0</v>
          </cell>
        </row>
      </sheetData>
      <sheetData sheetId="238">
        <row r="264">
          <cell r="AE264">
            <v>0</v>
          </cell>
        </row>
      </sheetData>
      <sheetData sheetId="239">
        <row r="264">
          <cell r="AE264">
            <v>0</v>
          </cell>
        </row>
      </sheetData>
      <sheetData sheetId="240"/>
      <sheetData sheetId="241">
        <row r="264">
          <cell r="AE264">
            <v>0</v>
          </cell>
        </row>
      </sheetData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>
        <row r="264">
          <cell r="AE264">
            <v>0</v>
          </cell>
        </row>
      </sheetData>
      <sheetData sheetId="254">
        <row r="264">
          <cell r="AE264">
            <v>0</v>
          </cell>
        </row>
      </sheetData>
      <sheetData sheetId="255">
        <row r="264">
          <cell r="AE264">
            <v>0</v>
          </cell>
        </row>
      </sheetData>
      <sheetData sheetId="256">
        <row r="264">
          <cell r="AE264">
            <v>0</v>
          </cell>
        </row>
      </sheetData>
      <sheetData sheetId="257">
        <row r="264">
          <cell r="AE264">
            <v>0</v>
          </cell>
        </row>
      </sheetData>
      <sheetData sheetId="258">
        <row r="264">
          <cell r="AE264">
            <v>0</v>
          </cell>
        </row>
      </sheetData>
      <sheetData sheetId="259">
        <row r="264">
          <cell r="AE264">
            <v>0</v>
          </cell>
        </row>
      </sheetData>
      <sheetData sheetId="260">
        <row r="264">
          <cell r="AE264">
            <v>0</v>
          </cell>
        </row>
      </sheetData>
      <sheetData sheetId="261">
        <row r="264">
          <cell r="AE264">
            <v>0</v>
          </cell>
        </row>
      </sheetData>
      <sheetData sheetId="262">
        <row r="264">
          <cell r="AE264">
            <v>0</v>
          </cell>
        </row>
      </sheetData>
      <sheetData sheetId="263"/>
      <sheetData sheetId="264">
        <row r="264">
          <cell r="AE264">
            <v>0</v>
          </cell>
        </row>
      </sheetData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>
        <row r="264">
          <cell r="AE264">
            <v>0</v>
          </cell>
        </row>
      </sheetData>
      <sheetData sheetId="274">
        <row r="264">
          <cell r="AE264">
            <v>0</v>
          </cell>
        </row>
      </sheetData>
      <sheetData sheetId="275">
        <row r="264">
          <cell r="AE264">
            <v>0</v>
          </cell>
        </row>
      </sheetData>
      <sheetData sheetId="276">
        <row r="264">
          <cell r="AE264">
            <v>0</v>
          </cell>
        </row>
      </sheetData>
      <sheetData sheetId="277">
        <row r="264">
          <cell r="AE264">
            <v>0</v>
          </cell>
        </row>
      </sheetData>
      <sheetData sheetId="278">
        <row r="264">
          <cell r="AE264">
            <v>0</v>
          </cell>
        </row>
      </sheetData>
      <sheetData sheetId="279">
        <row r="264">
          <cell r="AE264">
            <v>0</v>
          </cell>
        </row>
      </sheetData>
      <sheetData sheetId="280">
        <row r="264">
          <cell r="AE264">
            <v>0</v>
          </cell>
        </row>
      </sheetData>
      <sheetData sheetId="281">
        <row r="264">
          <cell r="AE264">
            <v>0</v>
          </cell>
        </row>
      </sheetData>
      <sheetData sheetId="282">
        <row r="264">
          <cell r="AE264">
            <v>0</v>
          </cell>
        </row>
      </sheetData>
      <sheetData sheetId="283">
        <row r="264">
          <cell r="AE264">
            <v>0</v>
          </cell>
        </row>
      </sheetData>
      <sheetData sheetId="284">
        <row r="264">
          <cell r="AE264">
            <v>0</v>
          </cell>
        </row>
      </sheetData>
      <sheetData sheetId="285">
        <row r="264">
          <cell r="AE264">
            <v>0</v>
          </cell>
        </row>
      </sheetData>
      <sheetData sheetId="286">
        <row r="264">
          <cell r="AE264">
            <v>0</v>
          </cell>
        </row>
      </sheetData>
      <sheetData sheetId="287">
        <row r="264">
          <cell r="AE264">
            <v>0</v>
          </cell>
        </row>
      </sheetData>
      <sheetData sheetId="288">
        <row r="264">
          <cell r="AE264">
            <v>0</v>
          </cell>
        </row>
      </sheetData>
      <sheetData sheetId="289"/>
      <sheetData sheetId="290"/>
      <sheetData sheetId="291"/>
      <sheetData sheetId="292"/>
      <sheetData sheetId="293"/>
      <sheetData sheetId="294">
        <row r="264">
          <cell r="AE264">
            <v>0</v>
          </cell>
        </row>
      </sheetData>
      <sheetData sheetId="295">
        <row r="264">
          <cell r="AE264">
            <v>0</v>
          </cell>
        </row>
      </sheetData>
      <sheetData sheetId="296">
        <row r="264">
          <cell r="AE264">
            <v>0</v>
          </cell>
        </row>
      </sheetData>
      <sheetData sheetId="297">
        <row r="264">
          <cell r="AE264">
            <v>0</v>
          </cell>
        </row>
      </sheetData>
      <sheetData sheetId="298">
        <row r="264">
          <cell r="AE264">
            <v>0</v>
          </cell>
        </row>
      </sheetData>
      <sheetData sheetId="299">
        <row r="264">
          <cell r="AE264">
            <v>0</v>
          </cell>
        </row>
      </sheetData>
      <sheetData sheetId="300">
        <row r="264">
          <cell r="AE264">
            <v>0</v>
          </cell>
        </row>
      </sheetData>
      <sheetData sheetId="301">
        <row r="264">
          <cell r="AE264">
            <v>0</v>
          </cell>
        </row>
      </sheetData>
      <sheetData sheetId="302">
        <row r="264">
          <cell r="AE264">
            <v>0</v>
          </cell>
        </row>
      </sheetData>
      <sheetData sheetId="303">
        <row r="264">
          <cell r="AE264">
            <v>0</v>
          </cell>
        </row>
      </sheetData>
      <sheetData sheetId="304">
        <row r="264">
          <cell r="AE264">
            <v>0</v>
          </cell>
        </row>
      </sheetData>
      <sheetData sheetId="305">
        <row r="264">
          <cell r="AE264">
            <v>0</v>
          </cell>
        </row>
      </sheetData>
      <sheetData sheetId="306">
        <row r="264">
          <cell r="AE264">
            <v>0</v>
          </cell>
        </row>
      </sheetData>
      <sheetData sheetId="307">
        <row r="264">
          <cell r="AE264">
            <v>0</v>
          </cell>
        </row>
      </sheetData>
      <sheetData sheetId="308">
        <row r="264">
          <cell r="AE264">
            <v>0</v>
          </cell>
        </row>
      </sheetData>
      <sheetData sheetId="309"/>
      <sheetData sheetId="310">
        <row r="264">
          <cell r="AE264">
            <v>0</v>
          </cell>
        </row>
      </sheetData>
      <sheetData sheetId="311"/>
      <sheetData sheetId="312"/>
      <sheetData sheetId="313"/>
      <sheetData sheetId="314" refreshError="1"/>
      <sheetData sheetId="315"/>
      <sheetData sheetId="316"/>
      <sheetData sheetId="317"/>
      <sheetData sheetId="318"/>
      <sheetData sheetId="319"/>
      <sheetData sheetId="320"/>
      <sheetData sheetId="321">
        <row r="264">
          <cell r="AE264">
            <v>0</v>
          </cell>
        </row>
      </sheetData>
      <sheetData sheetId="322">
        <row r="264">
          <cell r="AE264">
            <v>0</v>
          </cell>
        </row>
      </sheetData>
      <sheetData sheetId="323">
        <row r="264">
          <cell r="AE264">
            <v>0</v>
          </cell>
        </row>
      </sheetData>
      <sheetData sheetId="324">
        <row r="264">
          <cell r="AE264">
            <v>0</v>
          </cell>
        </row>
      </sheetData>
      <sheetData sheetId="325">
        <row r="264">
          <cell r="AE264">
            <v>0</v>
          </cell>
        </row>
      </sheetData>
      <sheetData sheetId="326">
        <row r="264">
          <cell r="AE264">
            <v>0</v>
          </cell>
        </row>
      </sheetData>
      <sheetData sheetId="327">
        <row r="264">
          <cell r="AE264">
            <v>0</v>
          </cell>
        </row>
      </sheetData>
      <sheetData sheetId="328">
        <row r="264">
          <cell r="AE264">
            <v>0</v>
          </cell>
        </row>
      </sheetData>
      <sheetData sheetId="329">
        <row r="264">
          <cell r="AE264">
            <v>0</v>
          </cell>
        </row>
      </sheetData>
      <sheetData sheetId="330">
        <row r="264">
          <cell r="AE264">
            <v>0</v>
          </cell>
        </row>
      </sheetData>
      <sheetData sheetId="331">
        <row r="264">
          <cell r="AE264">
            <v>0</v>
          </cell>
        </row>
      </sheetData>
      <sheetData sheetId="332">
        <row r="264">
          <cell r="AE264">
            <v>0</v>
          </cell>
        </row>
      </sheetData>
      <sheetData sheetId="333">
        <row r="264">
          <cell r="AE264">
            <v>0</v>
          </cell>
        </row>
      </sheetData>
      <sheetData sheetId="334">
        <row r="264">
          <cell r="AE264">
            <v>0</v>
          </cell>
        </row>
      </sheetData>
      <sheetData sheetId="335">
        <row r="264">
          <cell r="AE264">
            <v>0</v>
          </cell>
        </row>
      </sheetData>
      <sheetData sheetId="336">
        <row r="264">
          <cell r="AE264">
            <v>0</v>
          </cell>
        </row>
      </sheetData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>
        <row r="264">
          <cell r="AE264">
            <v>0</v>
          </cell>
        </row>
      </sheetData>
      <sheetData sheetId="346">
        <row r="264">
          <cell r="AE264">
            <v>0</v>
          </cell>
        </row>
      </sheetData>
      <sheetData sheetId="347">
        <row r="264">
          <cell r="AE264">
            <v>0</v>
          </cell>
        </row>
      </sheetData>
      <sheetData sheetId="348">
        <row r="264">
          <cell r="AE264">
            <v>0</v>
          </cell>
        </row>
      </sheetData>
      <sheetData sheetId="349">
        <row r="264">
          <cell r="AE264">
            <v>0</v>
          </cell>
        </row>
      </sheetData>
      <sheetData sheetId="350">
        <row r="264">
          <cell r="AE264">
            <v>0</v>
          </cell>
        </row>
      </sheetData>
      <sheetData sheetId="351">
        <row r="264">
          <cell r="AE264">
            <v>0</v>
          </cell>
        </row>
      </sheetData>
      <sheetData sheetId="352">
        <row r="264">
          <cell r="AE264">
            <v>0</v>
          </cell>
        </row>
      </sheetData>
      <sheetData sheetId="353">
        <row r="264">
          <cell r="AE264">
            <v>0</v>
          </cell>
        </row>
      </sheetData>
      <sheetData sheetId="354">
        <row r="264">
          <cell r="AE264">
            <v>0</v>
          </cell>
        </row>
      </sheetData>
      <sheetData sheetId="355">
        <row r="264">
          <cell r="AE264">
            <v>0</v>
          </cell>
        </row>
      </sheetData>
      <sheetData sheetId="356">
        <row r="264">
          <cell r="AE264">
            <v>0</v>
          </cell>
        </row>
      </sheetData>
      <sheetData sheetId="357">
        <row r="264">
          <cell r="AE264">
            <v>0</v>
          </cell>
        </row>
      </sheetData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>
        <row r="264">
          <cell r="AE264">
            <v>0</v>
          </cell>
        </row>
      </sheetData>
      <sheetData sheetId="367">
        <row r="264">
          <cell r="AE264">
            <v>0</v>
          </cell>
        </row>
      </sheetData>
      <sheetData sheetId="368">
        <row r="264">
          <cell r="AE264">
            <v>0</v>
          </cell>
        </row>
      </sheetData>
      <sheetData sheetId="369">
        <row r="264">
          <cell r="AE264">
            <v>0</v>
          </cell>
        </row>
      </sheetData>
      <sheetData sheetId="370">
        <row r="264">
          <cell r="AE264">
            <v>0</v>
          </cell>
        </row>
      </sheetData>
      <sheetData sheetId="371">
        <row r="264">
          <cell r="AE264">
            <v>0</v>
          </cell>
        </row>
      </sheetData>
      <sheetData sheetId="372">
        <row r="264">
          <cell r="AE264">
            <v>0</v>
          </cell>
        </row>
      </sheetData>
      <sheetData sheetId="373">
        <row r="264">
          <cell r="AE264">
            <v>0</v>
          </cell>
        </row>
      </sheetData>
      <sheetData sheetId="374">
        <row r="264">
          <cell r="AE264">
            <v>0</v>
          </cell>
        </row>
      </sheetData>
      <sheetData sheetId="375">
        <row r="264">
          <cell r="AE264">
            <v>0</v>
          </cell>
        </row>
      </sheetData>
      <sheetData sheetId="376">
        <row r="264">
          <cell r="AE264">
            <v>0</v>
          </cell>
        </row>
      </sheetData>
      <sheetData sheetId="377">
        <row r="264">
          <cell r="AE264">
            <v>0</v>
          </cell>
        </row>
      </sheetData>
      <sheetData sheetId="378">
        <row r="264">
          <cell r="AE264">
            <v>0</v>
          </cell>
        </row>
      </sheetData>
      <sheetData sheetId="379">
        <row r="264">
          <cell r="AE264">
            <v>0</v>
          </cell>
        </row>
      </sheetData>
      <sheetData sheetId="380">
        <row r="264">
          <cell r="AE264">
            <v>0</v>
          </cell>
        </row>
      </sheetData>
      <sheetData sheetId="381">
        <row r="264">
          <cell r="AE264">
            <v>0</v>
          </cell>
        </row>
      </sheetData>
      <sheetData sheetId="382">
        <row r="264">
          <cell r="AE264">
            <v>0</v>
          </cell>
        </row>
      </sheetData>
      <sheetData sheetId="383"/>
      <sheetData sheetId="384"/>
      <sheetData sheetId="385"/>
      <sheetData sheetId="386"/>
      <sheetData sheetId="387"/>
      <sheetData sheetId="388">
        <row r="264">
          <cell r="AE264">
            <v>0</v>
          </cell>
        </row>
      </sheetData>
      <sheetData sheetId="389">
        <row r="264">
          <cell r="AE264">
            <v>0</v>
          </cell>
        </row>
      </sheetData>
      <sheetData sheetId="390">
        <row r="264">
          <cell r="AE264">
            <v>0</v>
          </cell>
        </row>
      </sheetData>
      <sheetData sheetId="391">
        <row r="264">
          <cell r="AE264">
            <v>0</v>
          </cell>
        </row>
      </sheetData>
      <sheetData sheetId="392">
        <row r="264">
          <cell r="AE264">
            <v>0</v>
          </cell>
        </row>
      </sheetData>
      <sheetData sheetId="393">
        <row r="264">
          <cell r="AE264">
            <v>0</v>
          </cell>
        </row>
      </sheetData>
      <sheetData sheetId="394">
        <row r="264">
          <cell r="AE264">
            <v>0</v>
          </cell>
        </row>
      </sheetData>
      <sheetData sheetId="395">
        <row r="264">
          <cell r="AE264">
            <v>0</v>
          </cell>
        </row>
      </sheetData>
      <sheetData sheetId="396">
        <row r="264">
          <cell r="AE264">
            <v>0</v>
          </cell>
        </row>
      </sheetData>
      <sheetData sheetId="397">
        <row r="264">
          <cell r="AE264">
            <v>0</v>
          </cell>
        </row>
      </sheetData>
      <sheetData sheetId="398">
        <row r="264">
          <cell r="AE264">
            <v>0</v>
          </cell>
        </row>
      </sheetData>
      <sheetData sheetId="399">
        <row r="264">
          <cell r="AE264">
            <v>0</v>
          </cell>
        </row>
      </sheetData>
      <sheetData sheetId="400">
        <row r="264">
          <cell r="AE264">
            <v>0</v>
          </cell>
        </row>
      </sheetData>
      <sheetData sheetId="401">
        <row r="264">
          <cell r="AE264">
            <v>0</v>
          </cell>
        </row>
      </sheetData>
      <sheetData sheetId="402">
        <row r="264">
          <cell r="AE264">
            <v>0</v>
          </cell>
        </row>
      </sheetData>
      <sheetData sheetId="403">
        <row r="264">
          <cell r="AE264">
            <v>0</v>
          </cell>
        </row>
      </sheetData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>
        <row r="264">
          <cell r="AE264">
            <v>0</v>
          </cell>
        </row>
      </sheetData>
      <sheetData sheetId="413">
        <row r="264">
          <cell r="AE264">
            <v>0</v>
          </cell>
        </row>
      </sheetData>
      <sheetData sheetId="414">
        <row r="264">
          <cell r="AE264">
            <v>0</v>
          </cell>
        </row>
      </sheetData>
      <sheetData sheetId="415">
        <row r="264">
          <cell r="AE264">
            <v>0</v>
          </cell>
        </row>
      </sheetData>
      <sheetData sheetId="416">
        <row r="264">
          <cell r="AE264">
            <v>0</v>
          </cell>
        </row>
      </sheetData>
      <sheetData sheetId="417">
        <row r="264">
          <cell r="AE264">
            <v>0</v>
          </cell>
        </row>
      </sheetData>
      <sheetData sheetId="418">
        <row r="264">
          <cell r="AE264">
            <v>0</v>
          </cell>
        </row>
      </sheetData>
      <sheetData sheetId="419">
        <row r="264">
          <cell r="AE264">
            <v>0</v>
          </cell>
        </row>
      </sheetData>
      <sheetData sheetId="420">
        <row r="264">
          <cell r="AE264">
            <v>0</v>
          </cell>
        </row>
      </sheetData>
      <sheetData sheetId="421">
        <row r="264">
          <cell r="AE264">
            <v>0</v>
          </cell>
        </row>
      </sheetData>
      <sheetData sheetId="422">
        <row r="264">
          <cell r="AE264">
            <v>0</v>
          </cell>
        </row>
      </sheetData>
      <sheetData sheetId="423">
        <row r="264">
          <cell r="AE264">
            <v>0</v>
          </cell>
        </row>
      </sheetData>
      <sheetData sheetId="424">
        <row r="264">
          <cell r="AE264">
            <v>0</v>
          </cell>
        </row>
      </sheetData>
      <sheetData sheetId="425">
        <row r="264">
          <cell r="AE264">
            <v>0</v>
          </cell>
        </row>
      </sheetData>
      <sheetData sheetId="426">
        <row r="264">
          <cell r="AE264">
            <v>0</v>
          </cell>
        </row>
      </sheetData>
      <sheetData sheetId="427">
        <row r="264">
          <cell r="AE264">
            <v>0</v>
          </cell>
        </row>
      </sheetData>
      <sheetData sheetId="428">
        <row r="264">
          <cell r="AE264">
            <v>0</v>
          </cell>
        </row>
      </sheetData>
      <sheetData sheetId="429"/>
      <sheetData sheetId="430"/>
      <sheetData sheetId="431"/>
      <sheetData sheetId="432"/>
      <sheetData sheetId="433"/>
      <sheetData sheetId="434">
        <row r="264">
          <cell r="AE264">
            <v>0</v>
          </cell>
        </row>
      </sheetData>
      <sheetData sheetId="435">
        <row r="264">
          <cell r="AE264">
            <v>0</v>
          </cell>
        </row>
      </sheetData>
      <sheetData sheetId="436">
        <row r="264">
          <cell r="AE264">
            <v>0</v>
          </cell>
        </row>
      </sheetData>
      <sheetData sheetId="437">
        <row r="264">
          <cell r="AE264">
            <v>0</v>
          </cell>
        </row>
      </sheetData>
      <sheetData sheetId="438">
        <row r="264">
          <cell r="AE264">
            <v>0</v>
          </cell>
        </row>
      </sheetData>
      <sheetData sheetId="439">
        <row r="264">
          <cell r="AE264">
            <v>0</v>
          </cell>
        </row>
      </sheetData>
      <sheetData sheetId="440">
        <row r="264">
          <cell r="AE264">
            <v>0</v>
          </cell>
        </row>
      </sheetData>
      <sheetData sheetId="441">
        <row r="264">
          <cell r="AE264">
            <v>0</v>
          </cell>
        </row>
      </sheetData>
      <sheetData sheetId="442">
        <row r="264">
          <cell r="AE264">
            <v>0</v>
          </cell>
        </row>
      </sheetData>
      <sheetData sheetId="443">
        <row r="264">
          <cell r="AE264">
            <v>0</v>
          </cell>
        </row>
      </sheetData>
      <sheetData sheetId="444">
        <row r="264">
          <cell r="AE264">
            <v>0</v>
          </cell>
        </row>
      </sheetData>
      <sheetData sheetId="445">
        <row r="264">
          <cell r="AE264">
            <v>0</v>
          </cell>
        </row>
      </sheetData>
      <sheetData sheetId="446">
        <row r="264">
          <cell r="AE264">
            <v>0</v>
          </cell>
        </row>
      </sheetData>
      <sheetData sheetId="447">
        <row r="264">
          <cell r="AE264">
            <v>0</v>
          </cell>
        </row>
      </sheetData>
      <sheetData sheetId="448">
        <row r="264">
          <cell r="AE264">
            <v>0</v>
          </cell>
        </row>
      </sheetData>
      <sheetData sheetId="449">
        <row r="264">
          <cell r="AE264">
            <v>0</v>
          </cell>
        </row>
      </sheetData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>
        <row r="264">
          <cell r="AE264">
            <v>0</v>
          </cell>
        </row>
      </sheetData>
      <sheetData sheetId="459">
        <row r="264">
          <cell r="AE264">
            <v>0</v>
          </cell>
        </row>
      </sheetData>
      <sheetData sheetId="460">
        <row r="264">
          <cell r="AE264">
            <v>0</v>
          </cell>
        </row>
      </sheetData>
      <sheetData sheetId="461">
        <row r="264">
          <cell r="AE264">
            <v>0</v>
          </cell>
        </row>
      </sheetData>
      <sheetData sheetId="462">
        <row r="264">
          <cell r="AE264">
            <v>0</v>
          </cell>
        </row>
      </sheetData>
      <sheetData sheetId="463">
        <row r="264">
          <cell r="AE264">
            <v>0</v>
          </cell>
        </row>
      </sheetData>
      <sheetData sheetId="464">
        <row r="264">
          <cell r="AE264">
            <v>0</v>
          </cell>
        </row>
      </sheetData>
      <sheetData sheetId="465">
        <row r="264">
          <cell r="AE264">
            <v>0</v>
          </cell>
        </row>
      </sheetData>
      <sheetData sheetId="466">
        <row r="264">
          <cell r="AE264">
            <v>0</v>
          </cell>
        </row>
      </sheetData>
      <sheetData sheetId="467">
        <row r="264">
          <cell r="AE264">
            <v>0</v>
          </cell>
        </row>
      </sheetData>
      <sheetData sheetId="468">
        <row r="264">
          <cell r="AE264">
            <v>0</v>
          </cell>
        </row>
      </sheetData>
      <sheetData sheetId="469">
        <row r="264">
          <cell r="AE264">
            <v>0</v>
          </cell>
        </row>
      </sheetData>
      <sheetData sheetId="470">
        <row r="264">
          <cell r="AE264">
            <v>0</v>
          </cell>
        </row>
      </sheetData>
      <sheetData sheetId="471">
        <row r="264">
          <cell r="AE264">
            <v>0</v>
          </cell>
        </row>
      </sheetData>
      <sheetData sheetId="472">
        <row r="264">
          <cell r="AE264">
            <v>0</v>
          </cell>
        </row>
      </sheetData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>
        <row r="264">
          <cell r="AE264">
            <v>0</v>
          </cell>
        </row>
      </sheetData>
      <sheetData sheetId="482">
        <row r="264">
          <cell r="AE264">
            <v>0</v>
          </cell>
        </row>
      </sheetData>
      <sheetData sheetId="483">
        <row r="264">
          <cell r="AE264">
            <v>0</v>
          </cell>
        </row>
      </sheetData>
      <sheetData sheetId="484">
        <row r="264">
          <cell r="AE264">
            <v>0</v>
          </cell>
        </row>
      </sheetData>
      <sheetData sheetId="485">
        <row r="264">
          <cell r="AE264">
            <v>0</v>
          </cell>
        </row>
      </sheetData>
      <sheetData sheetId="486">
        <row r="264">
          <cell r="AE264">
            <v>0</v>
          </cell>
        </row>
      </sheetData>
      <sheetData sheetId="487">
        <row r="264">
          <cell r="AE264">
            <v>0</v>
          </cell>
        </row>
      </sheetData>
      <sheetData sheetId="488">
        <row r="264">
          <cell r="AE264">
            <v>0</v>
          </cell>
        </row>
      </sheetData>
      <sheetData sheetId="489">
        <row r="264">
          <cell r="AE264">
            <v>0</v>
          </cell>
        </row>
      </sheetData>
      <sheetData sheetId="490">
        <row r="264">
          <cell r="AE264">
            <v>0</v>
          </cell>
        </row>
      </sheetData>
      <sheetData sheetId="491">
        <row r="264">
          <cell r="AE264">
            <v>0</v>
          </cell>
        </row>
      </sheetData>
      <sheetData sheetId="492">
        <row r="264">
          <cell r="AE264">
            <v>0</v>
          </cell>
        </row>
      </sheetData>
      <sheetData sheetId="493">
        <row r="264">
          <cell r="AE264">
            <v>0</v>
          </cell>
        </row>
      </sheetData>
      <sheetData sheetId="494">
        <row r="264">
          <cell r="AE264">
            <v>0</v>
          </cell>
        </row>
      </sheetData>
      <sheetData sheetId="495">
        <row r="264">
          <cell r="AE264">
            <v>0</v>
          </cell>
        </row>
      </sheetData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>
        <row r="264">
          <cell r="AE264">
            <v>0</v>
          </cell>
        </row>
      </sheetData>
      <sheetData sheetId="505">
        <row r="264">
          <cell r="AE264">
            <v>0</v>
          </cell>
        </row>
      </sheetData>
      <sheetData sheetId="506">
        <row r="264">
          <cell r="AE264">
            <v>0</v>
          </cell>
        </row>
      </sheetData>
      <sheetData sheetId="507">
        <row r="264">
          <cell r="AE264">
            <v>0</v>
          </cell>
        </row>
      </sheetData>
      <sheetData sheetId="508">
        <row r="264">
          <cell r="AE264">
            <v>0</v>
          </cell>
        </row>
      </sheetData>
      <sheetData sheetId="509">
        <row r="264">
          <cell r="AE264">
            <v>0</v>
          </cell>
        </row>
      </sheetData>
      <sheetData sheetId="510">
        <row r="264">
          <cell r="AE264">
            <v>0</v>
          </cell>
        </row>
      </sheetData>
      <sheetData sheetId="511">
        <row r="264">
          <cell r="AE264">
            <v>0</v>
          </cell>
        </row>
      </sheetData>
      <sheetData sheetId="512">
        <row r="264">
          <cell r="AE264">
            <v>0</v>
          </cell>
        </row>
      </sheetData>
      <sheetData sheetId="513">
        <row r="264">
          <cell r="AE264">
            <v>0</v>
          </cell>
        </row>
      </sheetData>
      <sheetData sheetId="514">
        <row r="264">
          <cell r="AE264">
            <v>0</v>
          </cell>
        </row>
      </sheetData>
      <sheetData sheetId="515">
        <row r="264">
          <cell r="AE264">
            <v>0</v>
          </cell>
        </row>
      </sheetData>
      <sheetData sheetId="516">
        <row r="264">
          <cell r="AE264">
            <v>0</v>
          </cell>
        </row>
      </sheetData>
      <sheetData sheetId="517">
        <row r="264">
          <cell r="AE264">
            <v>0</v>
          </cell>
        </row>
      </sheetData>
      <sheetData sheetId="518">
        <row r="264">
          <cell r="AE264">
            <v>0</v>
          </cell>
        </row>
      </sheetData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64">
          <cell r="AE264">
            <v>0</v>
          </cell>
        </row>
      </sheetData>
      <sheetData sheetId="528">
        <row r="264">
          <cell r="AE264">
            <v>0</v>
          </cell>
        </row>
      </sheetData>
      <sheetData sheetId="529">
        <row r="264">
          <cell r="AE264">
            <v>0</v>
          </cell>
        </row>
      </sheetData>
      <sheetData sheetId="530">
        <row r="264">
          <cell r="AE264">
            <v>0</v>
          </cell>
        </row>
      </sheetData>
      <sheetData sheetId="531">
        <row r="264">
          <cell r="AE264">
            <v>0</v>
          </cell>
        </row>
      </sheetData>
      <sheetData sheetId="532">
        <row r="264">
          <cell r="AE264">
            <v>0</v>
          </cell>
        </row>
      </sheetData>
      <sheetData sheetId="533">
        <row r="264">
          <cell r="AE264">
            <v>0</v>
          </cell>
        </row>
      </sheetData>
      <sheetData sheetId="534">
        <row r="264">
          <cell r="AE264">
            <v>0</v>
          </cell>
        </row>
      </sheetData>
      <sheetData sheetId="535">
        <row r="264">
          <cell r="AE264">
            <v>0</v>
          </cell>
        </row>
      </sheetData>
      <sheetData sheetId="536">
        <row r="264">
          <cell r="AE264">
            <v>0</v>
          </cell>
        </row>
      </sheetData>
      <sheetData sheetId="537">
        <row r="264">
          <cell r="AE264">
            <v>0</v>
          </cell>
        </row>
      </sheetData>
      <sheetData sheetId="538">
        <row r="264">
          <cell r="AE264">
            <v>0</v>
          </cell>
        </row>
      </sheetData>
      <sheetData sheetId="539">
        <row r="264">
          <cell r="AE264">
            <v>0</v>
          </cell>
        </row>
      </sheetData>
      <sheetData sheetId="540">
        <row r="264">
          <cell r="AE264">
            <v>0</v>
          </cell>
        </row>
      </sheetData>
      <sheetData sheetId="541">
        <row r="264">
          <cell r="AE264">
            <v>0</v>
          </cell>
        </row>
      </sheetData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>
        <row r="264">
          <cell r="AE264">
            <v>0</v>
          </cell>
        </row>
      </sheetData>
      <sheetData sheetId="551">
        <row r="264">
          <cell r="AE264">
            <v>0</v>
          </cell>
        </row>
      </sheetData>
      <sheetData sheetId="552">
        <row r="264">
          <cell r="AE264">
            <v>0</v>
          </cell>
        </row>
      </sheetData>
      <sheetData sheetId="553">
        <row r="264">
          <cell r="AE264">
            <v>0</v>
          </cell>
        </row>
      </sheetData>
      <sheetData sheetId="554">
        <row r="264">
          <cell r="AE264">
            <v>0</v>
          </cell>
        </row>
      </sheetData>
      <sheetData sheetId="555">
        <row r="264">
          <cell r="AE264">
            <v>0</v>
          </cell>
        </row>
      </sheetData>
      <sheetData sheetId="556">
        <row r="264">
          <cell r="AE264">
            <v>0</v>
          </cell>
        </row>
      </sheetData>
      <sheetData sheetId="557">
        <row r="264">
          <cell r="AE264">
            <v>0</v>
          </cell>
        </row>
      </sheetData>
      <sheetData sheetId="558">
        <row r="264">
          <cell r="AE264">
            <v>0</v>
          </cell>
        </row>
      </sheetData>
      <sheetData sheetId="559">
        <row r="264">
          <cell r="AE264">
            <v>0</v>
          </cell>
        </row>
      </sheetData>
      <sheetData sheetId="560">
        <row r="264">
          <cell r="AE264">
            <v>0</v>
          </cell>
        </row>
      </sheetData>
      <sheetData sheetId="561">
        <row r="264">
          <cell r="AE264">
            <v>0</v>
          </cell>
        </row>
      </sheetData>
      <sheetData sheetId="562">
        <row r="264">
          <cell r="AE264">
            <v>0</v>
          </cell>
        </row>
      </sheetData>
      <sheetData sheetId="563">
        <row r="264">
          <cell r="AE264">
            <v>0</v>
          </cell>
        </row>
      </sheetData>
      <sheetData sheetId="564">
        <row r="264">
          <cell r="AE264">
            <v>0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>
        <row r="264">
          <cell r="AE264">
            <v>0</v>
          </cell>
        </row>
      </sheetData>
      <sheetData sheetId="574">
        <row r="264">
          <cell r="AE264">
            <v>0</v>
          </cell>
        </row>
      </sheetData>
      <sheetData sheetId="575">
        <row r="264">
          <cell r="AE264">
            <v>0</v>
          </cell>
        </row>
      </sheetData>
      <sheetData sheetId="576">
        <row r="264">
          <cell r="AE264">
            <v>0</v>
          </cell>
        </row>
      </sheetData>
      <sheetData sheetId="577">
        <row r="264">
          <cell r="AE264">
            <v>0</v>
          </cell>
        </row>
      </sheetData>
      <sheetData sheetId="578"/>
      <sheetData sheetId="579">
        <row r="264">
          <cell r="AE264">
            <v>0</v>
          </cell>
        </row>
      </sheetData>
      <sheetData sheetId="580">
        <row r="264">
          <cell r="AE264">
            <v>0</v>
          </cell>
        </row>
      </sheetData>
      <sheetData sheetId="581"/>
      <sheetData sheetId="582">
        <row r="264">
          <cell r="AE264">
            <v>0</v>
          </cell>
        </row>
      </sheetData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>
        <row r="264">
          <cell r="AE264">
            <v>0</v>
          </cell>
        </row>
      </sheetData>
      <sheetData sheetId="598">
        <row r="264">
          <cell r="AE264">
            <v>0</v>
          </cell>
        </row>
      </sheetData>
      <sheetData sheetId="599">
        <row r="264">
          <cell r="AE264">
            <v>0</v>
          </cell>
        </row>
      </sheetData>
      <sheetData sheetId="600">
        <row r="264">
          <cell r="AE264">
            <v>0</v>
          </cell>
        </row>
      </sheetData>
      <sheetData sheetId="601">
        <row r="264">
          <cell r="AE264">
            <v>0</v>
          </cell>
        </row>
      </sheetData>
      <sheetData sheetId="602">
        <row r="264">
          <cell r="AE264">
            <v>0</v>
          </cell>
        </row>
      </sheetData>
      <sheetData sheetId="603">
        <row r="264">
          <cell r="AE264">
            <v>0</v>
          </cell>
        </row>
      </sheetData>
      <sheetData sheetId="604">
        <row r="264">
          <cell r="AE264">
            <v>0</v>
          </cell>
        </row>
      </sheetData>
      <sheetData sheetId="605">
        <row r="264">
          <cell r="AE264">
            <v>0</v>
          </cell>
        </row>
      </sheetData>
      <sheetData sheetId="606">
        <row r="264">
          <cell r="AE264">
            <v>0</v>
          </cell>
        </row>
      </sheetData>
      <sheetData sheetId="607">
        <row r="264">
          <cell r="AE264">
            <v>0</v>
          </cell>
        </row>
      </sheetData>
      <sheetData sheetId="608">
        <row r="264">
          <cell r="AE264">
            <v>0</v>
          </cell>
        </row>
      </sheetData>
      <sheetData sheetId="609">
        <row r="264">
          <cell r="AE264">
            <v>0</v>
          </cell>
        </row>
      </sheetData>
      <sheetData sheetId="610">
        <row r="264">
          <cell r="AE264">
            <v>0</v>
          </cell>
        </row>
      </sheetData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>
        <row r="264">
          <cell r="AE264">
            <v>0</v>
          </cell>
        </row>
      </sheetData>
      <sheetData sheetId="620">
        <row r="264">
          <cell r="AE264">
            <v>0</v>
          </cell>
        </row>
      </sheetData>
      <sheetData sheetId="621">
        <row r="264">
          <cell r="AE264">
            <v>0</v>
          </cell>
        </row>
      </sheetData>
      <sheetData sheetId="622">
        <row r="264">
          <cell r="AE264">
            <v>0</v>
          </cell>
        </row>
      </sheetData>
      <sheetData sheetId="623">
        <row r="264">
          <cell r="AE264">
            <v>0</v>
          </cell>
        </row>
      </sheetData>
      <sheetData sheetId="624">
        <row r="264">
          <cell r="AE264">
            <v>0</v>
          </cell>
        </row>
      </sheetData>
      <sheetData sheetId="625">
        <row r="264">
          <cell r="AE264">
            <v>0</v>
          </cell>
        </row>
      </sheetData>
      <sheetData sheetId="626">
        <row r="264">
          <cell r="AE264">
            <v>0</v>
          </cell>
        </row>
      </sheetData>
      <sheetData sheetId="627">
        <row r="264">
          <cell r="AE264">
            <v>0</v>
          </cell>
        </row>
      </sheetData>
      <sheetData sheetId="628">
        <row r="264">
          <cell r="AE264">
            <v>0</v>
          </cell>
        </row>
      </sheetData>
      <sheetData sheetId="629">
        <row r="264">
          <cell r="AE264">
            <v>0</v>
          </cell>
        </row>
      </sheetData>
      <sheetData sheetId="630">
        <row r="264">
          <cell r="AE264">
            <v>0</v>
          </cell>
        </row>
      </sheetData>
      <sheetData sheetId="631">
        <row r="264">
          <cell r="AE264">
            <v>0</v>
          </cell>
        </row>
      </sheetData>
      <sheetData sheetId="632">
        <row r="264">
          <cell r="AE264">
            <v>0</v>
          </cell>
        </row>
      </sheetData>
      <sheetData sheetId="633">
        <row r="264">
          <cell r="AE264">
            <v>0</v>
          </cell>
        </row>
      </sheetData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>
        <row r="264">
          <cell r="AE264">
            <v>0</v>
          </cell>
        </row>
      </sheetData>
      <sheetData sheetId="643">
        <row r="264">
          <cell r="AE264">
            <v>0</v>
          </cell>
        </row>
      </sheetData>
      <sheetData sheetId="644">
        <row r="264">
          <cell r="AE264">
            <v>0</v>
          </cell>
        </row>
      </sheetData>
      <sheetData sheetId="645">
        <row r="264">
          <cell r="AE264">
            <v>0</v>
          </cell>
        </row>
      </sheetData>
      <sheetData sheetId="646">
        <row r="264">
          <cell r="AE264">
            <v>0</v>
          </cell>
        </row>
      </sheetData>
      <sheetData sheetId="647">
        <row r="264">
          <cell r="AE264">
            <v>0</v>
          </cell>
        </row>
      </sheetData>
      <sheetData sheetId="648">
        <row r="264">
          <cell r="AE264">
            <v>0</v>
          </cell>
        </row>
      </sheetData>
      <sheetData sheetId="649">
        <row r="264">
          <cell r="AE264">
            <v>0</v>
          </cell>
        </row>
      </sheetData>
      <sheetData sheetId="650"/>
      <sheetData sheetId="651">
        <row r="264">
          <cell r="AE264">
            <v>0</v>
          </cell>
        </row>
      </sheetData>
      <sheetData sheetId="652">
        <row r="264">
          <cell r="AE264">
            <v>0</v>
          </cell>
        </row>
      </sheetData>
      <sheetData sheetId="653">
        <row r="264">
          <cell r="AE264">
            <v>0</v>
          </cell>
        </row>
      </sheetData>
      <sheetData sheetId="654">
        <row r="264">
          <cell r="AE264">
            <v>0</v>
          </cell>
        </row>
      </sheetData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>
        <row r="264">
          <cell r="AE264">
            <v>0</v>
          </cell>
        </row>
      </sheetData>
      <sheetData sheetId="666">
        <row r="264">
          <cell r="AE264">
            <v>0</v>
          </cell>
        </row>
      </sheetData>
      <sheetData sheetId="667">
        <row r="264">
          <cell r="AE264">
            <v>0</v>
          </cell>
        </row>
      </sheetData>
      <sheetData sheetId="668">
        <row r="264">
          <cell r="AE264">
            <v>0</v>
          </cell>
        </row>
      </sheetData>
      <sheetData sheetId="669">
        <row r="264">
          <cell r="AE264">
            <v>0</v>
          </cell>
        </row>
      </sheetData>
      <sheetData sheetId="670">
        <row r="264">
          <cell r="AE264">
            <v>0</v>
          </cell>
        </row>
      </sheetData>
      <sheetData sheetId="671">
        <row r="264">
          <cell r="AE264">
            <v>0</v>
          </cell>
        </row>
      </sheetData>
      <sheetData sheetId="672">
        <row r="264">
          <cell r="AE264">
            <v>0</v>
          </cell>
        </row>
      </sheetData>
      <sheetData sheetId="673"/>
      <sheetData sheetId="674">
        <row r="264">
          <cell r="AE264">
            <v>0</v>
          </cell>
        </row>
      </sheetData>
      <sheetData sheetId="675">
        <row r="264">
          <cell r="AE264">
            <v>0</v>
          </cell>
        </row>
      </sheetData>
      <sheetData sheetId="676">
        <row r="264">
          <cell r="AE264">
            <v>0</v>
          </cell>
        </row>
      </sheetData>
      <sheetData sheetId="677">
        <row r="264">
          <cell r="AE264">
            <v>0</v>
          </cell>
        </row>
      </sheetData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>
        <row r="264">
          <cell r="AE264">
            <v>0</v>
          </cell>
        </row>
      </sheetData>
      <sheetData sheetId="689">
        <row r="264">
          <cell r="AE264">
            <v>0</v>
          </cell>
        </row>
      </sheetData>
      <sheetData sheetId="690">
        <row r="264">
          <cell r="AE264">
            <v>0</v>
          </cell>
        </row>
      </sheetData>
      <sheetData sheetId="691">
        <row r="264">
          <cell r="AE264">
            <v>0</v>
          </cell>
        </row>
      </sheetData>
      <sheetData sheetId="692">
        <row r="264">
          <cell r="AE264">
            <v>0</v>
          </cell>
        </row>
      </sheetData>
      <sheetData sheetId="693">
        <row r="264">
          <cell r="AE264">
            <v>0</v>
          </cell>
        </row>
      </sheetData>
      <sheetData sheetId="694">
        <row r="264">
          <cell r="AE264">
            <v>0</v>
          </cell>
        </row>
      </sheetData>
      <sheetData sheetId="695">
        <row r="264">
          <cell r="AE264">
            <v>0</v>
          </cell>
        </row>
      </sheetData>
      <sheetData sheetId="696"/>
      <sheetData sheetId="697">
        <row r="264">
          <cell r="AE264">
            <v>0</v>
          </cell>
        </row>
      </sheetData>
      <sheetData sheetId="698">
        <row r="264">
          <cell r="AE264">
            <v>0</v>
          </cell>
        </row>
      </sheetData>
      <sheetData sheetId="699">
        <row r="264">
          <cell r="AE264">
            <v>0</v>
          </cell>
        </row>
      </sheetData>
      <sheetData sheetId="700">
        <row r="264">
          <cell r="AE264">
            <v>0</v>
          </cell>
        </row>
      </sheetData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>
        <row r="264">
          <cell r="AE264">
            <v>0</v>
          </cell>
        </row>
      </sheetData>
      <sheetData sheetId="712">
        <row r="264">
          <cell r="AE264">
            <v>0</v>
          </cell>
        </row>
      </sheetData>
      <sheetData sheetId="713">
        <row r="264">
          <cell r="AE264">
            <v>0</v>
          </cell>
        </row>
      </sheetData>
      <sheetData sheetId="714">
        <row r="264">
          <cell r="AE264">
            <v>0</v>
          </cell>
        </row>
      </sheetData>
      <sheetData sheetId="715">
        <row r="264">
          <cell r="AE264">
            <v>0</v>
          </cell>
        </row>
      </sheetData>
      <sheetData sheetId="716">
        <row r="264">
          <cell r="AE264">
            <v>0</v>
          </cell>
        </row>
      </sheetData>
      <sheetData sheetId="717">
        <row r="264">
          <cell r="AE264">
            <v>0</v>
          </cell>
        </row>
      </sheetData>
      <sheetData sheetId="718">
        <row r="264">
          <cell r="AE264">
            <v>0</v>
          </cell>
        </row>
      </sheetData>
      <sheetData sheetId="719"/>
      <sheetData sheetId="720">
        <row r="264">
          <cell r="AE264">
            <v>0</v>
          </cell>
        </row>
      </sheetData>
      <sheetData sheetId="721">
        <row r="264">
          <cell r="AE264">
            <v>0</v>
          </cell>
        </row>
      </sheetData>
      <sheetData sheetId="722">
        <row r="264">
          <cell r="AE264">
            <v>0</v>
          </cell>
        </row>
      </sheetData>
      <sheetData sheetId="723">
        <row r="264">
          <cell r="AE264">
            <v>0</v>
          </cell>
        </row>
      </sheetData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>
        <row r="264">
          <cell r="AE264">
            <v>0</v>
          </cell>
        </row>
      </sheetData>
      <sheetData sheetId="735">
        <row r="264">
          <cell r="AE264">
            <v>0</v>
          </cell>
        </row>
      </sheetData>
      <sheetData sheetId="736">
        <row r="264">
          <cell r="AE264">
            <v>0</v>
          </cell>
        </row>
      </sheetData>
      <sheetData sheetId="737">
        <row r="264">
          <cell r="AE264">
            <v>0</v>
          </cell>
        </row>
      </sheetData>
      <sheetData sheetId="738">
        <row r="264">
          <cell r="AE264">
            <v>0</v>
          </cell>
        </row>
      </sheetData>
      <sheetData sheetId="739">
        <row r="264">
          <cell r="AE264">
            <v>0</v>
          </cell>
        </row>
      </sheetData>
      <sheetData sheetId="740">
        <row r="264">
          <cell r="AE264">
            <v>0</v>
          </cell>
        </row>
      </sheetData>
      <sheetData sheetId="741">
        <row r="264">
          <cell r="AE264">
            <v>0</v>
          </cell>
        </row>
      </sheetData>
      <sheetData sheetId="742"/>
      <sheetData sheetId="743">
        <row r="264">
          <cell r="AE264">
            <v>0</v>
          </cell>
        </row>
      </sheetData>
      <sheetData sheetId="744">
        <row r="264">
          <cell r="AE264">
            <v>0</v>
          </cell>
        </row>
      </sheetData>
      <sheetData sheetId="745">
        <row r="264">
          <cell r="AE264">
            <v>0</v>
          </cell>
        </row>
      </sheetData>
      <sheetData sheetId="746">
        <row r="264">
          <cell r="AE264">
            <v>0</v>
          </cell>
        </row>
      </sheetData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>
        <row r="264">
          <cell r="AE264">
            <v>0</v>
          </cell>
        </row>
      </sheetData>
      <sheetData sheetId="758">
        <row r="264">
          <cell r="AE264">
            <v>0</v>
          </cell>
        </row>
      </sheetData>
      <sheetData sheetId="759">
        <row r="264">
          <cell r="AE264">
            <v>0</v>
          </cell>
        </row>
      </sheetData>
      <sheetData sheetId="760">
        <row r="264">
          <cell r="AE264">
            <v>0</v>
          </cell>
        </row>
      </sheetData>
      <sheetData sheetId="761">
        <row r="264">
          <cell r="AE264">
            <v>0</v>
          </cell>
        </row>
      </sheetData>
      <sheetData sheetId="762">
        <row r="264">
          <cell r="AE264">
            <v>0</v>
          </cell>
        </row>
      </sheetData>
      <sheetData sheetId="763">
        <row r="264">
          <cell r="AE264">
            <v>0</v>
          </cell>
        </row>
      </sheetData>
      <sheetData sheetId="764">
        <row r="264">
          <cell r="AE264">
            <v>0</v>
          </cell>
        </row>
      </sheetData>
      <sheetData sheetId="765"/>
      <sheetData sheetId="766">
        <row r="264">
          <cell r="AE264">
            <v>0</v>
          </cell>
        </row>
      </sheetData>
      <sheetData sheetId="767">
        <row r="264">
          <cell r="AE264">
            <v>0</v>
          </cell>
        </row>
      </sheetData>
      <sheetData sheetId="768">
        <row r="264">
          <cell r="AE264">
            <v>0</v>
          </cell>
        </row>
      </sheetData>
      <sheetData sheetId="769">
        <row r="264">
          <cell r="AE264">
            <v>0</v>
          </cell>
        </row>
      </sheetData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>
        <row r="264">
          <cell r="AE264">
            <v>0</v>
          </cell>
        </row>
      </sheetData>
      <sheetData sheetId="781">
        <row r="264">
          <cell r="AE264">
            <v>0</v>
          </cell>
        </row>
      </sheetData>
      <sheetData sheetId="782">
        <row r="264">
          <cell r="AE264">
            <v>0</v>
          </cell>
        </row>
      </sheetData>
      <sheetData sheetId="783">
        <row r="264">
          <cell r="AE264">
            <v>0</v>
          </cell>
        </row>
      </sheetData>
      <sheetData sheetId="784">
        <row r="264">
          <cell r="AE264">
            <v>0</v>
          </cell>
        </row>
      </sheetData>
      <sheetData sheetId="785">
        <row r="264">
          <cell r="AE264">
            <v>0</v>
          </cell>
        </row>
      </sheetData>
      <sheetData sheetId="786">
        <row r="264">
          <cell r="AE264">
            <v>0</v>
          </cell>
        </row>
      </sheetData>
      <sheetData sheetId="787">
        <row r="264">
          <cell r="AE264">
            <v>0</v>
          </cell>
        </row>
      </sheetData>
      <sheetData sheetId="788"/>
      <sheetData sheetId="789">
        <row r="264">
          <cell r="AE264">
            <v>0</v>
          </cell>
        </row>
      </sheetData>
      <sheetData sheetId="790">
        <row r="264">
          <cell r="AE264">
            <v>0</v>
          </cell>
        </row>
      </sheetData>
      <sheetData sheetId="791">
        <row r="264">
          <cell r="AE264">
            <v>0</v>
          </cell>
        </row>
      </sheetData>
      <sheetData sheetId="792">
        <row r="264">
          <cell r="AE264">
            <v>0</v>
          </cell>
        </row>
      </sheetData>
      <sheetData sheetId="793"/>
      <sheetData sheetId="794"/>
      <sheetData sheetId="795"/>
      <sheetData sheetId="796"/>
      <sheetData sheetId="797"/>
      <sheetData sheetId="798" refreshError="1"/>
      <sheetData sheetId="799" refreshError="1"/>
      <sheetData sheetId="800" refreshError="1"/>
      <sheetData sheetId="801"/>
      <sheetData sheetId="802">
        <row r="264">
          <cell r="AE264">
            <v>0</v>
          </cell>
        </row>
      </sheetData>
      <sheetData sheetId="803">
        <row r="264">
          <cell r="AE264">
            <v>0</v>
          </cell>
        </row>
      </sheetData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 refreshError="1"/>
      <sheetData sheetId="819">
        <row r="264">
          <cell r="AE264">
            <v>0</v>
          </cell>
        </row>
      </sheetData>
      <sheetData sheetId="820" refreshError="1"/>
      <sheetData sheetId="821" refreshError="1"/>
      <sheetData sheetId="822">
        <row r="264">
          <cell r="AE264">
            <v>0</v>
          </cell>
        </row>
      </sheetData>
      <sheetData sheetId="823">
        <row r="264">
          <cell r="AE264">
            <v>0</v>
          </cell>
        </row>
      </sheetData>
      <sheetData sheetId="824">
        <row r="264">
          <cell r="AE264">
            <v>0</v>
          </cell>
        </row>
      </sheetData>
      <sheetData sheetId="825">
        <row r="264">
          <cell r="AE264">
            <v>0</v>
          </cell>
        </row>
      </sheetData>
      <sheetData sheetId="826">
        <row r="264">
          <cell r="AE264">
            <v>0</v>
          </cell>
        </row>
      </sheetData>
      <sheetData sheetId="827">
        <row r="264">
          <cell r="AE264">
            <v>0</v>
          </cell>
        </row>
      </sheetData>
      <sheetData sheetId="828">
        <row r="264">
          <cell r="AE264">
            <v>0</v>
          </cell>
        </row>
      </sheetData>
      <sheetData sheetId="829">
        <row r="264">
          <cell r="AE264">
            <v>0</v>
          </cell>
        </row>
      </sheetData>
      <sheetData sheetId="830">
        <row r="264">
          <cell r="AE264">
            <v>0</v>
          </cell>
        </row>
      </sheetData>
      <sheetData sheetId="831">
        <row r="264">
          <cell r="AE264">
            <v>0</v>
          </cell>
        </row>
      </sheetData>
      <sheetData sheetId="832">
        <row r="264">
          <cell r="AE264">
            <v>0</v>
          </cell>
        </row>
      </sheetData>
      <sheetData sheetId="833">
        <row r="264">
          <cell r="AE264">
            <v>0</v>
          </cell>
        </row>
      </sheetData>
      <sheetData sheetId="834">
        <row r="264">
          <cell r="AE264">
            <v>0</v>
          </cell>
        </row>
      </sheetData>
      <sheetData sheetId="835">
        <row r="264">
          <cell r="AE264">
            <v>0</v>
          </cell>
        </row>
      </sheetData>
      <sheetData sheetId="836">
        <row r="264">
          <cell r="AE264">
            <v>0</v>
          </cell>
        </row>
      </sheetData>
      <sheetData sheetId="837">
        <row r="264">
          <cell r="AE264">
            <v>0</v>
          </cell>
        </row>
      </sheetData>
      <sheetData sheetId="838">
        <row r="264">
          <cell r="AE264">
            <v>0</v>
          </cell>
        </row>
      </sheetData>
      <sheetData sheetId="839">
        <row r="264">
          <cell r="AE264">
            <v>0</v>
          </cell>
        </row>
      </sheetData>
      <sheetData sheetId="840">
        <row r="264">
          <cell r="AE264">
            <v>0</v>
          </cell>
        </row>
      </sheetData>
      <sheetData sheetId="841">
        <row r="264">
          <cell r="AE264">
            <v>0</v>
          </cell>
        </row>
      </sheetData>
      <sheetData sheetId="842">
        <row r="264">
          <cell r="AE264">
            <v>0</v>
          </cell>
        </row>
      </sheetData>
      <sheetData sheetId="843">
        <row r="264">
          <cell r="AE264">
            <v>0</v>
          </cell>
        </row>
      </sheetData>
      <sheetData sheetId="844">
        <row r="264">
          <cell r="AE264">
            <v>0</v>
          </cell>
        </row>
      </sheetData>
      <sheetData sheetId="845">
        <row r="264">
          <cell r="AE264">
            <v>0</v>
          </cell>
        </row>
      </sheetData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>
        <row r="264">
          <cell r="AE264">
            <v>0</v>
          </cell>
        </row>
      </sheetData>
      <sheetData sheetId="855">
        <row r="264">
          <cell r="AE264">
            <v>0</v>
          </cell>
        </row>
      </sheetData>
      <sheetData sheetId="856">
        <row r="264">
          <cell r="AE264">
            <v>0</v>
          </cell>
        </row>
      </sheetData>
      <sheetData sheetId="857">
        <row r="264">
          <cell r="AE264">
            <v>0</v>
          </cell>
        </row>
      </sheetData>
      <sheetData sheetId="858">
        <row r="264">
          <cell r="AE264">
            <v>0</v>
          </cell>
        </row>
      </sheetData>
      <sheetData sheetId="859">
        <row r="264">
          <cell r="AE264">
            <v>0</v>
          </cell>
        </row>
      </sheetData>
      <sheetData sheetId="860">
        <row r="264">
          <cell r="AE264">
            <v>0</v>
          </cell>
        </row>
      </sheetData>
      <sheetData sheetId="861">
        <row r="264">
          <cell r="AE264">
            <v>0</v>
          </cell>
        </row>
      </sheetData>
      <sheetData sheetId="862">
        <row r="264">
          <cell r="AE264">
            <v>0</v>
          </cell>
        </row>
      </sheetData>
      <sheetData sheetId="863">
        <row r="264">
          <cell r="AE264">
            <v>0</v>
          </cell>
        </row>
      </sheetData>
      <sheetData sheetId="864">
        <row r="264">
          <cell r="AE264">
            <v>0</v>
          </cell>
        </row>
      </sheetData>
      <sheetData sheetId="865">
        <row r="264">
          <cell r="AE264">
            <v>0</v>
          </cell>
        </row>
      </sheetData>
      <sheetData sheetId="866">
        <row r="264">
          <cell r="AE264">
            <v>0</v>
          </cell>
        </row>
      </sheetData>
      <sheetData sheetId="867">
        <row r="264">
          <cell r="AE264">
            <v>0</v>
          </cell>
        </row>
      </sheetData>
      <sheetData sheetId="868">
        <row r="264">
          <cell r="AE264">
            <v>0</v>
          </cell>
        </row>
      </sheetData>
      <sheetData sheetId="869">
        <row r="264">
          <cell r="AE264">
            <v>0</v>
          </cell>
        </row>
      </sheetData>
      <sheetData sheetId="870" refreshError="1"/>
      <sheetData sheetId="871" refreshError="1"/>
      <sheetData sheetId="872" refreshError="1"/>
      <sheetData sheetId="873">
        <row r="264">
          <cell r="AE264">
            <v>0</v>
          </cell>
        </row>
      </sheetData>
      <sheetData sheetId="874">
        <row r="264">
          <cell r="AE264">
            <v>0</v>
          </cell>
        </row>
      </sheetData>
      <sheetData sheetId="875">
        <row r="264">
          <cell r="AE264">
            <v>0</v>
          </cell>
        </row>
      </sheetData>
      <sheetData sheetId="876">
        <row r="264">
          <cell r="AE264">
            <v>0</v>
          </cell>
        </row>
      </sheetData>
      <sheetData sheetId="877">
        <row r="264">
          <cell r="AE264">
            <v>0</v>
          </cell>
        </row>
      </sheetData>
      <sheetData sheetId="878"/>
      <sheetData sheetId="879"/>
      <sheetData sheetId="880"/>
      <sheetData sheetId="881">
        <row r="264">
          <cell r="AE264">
            <v>0</v>
          </cell>
        </row>
      </sheetData>
      <sheetData sheetId="882">
        <row r="264">
          <cell r="AE264">
            <v>0</v>
          </cell>
        </row>
      </sheetData>
      <sheetData sheetId="883">
        <row r="264">
          <cell r="AE264">
            <v>0</v>
          </cell>
        </row>
      </sheetData>
      <sheetData sheetId="884">
        <row r="264">
          <cell r="AE264">
            <v>0</v>
          </cell>
        </row>
      </sheetData>
      <sheetData sheetId="885" refreshError="1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>
        <row r="264">
          <cell r="AE264">
            <v>0</v>
          </cell>
        </row>
      </sheetData>
      <sheetData sheetId="897">
        <row r="264">
          <cell r="AE264">
            <v>0</v>
          </cell>
        </row>
      </sheetData>
      <sheetData sheetId="898">
        <row r="264">
          <cell r="AE264">
            <v>0</v>
          </cell>
        </row>
      </sheetData>
      <sheetData sheetId="899">
        <row r="264">
          <cell r="AE264">
            <v>0</v>
          </cell>
        </row>
      </sheetData>
      <sheetData sheetId="900">
        <row r="264">
          <cell r="AE264">
            <v>0</v>
          </cell>
        </row>
      </sheetData>
      <sheetData sheetId="901">
        <row r="264">
          <cell r="AE264">
            <v>0</v>
          </cell>
        </row>
      </sheetData>
      <sheetData sheetId="902">
        <row r="264">
          <cell r="AE264">
            <v>0</v>
          </cell>
        </row>
      </sheetData>
      <sheetData sheetId="903">
        <row r="264">
          <cell r="AE264">
            <v>0</v>
          </cell>
        </row>
      </sheetData>
      <sheetData sheetId="904">
        <row r="264">
          <cell r="AE264">
            <v>0</v>
          </cell>
        </row>
      </sheetData>
      <sheetData sheetId="905">
        <row r="264">
          <cell r="AE264">
            <v>0</v>
          </cell>
        </row>
      </sheetData>
      <sheetData sheetId="906">
        <row r="264">
          <cell r="AE264">
            <v>0</v>
          </cell>
        </row>
      </sheetData>
      <sheetData sheetId="907">
        <row r="264">
          <cell r="AE264">
            <v>0</v>
          </cell>
        </row>
      </sheetData>
      <sheetData sheetId="908">
        <row r="264">
          <cell r="AE264">
            <v>0</v>
          </cell>
        </row>
      </sheetData>
      <sheetData sheetId="909">
        <row r="264">
          <cell r="AE264">
            <v>0</v>
          </cell>
        </row>
      </sheetData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>
        <row r="264">
          <cell r="AE264">
            <v>0</v>
          </cell>
        </row>
      </sheetData>
      <sheetData sheetId="942">
        <row r="264">
          <cell r="AE264">
            <v>0</v>
          </cell>
        </row>
      </sheetData>
      <sheetData sheetId="943">
        <row r="264">
          <cell r="AE264">
            <v>0</v>
          </cell>
        </row>
      </sheetData>
      <sheetData sheetId="944">
        <row r="264">
          <cell r="AE264">
            <v>0</v>
          </cell>
        </row>
      </sheetData>
      <sheetData sheetId="945">
        <row r="264">
          <cell r="AE264">
            <v>0</v>
          </cell>
        </row>
      </sheetData>
      <sheetData sheetId="946">
        <row r="264">
          <cell r="AE264">
            <v>0</v>
          </cell>
        </row>
      </sheetData>
      <sheetData sheetId="947">
        <row r="264">
          <cell r="AE264">
            <v>0</v>
          </cell>
        </row>
      </sheetData>
      <sheetData sheetId="948">
        <row r="264">
          <cell r="AE264">
            <v>0</v>
          </cell>
        </row>
      </sheetData>
      <sheetData sheetId="949">
        <row r="264">
          <cell r="AE264">
            <v>0</v>
          </cell>
        </row>
      </sheetData>
      <sheetData sheetId="950">
        <row r="264">
          <cell r="AE264">
            <v>0</v>
          </cell>
        </row>
      </sheetData>
      <sheetData sheetId="951">
        <row r="264">
          <cell r="AE264">
            <v>0</v>
          </cell>
        </row>
      </sheetData>
      <sheetData sheetId="952">
        <row r="264">
          <cell r="AE264">
            <v>0</v>
          </cell>
        </row>
      </sheetData>
      <sheetData sheetId="953">
        <row r="264">
          <cell r="AE264">
            <v>0</v>
          </cell>
        </row>
      </sheetData>
      <sheetData sheetId="954">
        <row r="264">
          <cell r="AE264">
            <v>0</v>
          </cell>
        </row>
      </sheetData>
      <sheetData sheetId="955">
        <row r="264">
          <cell r="AE264">
            <v>0</v>
          </cell>
        </row>
      </sheetData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>
        <row r="264">
          <cell r="AE264">
            <v>0</v>
          </cell>
        </row>
      </sheetData>
      <sheetData sheetId="976">
        <row r="264">
          <cell r="AE264">
            <v>0</v>
          </cell>
        </row>
      </sheetData>
      <sheetData sheetId="977">
        <row r="264">
          <cell r="AE264">
            <v>0</v>
          </cell>
        </row>
      </sheetData>
      <sheetData sheetId="978">
        <row r="264">
          <cell r="AE264">
            <v>0</v>
          </cell>
        </row>
      </sheetData>
      <sheetData sheetId="979">
        <row r="264">
          <cell r="AE264">
            <v>0</v>
          </cell>
        </row>
      </sheetData>
      <sheetData sheetId="980">
        <row r="264">
          <cell r="AE264">
            <v>0</v>
          </cell>
        </row>
      </sheetData>
      <sheetData sheetId="981">
        <row r="264">
          <cell r="AE264">
            <v>0</v>
          </cell>
        </row>
      </sheetData>
      <sheetData sheetId="982">
        <row r="264">
          <cell r="AE264">
            <v>0</v>
          </cell>
        </row>
      </sheetData>
      <sheetData sheetId="983">
        <row r="264">
          <cell r="AE264">
            <v>0</v>
          </cell>
        </row>
      </sheetData>
      <sheetData sheetId="984">
        <row r="264">
          <cell r="AE264">
            <v>0</v>
          </cell>
        </row>
      </sheetData>
      <sheetData sheetId="985">
        <row r="264">
          <cell r="AE264">
            <v>0</v>
          </cell>
        </row>
      </sheetData>
      <sheetData sheetId="986">
        <row r="264">
          <cell r="AE264">
            <v>0</v>
          </cell>
        </row>
      </sheetData>
      <sheetData sheetId="987">
        <row r="264">
          <cell r="AE264">
            <v>0</v>
          </cell>
        </row>
      </sheetData>
      <sheetData sheetId="988">
        <row r="264">
          <cell r="AE264">
            <v>0</v>
          </cell>
        </row>
      </sheetData>
      <sheetData sheetId="989">
        <row r="264">
          <cell r="AE264">
            <v>0</v>
          </cell>
        </row>
      </sheetData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>
        <row r="264">
          <cell r="AE264">
            <v>0</v>
          </cell>
        </row>
      </sheetData>
      <sheetData sheetId="1011">
        <row r="264">
          <cell r="AE264">
            <v>0</v>
          </cell>
        </row>
      </sheetData>
      <sheetData sheetId="1012">
        <row r="264">
          <cell r="AE264">
            <v>0</v>
          </cell>
        </row>
      </sheetData>
      <sheetData sheetId="1013">
        <row r="264">
          <cell r="AE264">
            <v>0</v>
          </cell>
        </row>
      </sheetData>
      <sheetData sheetId="1014">
        <row r="264">
          <cell r="AE264">
            <v>0</v>
          </cell>
        </row>
      </sheetData>
      <sheetData sheetId="1015">
        <row r="264">
          <cell r="AE264">
            <v>0</v>
          </cell>
        </row>
      </sheetData>
      <sheetData sheetId="1016">
        <row r="264">
          <cell r="AE264">
            <v>0</v>
          </cell>
        </row>
      </sheetData>
      <sheetData sheetId="1017">
        <row r="264">
          <cell r="AE264">
            <v>0</v>
          </cell>
        </row>
      </sheetData>
      <sheetData sheetId="1018">
        <row r="264">
          <cell r="AE264">
            <v>0</v>
          </cell>
        </row>
      </sheetData>
      <sheetData sheetId="1019">
        <row r="264">
          <cell r="AE264">
            <v>0</v>
          </cell>
        </row>
      </sheetData>
      <sheetData sheetId="1020">
        <row r="264">
          <cell r="AE264">
            <v>0</v>
          </cell>
        </row>
      </sheetData>
      <sheetData sheetId="1021">
        <row r="264">
          <cell r="AE264">
            <v>0</v>
          </cell>
        </row>
      </sheetData>
      <sheetData sheetId="1022">
        <row r="264">
          <cell r="AE264">
            <v>0</v>
          </cell>
        </row>
      </sheetData>
      <sheetData sheetId="1023">
        <row r="264">
          <cell r="AE264">
            <v>0</v>
          </cell>
        </row>
      </sheetData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>
        <row r="264">
          <cell r="AE264">
            <v>0</v>
          </cell>
        </row>
      </sheetData>
      <sheetData sheetId="1046">
        <row r="264">
          <cell r="AE264">
            <v>0</v>
          </cell>
        </row>
      </sheetData>
      <sheetData sheetId="1047">
        <row r="264">
          <cell r="AE264">
            <v>0</v>
          </cell>
        </row>
      </sheetData>
      <sheetData sheetId="1048">
        <row r="264">
          <cell r="AE264">
            <v>0</v>
          </cell>
        </row>
      </sheetData>
      <sheetData sheetId="1049">
        <row r="264">
          <cell r="AE264">
            <v>0</v>
          </cell>
        </row>
      </sheetData>
      <sheetData sheetId="1050">
        <row r="264">
          <cell r="AE264">
            <v>0</v>
          </cell>
        </row>
      </sheetData>
      <sheetData sheetId="1051">
        <row r="264">
          <cell r="AE264">
            <v>0</v>
          </cell>
        </row>
      </sheetData>
      <sheetData sheetId="1052">
        <row r="264">
          <cell r="AE264">
            <v>0</v>
          </cell>
        </row>
      </sheetData>
      <sheetData sheetId="1053">
        <row r="264">
          <cell r="AE264">
            <v>0</v>
          </cell>
        </row>
      </sheetData>
      <sheetData sheetId="1054">
        <row r="264">
          <cell r="AE264">
            <v>0</v>
          </cell>
        </row>
      </sheetData>
      <sheetData sheetId="1055">
        <row r="264">
          <cell r="AE264">
            <v>0</v>
          </cell>
        </row>
      </sheetData>
      <sheetData sheetId="1056">
        <row r="264">
          <cell r="AE264">
            <v>0</v>
          </cell>
        </row>
      </sheetData>
      <sheetData sheetId="1057">
        <row r="264">
          <cell r="AE264">
            <v>0</v>
          </cell>
        </row>
      </sheetData>
      <sheetData sheetId="1058">
        <row r="264">
          <cell r="AE264">
            <v>0</v>
          </cell>
        </row>
      </sheetData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>
        <row r="264">
          <cell r="AE264">
            <v>0</v>
          </cell>
        </row>
      </sheetData>
      <sheetData sheetId="1081">
        <row r="264">
          <cell r="AE264">
            <v>0</v>
          </cell>
        </row>
      </sheetData>
      <sheetData sheetId="1082">
        <row r="264">
          <cell r="AE264">
            <v>0</v>
          </cell>
        </row>
      </sheetData>
      <sheetData sheetId="1083">
        <row r="264">
          <cell r="AE264">
            <v>0</v>
          </cell>
        </row>
      </sheetData>
      <sheetData sheetId="1084">
        <row r="264">
          <cell r="AE264">
            <v>0</v>
          </cell>
        </row>
      </sheetData>
      <sheetData sheetId="1085">
        <row r="264">
          <cell r="AE264">
            <v>0</v>
          </cell>
        </row>
      </sheetData>
      <sheetData sheetId="1086">
        <row r="264">
          <cell r="AE264">
            <v>0</v>
          </cell>
        </row>
      </sheetData>
      <sheetData sheetId="1087">
        <row r="264">
          <cell r="AE264">
            <v>0</v>
          </cell>
        </row>
      </sheetData>
      <sheetData sheetId="1088">
        <row r="264">
          <cell r="AE264">
            <v>0</v>
          </cell>
        </row>
      </sheetData>
      <sheetData sheetId="1089">
        <row r="264">
          <cell r="AE264">
            <v>0</v>
          </cell>
        </row>
      </sheetData>
      <sheetData sheetId="1090">
        <row r="264">
          <cell r="AE264">
            <v>0</v>
          </cell>
        </row>
      </sheetData>
      <sheetData sheetId="1091">
        <row r="264">
          <cell r="AE264">
            <v>0</v>
          </cell>
        </row>
      </sheetData>
      <sheetData sheetId="1092">
        <row r="264">
          <cell r="AE264">
            <v>0</v>
          </cell>
        </row>
      </sheetData>
      <sheetData sheetId="1093">
        <row r="264">
          <cell r="AE264">
            <v>0</v>
          </cell>
        </row>
      </sheetData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>
        <row r="264">
          <cell r="AE264">
            <v>0</v>
          </cell>
        </row>
      </sheetData>
      <sheetData sheetId="1116">
        <row r="264">
          <cell r="AE264">
            <v>0</v>
          </cell>
        </row>
      </sheetData>
      <sheetData sheetId="1117">
        <row r="264">
          <cell r="AE264">
            <v>0</v>
          </cell>
        </row>
      </sheetData>
      <sheetData sheetId="1118">
        <row r="264">
          <cell r="AE264">
            <v>0</v>
          </cell>
        </row>
      </sheetData>
      <sheetData sheetId="1119">
        <row r="264">
          <cell r="AE264">
            <v>0</v>
          </cell>
        </row>
      </sheetData>
      <sheetData sheetId="1120">
        <row r="264">
          <cell r="AE264">
            <v>0</v>
          </cell>
        </row>
      </sheetData>
      <sheetData sheetId="1121">
        <row r="264">
          <cell r="AE264">
            <v>0</v>
          </cell>
        </row>
      </sheetData>
      <sheetData sheetId="1122">
        <row r="264">
          <cell r="AE264">
            <v>0</v>
          </cell>
        </row>
      </sheetData>
      <sheetData sheetId="1123">
        <row r="264">
          <cell r="AE264">
            <v>0</v>
          </cell>
        </row>
      </sheetData>
      <sheetData sheetId="1124">
        <row r="264">
          <cell r="AE264">
            <v>0</v>
          </cell>
        </row>
      </sheetData>
      <sheetData sheetId="1125">
        <row r="264">
          <cell r="AE264">
            <v>0</v>
          </cell>
        </row>
      </sheetData>
      <sheetData sheetId="1126">
        <row r="264">
          <cell r="AE264">
            <v>0</v>
          </cell>
        </row>
      </sheetData>
      <sheetData sheetId="1127">
        <row r="264">
          <cell r="AE264">
            <v>0</v>
          </cell>
        </row>
      </sheetData>
      <sheetData sheetId="1128">
        <row r="264">
          <cell r="AE264">
            <v>0</v>
          </cell>
        </row>
      </sheetData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>
        <row r="264">
          <cell r="AE264">
            <v>0</v>
          </cell>
        </row>
      </sheetData>
      <sheetData sheetId="1150">
        <row r="264">
          <cell r="AE264">
            <v>0</v>
          </cell>
        </row>
      </sheetData>
      <sheetData sheetId="1151">
        <row r="264">
          <cell r="AE264">
            <v>0</v>
          </cell>
        </row>
      </sheetData>
      <sheetData sheetId="1152">
        <row r="264">
          <cell r="AE264">
            <v>0</v>
          </cell>
        </row>
      </sheetData>
      <sheetData sheetId="1153">
        <row r="264">
          <cell r="AE264">
            <v>0</v>
          </cell>
        </row>
      </sheetData>
      <sheetData sheetId="1154">
        <row r="264">
          <cell r="AE264">
            <v>0</v>
          </cell>
        </row>
      </sheetData>
      <sheetData sheetId="1155">
        <row r="264">
          <cell r="AE264">
            <v>0</v>
          </cell>
        </row>
      </sheetData>
      <sheetData sheetId="1156">
        <row r="264">
          <cell r="AE264">
            <v>0</v>
          </cell>
        </row>
      </sheetData>
      <sheetData sheetId="1157">
        <row r="264">
          <cell r="AE264">
            <v>0</v>
          </cell>
        </row>
      </sheetData>
      <sheetData sheetId="1158">
        <row r="264">
          <cell r="AE264">
            <v>0</v>
          </cell>
        </row>
      </sheetData>
      <sheetData sheetId="1159">
        <row r="264">
          <cell r="AE264">
            <v>0</v>
          </cell>
        </row>
      </sheetData>
      <sheetData sheetId="1160">
        <row r="264">
          <cell r="AE264">
            <v>0</v>
          </cell>
        </row>
      </sheetData>
      <sheetData sheetId="1161">
        <row r="264">
          <cell r="AE264">
            <v>0</v>
          </cell>
        </row>
      </sheetData>
      <sheetData sheetId="1162">
        <row r="264">
          <cell r="AE264">
            <v>0</v>
          </cell>
        </row>
      </sheetData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 refreshError="1"/>
      <sheetData sheetId="1177" refreshError="1"/>
      <sheetData sheetId="1178" refreshError="1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>
        <row r="264">
          <cell r="AE264">
            <v>0</v>
          </cell>
        </row>
      </sheetData>
      <sheetData sheetId="1190">
        <row r="264">
          <cell r="AE264">
            <v>0</v>
          </cell>
        </row>
      </sheetData>
      <sheetData sheetId="1191">
        <row r="264">
          <cell r="AE264">
            <v>0</v>
          </cell>
        </row>
      </sheetData>
      <sheetData sheetId="1192">
        <row r="264">
          <cell r="AE264">
            <v>0</v>
          </cell>
        </row>
      </sheetData>
      <sheetData sheetId="1193">
        <row r="264">
          <cell r="AE264">
            <v>0</v>
          </cell>
        </row>
      </sheetData>
      <sheetData sheetId="1194">
        <row r="264">
          <cell r="AE264">
            <v>0</v>
          </cell>
        </row>
      </sheetData>
      <sheetData sheetId="1195">
        <row r="264">
          <cell r="AE264">
            <v>0</v>
          </cell>
        </row>
      </sheetData>
      <sheetData sheetId="1196">
        <row r="264">
          <cell r="AE264">
            <v>0</v>
          </cell>
        </row>
      </sheetData>
      <sheetData sheetId="1197">
        <row r="264">
          <cell r="AE264">
            <v>0</v>
          </cell>
        </row>
      </sheetData>
      <sheetData sheetId="1198">
        <row r="264">
          <cell r="AE264">
            <v>0</v>
          </cell>
        </row>
      </sheetData>
      <sheetData sheetId="1199">
        <row r="264">
          <cell r="AE264">
            <v>0</v>
          </cell>
        </row>
      </sheetData>
      <sheetData sheetId="1200">
        <row r="264">
          <cell r="AE264">
            <v>0</v>
          </cell>
        </row>
      </sheetData>
      <sheetData sheetId="1201">
        <row r="264">
          <cell r="AE264">
            <v>0</v>
          </cell>
        </row>
      </sheetData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>
        <row r="264">
          <cell r="AE264">
            <v>0</v>
          </cell>
        </row>
      </sheetData>
      <sheetData sheetId="1220">
        <row r="264">
          <cell r="AE264">
            <v>0</v>
          </cell>
        </row>
      </sheetData>
      <sheetData sheetId="1221">
        <row r="264">
          <cell r="AE264">
            <v>0</v>
          </cell>
        </row>
      </sheetData>
      <sheetData sheetId="1222">
        <row r="264">
          <cell r="AE264">
            <v>0</v>
          </cell>
        </row>
      </sheetData>
      <sheetData sheetId="1223">
        <row r="264">
          <cell r="AE264">
            <v>0</v>
          </cell>
        </row>
      </sheetData>
      <sheetData sheetId="1224">
        <row r="264">
          <cell r="AE264">
            <v>0</v>
          </cell>
        </row>
      </sheetData>
      <sheetData sheetId="1225">
        <row r="264">
          <cell r="AE264">
            <v>0</v>
          </cell>
        </row>
      </sheetData>
      <sheetData sheetId="1226">
        <row r="264">
          <cell r="AE264">
            <v>0</v>
          </cell>
        </row>
      </sheetData>
      <sheetData sheetId="1227">
        <row r="264">
          <cell r="AE264">
            <v>0</v>
          </cell>
        </row>
      </sheetData>
      <sheetData sheetId="1228">
        <row r="264">
          <cell r="AE264">
            <v>0</v>
          </cell>
        </row>
      </sheetData>
      <sheetData sheetId="1229">
        <row r="264">
          <cell r="AE264">
            <v>0</v>
          </cell>
        </row>
      </sheetData>
      <sheetData sheetId="1230">
        <row r="264">
          <cell r="AE264">
            <v>0</v>
          </cell>
        </row>
      </sheetData>
      <sheetData sheetId="1231">
        <row r="264">
          <cell r="AE264">
            <v>0</v>
          </cell>
        </row>
      </sheetData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>
        <row r="264">
          <cell r="AE264">
            <v>0</v>
          </cell>
        </row>
      </sheetData>
      <sheetData sheetId="1253">
        <row r="264">
          <cell r="AE264">
            <v>0</v>
          </cell>
        </row>
      </sheetData>
      <sheetData sheetId="1254">
        <row r="264">
          <cell r="AE264">
            <v>0</v>
          </cell>
        </row>
      </sheetData>
      <sheetData sheetId="1255">
        <row r="264">
          <cell r="AE264">
            <v>0</v>
          </cell>
        </row>
      </sheetData>
      <sheetData sheetId="1256">
        <row r="264">
          <cell r="AE264">
            <v>0</v>
          </cell>
        </row>
      </sheetData>
      <sheetData sheetId="1257">
        <row r="264">
          <cell r="AE264">
            <v>0</v>
          </cell>
        </row>
      </sheetData>
      <sheetData sheetId="1258">
        <row r="264">
          <cell r="AE264">
            <v>0</v>
          </cell>
        </row>
      </sheetData>
      <sheetData sheetId="1259">
        <row r="264">
          <cell r="AE264">
            <v>0</v>
          </cell>
        </row>
      </sheetData>
      <sheetData sheetId="1260">
        <row r="264">
          <cell r="AE264">
            <v>0</v>
          </cell>
        </row>
      </sheetData>
      <sheetData sheetId="1261">
        <row r="264">
          <cell r="AE264">
            <v>0</v>
          </cell>
        </row>
      </sheetData>
      <sheetData sheetId="1262">
        <row r="264">
          <cell r="AE264">
            <v>0</v>
          </cell>
        </row>
      </sheetData>
      <sheetData sheetId="1263">
        <row r="264">
          <cell r="AE264">
            <v>0</v>
          </cell>
        </row>
      </sheetData>
      <sheetData sheetId="1264">
        <row r="264">
          <cell r="AE264">
            <v>0</v>
          </cell>
        </row>
      </sheetData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>
        <row r="264">
          <cell r="AE264">
            <v>0</v>
          </cell>
        </row>
      </sheetData>
      <sheetData sheetId="1307">
        <row r="264">
          <cell r="AE264">
            <v>0</v>
          </cell>
        </row>
      </sheetData>
      <sheetData sheetId="1308">
        <row r="264">
          <cell r="AE264">
            <v>0</v>
          </cell>
        </row>
      </sheetData>
      <sheetData sheetId="1309">
        <row r="264">
          <cell r="AE264">
            <v>0</v>
          </cell>
        </row>
      </sheetData>
      <sheetData sheetId="1310">
        <row r="264">
          <cell r="AE264">
            <v>0</v>
          </cell>
        </row>
      </sheetData>
      <sheetData sheetId="1311">
        <row r="264">
          <cell r="AE264">
            <v>0</v>
          </cell>
        </row>
      </sheetData>
      <sheetData sheetId="1312">
        <row r="264">
          <cell r="AE264">
            <v>0</v>
          </cell>
        </row>
      </sheetData>
      <sheetData sheetId="1313">
        <row r="264">
          <cell r="AE264">
            <v>0</v>
          </cell>
        </row>
      </sheetData>
      <sheetData sheetId="1314">
        <row r="264">
          <cell r="AE264">
            <v>0</v>
          </cell>
        </row>
      </sheetData>
      <sheetData sheetId="1315">
        <row r="264">
          <cell r="AE264">
            <v>0</v>
          </cell>
        </row>
      </sheetData>
      <sheetData sheetId="1316">
        <row r="264">
          <cell r="AE264">
            <v>0</v>
          </cell>
        </row>
      </sheetData>
      <sheetData sheetId="1317">
        <row r="264">
          <cell r="AE264">
            <v>0</v>
          </cell>
        </row>
      </sheetData>
      <sheetData sheetId="1318">
        <row r="264">
          <cell r="AE264">
            <v>0</v>
          </cell>
        </row>
      </sheetData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>
        <row r="264">
          <cell r="AE264">
            <v>0</v>
          </cell>
        </row>
      </sheetData>
      <sheetData sheetId="1331">
        <row r="264">
          <cell r="AE264">
            <v>0</v>
          </cell>
        </row>
      </sheetData>
      <sheetData sheetId="1332">
        <row r="264">
          <cell r="AE264">
            <v>0</v>
          </cell>
        </row>
      </sheetData>
      <sheetData sheetId="1333">
        <row r="264">
          <cell r="AE264">
            <v>0</v>
          </cell>
        </row>
      </sheetData>
      <sheetData sheetId="1334">
        <row r="264">
          <cell r="AE264">
            <v>0</v>
          </cell>
        </row>
      </sheetData>
      <sheetData sheetId="1335">
        <row r="264">
          <cell r="AE264">
            <v>0</v>
          </cell>
        </row>
      </sheetData>
      <sheetData sheetId="1336">
        <row r="264">
          <cell r="AE264">
            <v>0</v>
          </cell>
        </row>
      </sheetData>
      <sheetData sheetId="1337">
        <row r="264">
          <cell r="AE264">
            <v>0</v>
          </cell>
        </row>
      </sheetData>
      <sheetData sheetId="1338">
        <row r="264">
          <cell r="AE264">
            <v>0</v>
          </cell>
        </row>
      </sheetData>
      <sheetData sheetId="1339">
        <row r="264">
          <cell r="AE264">
            <v>0</v>
          </cell>
        </row>
      </sheetData>
      <sheetData sheetId="1340">
        <row r="264">
          <cell r="AE264">
            <v>0</v>
          </cell>
        </row>
      </sheetData>
      <sheetData sheetId="1341">
        <row r="264">
          <cell r="AE264">
            <v>0</v>
          </cell>
        </row>
      </sheetData>
      <sheetData sheetId="1342">
        <row r="264">
          <cell r="AE264">
            <v>0</v>
          </cell>
        </row>
      </sheetData>
      <sheetData sheetId="1343"/>
      <sheetData sheetId="1344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/>
      <sheetData sheetId="1351">
        <row r="264">
          <cell r="AE264">
            <v>0</v>
          </cell>
        </row>
      </sheetData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>
        <row r="264">
          <cell r="AE264">
            <v>0</v>
          </cell>
        </row>
      </sheetData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/>
      <sheetData sheetId="1379"/>
      <sheetData sheetId="1380"/>
      <sheetData sheetId="1381"/>
      <sheetData sheetId="1382"/>
      <sheetData sheetId="1383">
        <row r="264">
          <cell r="AE264">
            <v>0</v>
          </cell>
        </row>
      </sheetData>
      <sheetData sheetId="1384">
        <row r="264">
          <cell r="AE264">
            <v>0</v>
          </cell>
        </row>
      </sheetData>
      <sheetData sheetId="1385">
        <row r="264">
          <cell r="AE264">
            <v>0</v>
          </cell>
        </row>
      </sheetData>
      <sheetData sheetId="1386">
        <row r="264">
          <cell r="AE264">
            <v>0</v>
          </cell>
        </row>
      </sheetData>
      <sheetData sheetId="1387">
        <row r="264">
          <cell r="AE264">
            <v>0</v>
          </cell>
        </row>
      </sheetData>
      <sheetData sheetId="1388">
        <row r="264">
          <cell r="AE264">
            <v>0</v>
          </cell>
        </row>
      </sheetData>
      <sheetData sheetId="1389">
        <row r="264">
          <cell r="AE264">
            <v>0</v>
          </cell>
        </row>
      </sheetData>
      <sheetData sheetId="1390">
        <row r="264">
          <cell r="AE264">
            <v>0</v>
          </cell>
        </row>
      </sheetData>
      <sheetData sheetId="1391">
        <row r="264">
          <cell r="AE264">
            <v>0</v>
          </cell>
        </row>
      </sheetData>
      <sheetData sheetId="1392">
        <row r="264">
          <cell r="AE264">
            <v>0</v>
          </cell>
        </row>
      </sheetData>
      <sheetData sheetId="1393">
        <row r="264">
          <cell r="AE264">
            <v>0</v>
          </cell>
        </row>
      </sheetData>
      <sheetData sheetId="1394">
        <row r="264">
          <cell r="AE264">
            <v>0</v>
          </cell>
        </row>
      </sheetData>
      <sheetData sheetId="1395">
        <row r="264">
          <cell r="AE264">
            <v>0</v>
          </cell>
        </row>
      </sheetData>
      <sheetData sheetId="1396">
        <row r="264">
          <cell r="AE264">
            <v>0</v>
          </cell>
        </row>
      </sheetData>
      <sheetData sheetId="1397">
        <row r="264">
          <cell r="AE264">
            <v>0</v>
          </cell>
        </row>
      </sheetData>
      <sheetData sheetId="1398">
        <row r="264">
          <cell r="AE264">
            <v>0</v>
          </cell>
        </row>
      </sheetData>
      <sheetData sheetId="1399">
        <row r="264">
          <cell r="AE264">
            <v>0</v>
          </cell>
        </row>
      </sheetData>
      <sheetData sheetId="1400">
        <row r="264">
          <cell r="AE264">
            <v>0</v>
          </cell>
        </row>
      </sheetData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>
        <row r="264">
          <cell r="AE264">
            <v>0</v>
          </cell>
        </row>
      </sheetData>
      <sheetData sheetId="1420">
        <row r="264">
          <cell r="AE264">
            <v>0</v>
          </cell>
        </row>
      </sheetData>
      <sheetData sheetId="1421">
        <row r="264">
          <cell r="AE264">
            <v>0</v>
          </cell>
        </row>
      </sheetData>
      <sheetData sheetId="1422">
        <row r="264">
          <cell r="AE264">
            <v>0</v>
          </cell>
        </row>
      </sheetData>
      <sheetData sheetId="1423">
        <row r="264">
          <cell r="AE264">
            <v>0</v>
          </cell>
        </row>
      </sheetData>
      <sheetData sheetId="1424">
        <row r="264">
          <cell r="AE264">
            <v>0</v>
          </cell>
        </row>
      </sheetData>
      <sheetData sheetId="1425">
        <row r="264">
          <cell r="AE264">
            <v>0</v>
          </cell>
        </row>
      </sheetData>
      <sheetData sheetId="1426">
        <row r="264">
          <cell r="AE264">
            <v>0</v>
          </cell>
        </row>
      </sheetData>
      <sheetData sheetId="1427">
        <row r="264">
          <cell r="AE264">
            <v>0</v>
          </cell>
        </row>
      </sheetData>
      <sheetData sheetId="1428">
        <row r="264">
          <cell r="AE264">
            <v>0</v>
          </cell>
        </row>
      </sheetData>
      <sheetData sheetId="1429">
        <row r="264">
          <cell r="AE264">
            <v>0</v>
          </cell>
        </row>
      </sheetData>
      <sheetData sheetId="1430">
        <row r="264">
          <cell r="AE264">
            <v>0</v>
          </cell>
        </row>
      </sheetData>
      <sheetData sheetId="1431">
        <row r="264">
          <cell r="AE264">
            <v>0</v>
          </cell>
        </row>
      </sheetData>
      <sheetData sheetId="1432">
        <row r="264">
          <cell r="AE264">
            <v>0</v>
          </cell>
        </row>
      </sheetData>
      <sheetData sheetId="1433"/>
      <sheetData sheetId="1434">
        <row r="264">
          <cell r="AE264">
            <v>0</v>
          </cell>
        </row>
      </sheetData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>
        <row r="264">
          <cell r="AE264">
            <v>0</v>
          </cell>
        </row>
      </sheetData>
      <sheetData sheetId="1454">
        <row r="264">
          <cell r="AE264">
            <v>0</v>
          </cell>
        </row>
      </sheetData>
      <sheetData sheetId="1455">
        <row r="264">
          <cell r="AE264">
            <v>0</v>
          </cell>
        </row>
      </sheetData>
      <sheetData sheetId="1456">
        <row r="264">
          <cell r="AE264">
            <v>0</v>
          </cell>
        </row>
      </sheetData>
      <sheetData sheetId="1457">
        <row r="264">
          <cell r="AE264">
            <v>0</v>
          </cell>
        </row>
      </sheetData>
      <sheetData sheetId="1458">
        <row r="264">
          <cell r="AE264">
            <v>0</v>
          </cell>
        </row>
      </sheetData>
      <sheetData sheetId="1459">
        <row r="264">
          <cell r="AE264">
            <v>0</v>
          </cell>
        </row>
      </sheetData>
      <sheetData sheetId="1460">
        <row r="264">
          <cell r="AE264">
            <v>0</v>
          </cell>
        </row>
      </sheetData>
      <sheetData sheetId="1461">
        <row r="264">
          <cell r="AE264">
            <v>0</v>
          </cell>
        </row>
      </sheetData>
      <sheetData sheetId="1462">
        <row r="264">
          <cell r="AE264">
            <v>0</v>
          </cell>
        </row>
      </sheetData>
      <sheetData sheetId="1463">
        <row r="264">
          <cell r="AE264">
            <v>0</v>
          </cell>
        </row>
      </sheetData>
      <sheetData sheetId="1464">
        <row r="264">
          <cell r="AE264">
            <v>0</v>
          </cell>
        </row>
      </sheetData>
      <sheetData sheetId="1465">
        <row r="264">
          <cell r="AE264">
            <v>0</v>
          </cell>
        </row>
      </sheetData>
      <sheetData sheetId="1466">
        <row r="264">
          <cell r="AE264">
            <v>0</v>
          </cell>
        </row>
      </sheetData>
      <sheetData sheetId="1467">
        <row r="264">
          <cell r="AE264">
            <v>0</v>
          </cell>
        </row>
      </sheetData>
      <sheetData sheetId="1468"/>
      <sheetData sheetId="1469">
        <row r="264">
          <cell r="AE264">
            <v>0</v>
          </cell>
        </row>
      </sheetData>
      <sheetData sheetId="1470"/>
      <sheetData sheetId="1471">
        <row r="264">
          <cell r="AE264">
            <v>0</v>
          </cell>
        </row>
      </sheetData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>
        <row r="264">
          <cell r="AE264">
            <v>0</v>
          </cell>
        </row>
      </sheetData>
      <sheetData sheetId="1487">
        <row r="264">
          <cell r="AE264">
            <v>0</v>
          </cell>
        </row>
      </sheetData>
      <sheetData sheetId="1488">
        <row r="264">
          <cell r="AE264">
            <v>0</v>
          </cell>
        </row>
      </sheetData>
      <sheetData sheetId="1489">
        <row r="264">
          <cell r="AE264">
            <v>0</v>
          </cell>
        </row>
      </sheetData>
      <sheetData sheetId="1490">
        <row r="264">
          <cell r="AE264">
            <v>0</v>
          </cell>
        </row>
      </sheetData>
      <sheetData sheetId="1491">
        <row r="264">
          <cell r="AE264">
            <v>0</v>
          </cell>
        </row>
      </sheetData>
      <sheetData sheetId="1492">
        <row r="264">
          <cell r="AE264">
            <v>0</v>
          </cell>
        </row>
      </sheetData>
      <sheetData sheetId="1493">
        <row r="264">
          <cell r="AE264">
            <v>0</v>
          </cell>
        </row>
      </sheetData>
      <sheetData sheetId="1494">
        <row r="264">
          <cell r="AE264">
            <v>0</v>
          </cell>
        </row>
      </sheetData>
      <sheetData sheetId="1495">
        <row r="264">
          <cell r="AE264">
            <v>0</v>
          </cell>
        </row>
      </sheetData>
      <sheetData sheetId="1496">
        <row r="264">
          <cell r="AE264">
            <v>0</v>
          </cell>
        </row>
      </sheetData>
      <sheetData sheetId="1497">
        <row r="264">
          <cell r="AE264">
            <v>0</v>
          </cell>
        </row>
      </sheetData>
      <sheetData sheetId="1498">
        <row r="264">
          <cell r="AE264">
            <v>0</v>
          </cell>
        </row>
      </sheetData>
      <sheetData sheetId="1499"/>
      <sheetData sheetId="1500">
        <row r="264">
          <cell r="AE264">
            <v>0</v>
          </cell>
        </row>
      </sheetData>
      <sheetData sheetId="1501">
        <row r="264">
          <cell r="AE264">
            <v>0</v>
          </cell>
        </row>
      </sheetData>
      <sheetData sheetId="1502">
        <row r="264">
          <cell r="AE264">
            <v>0</v>
          </cell>
        </row>
      </sheetData>
      <sheetData sheetId="1503">
        <row r="264">
          <cell r="AE264">
            <v>0</v>
          </cell>
        </row>
      </sheetData>
      <sheetData sheetId="1504">
        <row r="264">
          <cell r="AE264">
            <v>0</v>
          </cell>
        </row>
      </sheetData>
      <sheetData sheetId="1505">
        <row r="264">
          <cell r="AE264">
            <v>0</v>
          </cell>
        </row>
      </sheetData>
      <sheetData sheetId="1506">
        <row r="264">
          <cell r="AE264">
            <v>0</v>
          </cell>
        </row>
      </sheetData>
      <sheetData sheetId="1507">
        <row r="264">
          <cell r="AE264">
            <v>0</v>
          </cell>
        </row>
      </sheetData>
      <sheetData sheetId="1508">
        <row r="264">
          <cell r="AE264">
            <v>0</v>
          </cell>
        </row>
      </sheetData>
      <sheetData sheetId="1509">
        <row r="264">
          <cell r="AE264">
            <v>0</v>
          </cell>
        </row>
      </sheetData>
      <sheetData sheetId="1510">
        <row r="264">
          <cell r="AE264">
            <v>0</v>
          </cell>
        </row>
      </sheetData>
      <sheetData sheetId="1511">
        <row r="264">
          <cell r="AE264">
            <v>0</v>
          </cell>
        </row>
      </sheetData>
      <sheetData sheetId="1512">
        <row r="264">
          <cell r="AE264">
            <v>0</v>
          </cell>
        </row>
      </sheetData>
      <sheetData sheetId="1513"/>
      <sheetData sheetId="1514">
        <row r="264">
          <cell r="AE264">
            <v>0</v>
          </cell>
        </row>
      </sheetData>
      <sheetData sheetId="1515"/>
      <sheetData sheetId="1516">
        <row r="264">
          <cell r="AE264">
            <v>0</v>
          </cell>
        </row>
      </sheetData>
      <sheetData sheetId="1517"/>
      <sheetData sheetId="1518"/>
      <sheetData sheetId="1519">
        <row r="264">
          <cell r="AE264">
            <v>0</v>
          </cell>
        </row>
      </sheetData>
      <sheetData sheetId="1520">
        <row r="264">
          <cell r="AE264">
            <v>0</v>
          </cell>
        </row>
      </sheetData>
      <sheetData sheetId="1521">
        <row r="264">
          <cell r="AE264">
            <v>0</v>
          </cell>
        </row>
      </sheetData>
      <sheetData sheetId="1522">
        <row r="264">
          <cell r="AE264">
            <v>0</v>
          </cell>
        </row>
      </sheetData>
      <sheetData sheetId="1523">
        <row r="264">
          <cell r="AE264">
            <v>0</v>
          </cell>
        </row>
      </sheetData>
      <sheetData sheetId="1524">
        <row r="264">
          <cell r="AE264">
            <v>0</v>
          </cell>
        </row>
      </sheetData>
      <sheetData sheetId="1525">
        <row r="264">
          <cell r="AE264">
            <v>0</v>
          </cell>
        </row>
      </sheetData>
      <sheetData sheetId="1526">
        <row r="264">
          <cell r="AE264">
            <v>0</v>
          </cell>
        </row>
      </sheetData>
      <sheetData sheetId="1527">
        <row r="264">
          <cell r="AE264">
            <v>0</v>
          </cell>
        </row>
      </sheetData>
      <sheetData sheetId="1528">
        <row r="264">
          <cell r="AE264">
            <v>0</v>
          </cell>
        </row>
      </sheetData>
      <sheetData sheetId="1529">
        <row r="264">
          <cell r="AE264">
            <v>0</v>
          </cell>
        </row>
      </sheetData>
      <sheetData sheetId="1530">
        <row r="264">
          <cell r="AE264">
            <v>0</v>
          </cell>
        </row>
      </sheetData>
      <sheetData sheetId="1531">
        <row r="264">
          <cell r="AE264">
            <v>0</v>
          </cell>
        </row>
      </sheetData>
      <sheetData sheetId="1532"/>
      <sheetData sheetId="1533">
        <row r="264">
          <cell r="AE264">
            <v>0</v>
          </cell>
        </row>
      </sheetData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>
        <row r="264">
          <cell r="AE264">
            <v>0</v>
          </cell>
        </row>
      </sheetData>
      <sheetData sheetId="1546">
        <row r="264">
          <cell r="AE264">
            <v>0</v>
          </cell>
        </row>
      </sheetData>
      <sheetData sheetId="1547">
        <row r="264">
          <cell r="AE264">
            <v>0</v>
          </cell>
        </row>
      </sheetData>
      <sheetData sheetId="1548">
        <row r="264">
          <cell r="AE264">
            <v>0</v>
          </cell>
        </row>
      </sheetData>
      <sheetData sheetId="1549">
        <row r="264">
          <cell r="AE264">
            <v>0</v>
          </cell>
        </row>
      </sheetData>
      <sheetData sheetId="1550">
        <row r="264">
          <cell r="AE264">
            <v>0</v>
          </cell>
        </row>
      </sheetData>
      <sheetData sheetId="1551">
        <row r="264">
          <cell r="AE264">
            <v>0</v>
          </cell>
        </row>
      </sheetData>
      <sheetData sheetId="1552">
        <row r="264">
          <cell r="AE264">
            <v>0</v>
          </cell>
        </row>
      </sheetData>
      <sheetData sheetId="1553">
        <row r="264">
          <cell r="AE264">
            <v>0</v>
          </cell>
        </row>
      </sheetData>
      <sheetData sheetId="1554">
        <row r="264">
          <cell r="AE264">
            <v>0</v>
          </cell>
        </row>
      </sheetData>
      <sheetData sheetId="1555">
        <row r="264">
          <cell r="AE264">
            <v>0</v>
          </cell>
        </row>
      </sheetData>
      <sheetData sheetId="1556">
        <row r="264">
          <cell r="AE264">
            <v>0</v>
          </cell>
        </row>
      </sheetData>
      <sheetData sheetId="1557">
        <row r="264">
          <cell r="AE264">
            <v>0</v>
          </cell>
        </row>
      </sheetData>
      <sheetData sheetId="1558">
        <row r="264">
          <cell r="AE264">
            <v>0</v>
          </cell>
        </row>
      </sheetData>
      <sheetData sheetId="1559">
        <row r="264">
          <cell r="AE264">
            <v>0</v>
          </cell>
        </row>
      </sheetData>
      <sheetData sheetId="1560">
        <row r="264">
          <cell r="AE264">
            <v>0</v>
          </cell>
        </row>
      </sheetData>
      <sheetData sheetId="1561">
        <row r="264">
          <cell r="AE264">
            <v>0</v>
          </cell>
        </row>
      </sheetData>
      <sheetData sheetId="1562">
        <row r="264">
          <cell r="AE264">
            <v>0</v>
          </cell>
        </row>
      </sheetData>
      <sheetData sheetId="1563">
        <row r="264">
          <cell r="AE264">
            <v>0</v>
          </cell>
        </row>
      </sheetData>
      <sheetData sheetId="1564">
        <row r="264">
          <cell r="AE264">
            <v>0</v>
          </cell>
        </row>
      </sheetData>
      <sheetData sheetId="1565"/>
      <sheetData sheetId="1566">
        <row r="264">
          <cell r="AE264">
            <v>0</v>
          </cell>
        </row>
      </sheetData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>
        <row r="264">
          <cell r="AE264">
            <v>0</v>
          </cell>
        </row>
      </sheetData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>
        <row r="264">
          <cell r="AE264">
            <v>0</v>
          </cell>
        </row>
      </sheetData>
      <sheetData sheetId="1588">
        <row r="264">
          <cell r="AE264">
            <v>0</v>
          </cell>
        </row>
      </sheetData>
      <sheetData sheetId="1589">
        <row r="264">
          <cell r="AE264">
            <v>0</v>
          </cell>
        </row>
      </sheetData>
      <sheetData sheetId="1590">
        <row r="264">
          <cell r="AE264">
            <v>0</v>
          </cell>
        </row>
      </sheetData>
      <sheetData sheetId="1591">
        <row r="264">
          <cell r="AE264">
            <v>0</v>
          </cell>
        </row>
      </sheetData>
      <sheetData sheetId="1592">
        <row r="264">
          <cell r="AE264">
            <v>0</v>
          </cell>
        </row>
      </sheetData>
      <sheetData sheetId="1593">
        <row r="264">
          <cell r="AE264">
            <v>0</v>
          </cell>
        </row>
      </sheetData>
      <sheetData sheetId="1594">
        <row r="264">
          <cell r="AE264">
            <v>0</v>
          </cell>
        </row>
      </sheetData>
      <sheetData sheetId="1595">
        <row r="264">
          <cell r="AE264">
            <v>0</v>
          </cell>
        </row>
      </sheetData>
      <sheetData sheetId="1596">
        <row r="264">
          <cell r="AE264">
            <v>0</v>
          </cell>
        </row>
      </sheetData>
      <sheetData sheetId="1597">
        <row r="264">
          <cell r="AE264">
            <v>0</v>
          </cell>
        </row>
      </sheetData>
      <sheetData sheetId="1598">
        <row r="264">
          <cell r="AE264">
            <v>0</v>
          </cell>
        </row>
      </sheetData>
      <sheetData sheetId="1599">
        <row r="264">
          <cell r="AE264">
            <v>0</v>
          </cell>
        </row>
      </sheetData>
      <sheetData sheetId="1600">
        <row r="264">
          <cell r="AE264">
            <v>0</v>
          </cell>
        </row>
      </sheetData>
      <sheetData sheetId="1601">
        <row r="264">
          <cell r="AE264">
            <v>0</v>
          </cell>
        </row>
      </sheetData>
      <sheetData sheetId="1602">
        <row r="264">
          <cell r="AE264">
            <v>0</v>
          </cell>
        </row>
      </sheetData>
      <sheetData sheetId="1603"/>
      <sheetData sheetId="1604">
        <row r="264">
          <cell r="AE264">
            <v>0</v>
          </cell>
        </row>
      </sheetData>
      <sheetData sheetId="1605"/>
      <sheetData sheetId="1606">
        <row r="264">
          <cell r="AE264">
            <v>0</v>
          </cell>
        </row>
      </sheetData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>
        <row r="264">
          <cell r="AE264">
            <v>0</v>
          </cell>
        </row>
      </sheetData>
      <sheetData sheetId="1622">
        <row r="264">
          <cell r="AE264">
            <v>0</v>
          </cell>
        </row>
      </sheetData>
      <sheetData sheetId="1623">
        <row r="264">
          <cell r="AE264">
            <v>0</v>
          </cell>
        </row>
      </sheetData>
      <sheetData sheetId="1624">
        <row r="264">
          <cell r="AE264">
            <v>0</v>
          </cell>
        </row>
      </sheetData>
      <sheetData sheetId="1625">
        <row r="264">
          <cell r="AE264">
            <v>0</v>
          </cell>
        </row>
      </sheetData>
      <sheetData sheetId="1626">
        <row r="264">
          <cell r="AE264">
            <v>0</v>
          </cell>
        </row>
      </sheetData>
      <sheetData sheetId="1627">
        <row r="264">
          <cell r="AE264">
            <v>0</v>
          </cell>
        </row>
      </sheetData>
      <sheetData sheetId="1628">
        <row r="264">
          <cell r="AE264">
            <v>0</v>
          </cell>
        </row>
      </sheetData>
      <sheetData sheetId="1629">
        <row r="264">
          <cell r="AE264">
            <v>0</v>
          </cell>
        </row>
      </sheetData>
      <sheetData sheetId="1630">
        <row r="264">
          <cell r="AE264">
            <v>0</v>
          </cell>
        </row>
      </sheetData>
      <sheetData sheetId="1631">
        <row r="264">
          <cell r="AE264">
            <v>0</v>
          </cell>
        </row>
      </sheetData>
      <sheetData sheetId="1632">
        <row r="264">
          <cell r="AE264">
            <v>0</v>
          </cell>
        </row>
      </sheetData>
      <sheetData sheetId="1633">
        <row r="264">
          <cell r="AE264">
            <v>0</v>
          </cell>
        </row>
      </sheetData>
      <sheetData sheetId="1634"/>
      <sheetData sheetId="1635">
        <row r="264">
          <cell r="AE264">
            <v>0</v>
          </cell>
        </row>
      </sheetData>
      <sheetData sheetId="1636">
        <row r="264">
          <cell r="AE264">
            <v>0</v>
          </cell>
        </row>
      </sheetData>
      <sheetData sheetId="1637">
        <row r="264">
          <cell r="AE264">
            <v>0</v>
          </cell>
        </row>
      </sheetData>
      <sheetData sheetId="1638">
        <row r="264">
          <cell r="AE264">
            <v>0</v>
          </cell>
        </row>
      </sheetData>
      <sheetData sheetId="1639">
        <row r="264">
          <cell r="AE264">
            <v>0</v>
          </cell>
        </row>
      </sheetData>
      <sheetData sheetId="1640">
        <row r="264">
          <cell r="AE264">
            <v>0</v>
          </cell>
        </row>
      </sheetData>
      <sheetData sheetId="1641">
        <row r="264">
          <cell r="AE264">
            <v>0</v>
          </cell>
        </row>
      </sheetData>
      <sheetData sheetId="1642">
        <row r="264">
          <cell r="AE264">
            <v>0</v>
          </cell>
        </row>
      </sheetData>
      <sheetData sheetId="1643">
        <row r="264">
          <cell r="AE264">
            <v>0</v>
          </cell>
        </row>
      </sheetData>
      <sheetData sheetId="1644">
        <row r="264">
          <cell r="AE264">
            <v>0</v>
          </cell>
        </row>
      </sheetData>
      <sheetData sheetId="1645">
        <row r="264">
          <cell r="AE264">
            <v>0</v>
          </cell>
        </row>
      </sheetData>
      <sheetData sheetId="1646">
        <row r="264">
          <cell r="AE264">
            <v>0</v>
          </cell>
        </row>
      </sheetData>
      <sheetData sheetId="1647">
        <row r="264">
          <cell r="AE264">
            <v>0</v>
          </cell>
        </row>
      </sheetData>
      <sheetData sheetId="1648">
        <row r="264">
          <cell r="AE264">
            <v>0</v>
          </cell>
        </row>
      </sheetData>
      <sheetData sheetId="1649"/>
      <sheetData sheetId="1650">
        <row r="264">
          <cell r="AE264">
            <v>0</v>
          </cell>
        </row>
      </sheetData>
      <sheetData sheetId="1651"/>
      <sheetData sheetId="1652"/>
      <sheetData sheetId="1653"/>
      <sheetData sheetId="1654"/>
      <sheetData sheetId="1655">
        <row r="264">
          <cell r="AE264">
            <v>0</v>
          </cell>
        </row>
      </sheetData>
      <sheetData sheetId="1656">
        <row r="264">
          <cell r="AE264">
            <v>0</v>
          </cell>
        </row>
      </sheetData>
      <sheetData sheetId="1657">
        <row r="264">
          <cell r="AE264">
            <v>0</v>
          </cell>
        </row>
      </sheetData>
      <sheetData sheetId="1658">
        <row r="264">
          <cell r="AE264">
            <v>0</v>
          </cell>
        </row>
      </sheetData>
      <sheetData sheetId="1659">
        <row r="264">
          <cell r="AE264">
            <v>0</v>
          </cell>
        </row>
      </sheetData>
      <sheetData sheetId="1660">
        <row r="264">
          <cell r="AE264">
            <v>0</v>
          </cell>
        </row>
      </sheetData>
      <sheetData sheetId="1661">
        <row r="264">
          <cell r="AE264">
            <v>0</v>
          </cell>
        </row>
      </sheetData>
      <sheetData sheetId="1662">
        <row r="264">
          <cell r="AE264">
            <v>0</v>
          </cell>
        </row>
      </sheetData>
      <sheetData sheetId="1663">
        <row r="264">
          <cell r="AE264">
            <v>0</v>
          </cell>
        </row>
      </sheetData>
      <sheetData sheetId="1664">
        <row r="264">
          <cell r="AE264">
            <v>0</v>
          </cell>
        </row>
      </sheetData>
      <sheetData sheetId="1665">
        <row r="264">
          <cell r="AE264">
            <v>0</v>
          </cell>
        </row>
      </sheetData>
      <sheetData sheetId="1666">
        <row r="264">
          <cell r="AE264">
            <v>0</v>
          </cell>
        </row>
      </sheetData>
      <sheetData sheetId="1667">
        <row r="264">
          <cell r="AE264">
            <v>0</v>
          </cell>
        </row>
      </sheetData>
      <sheetData sheetId="1668"/>
      <sheetData sheetId="1669">
        <row r="264">
          <cell r="AE264">
            <v>0</v>
          </cell>
        </row>
      </sheetData>
      <sheetData sheetId="1670">
        <row r="264">
          <cell r="AE264">
            <v>0</v>
          </cell>
        </row>
      </sheetData>
      <sheetData sheetId="1671">
        <row r="264">
          <cell r="AE264">
            <v>0</v>
          </cell>
        </row>
      </sheetData>
      <sheetData sheetId="1672">
        <row r="264">
          <cell r="AE264">
            <v>0</v>
          </cell>
        </row>
      </sheetData>
      <sheetData sheetId="1673">
        <row r="264">
          <cell r="AE264">
            <v>0</v>
          </cell>
        </row>
      </sheetData>
      <sheetData sheetId="1674">
        <row r="264">
          <cell r="AE264">
            <v>0</v>
          </cell>
        </row>
      </sheetData>
      <sheetData sheetId="1675">
        <row r="264">
          <cell r="AE264">
            <v>0</v>
          </cell>
        </row>
      </sheetData>
      <sheetData sheetId="1676">
        <row r="264">
          <cell r="AE264">
            <v>0</v>
          </cell>
        </row>
      </sheetData>
      <sheetData sheetId="1677">
        <row r="264">
          <cell r="AE264">
            <v>0</v>
          </cell>
        </row>
      </sheetData>
      <sheetData sheetId="1678">
        <row r="264">
          <cell r="AE264">
            <v>0</v>
          </cell>
        </row>
      </sheetData>
      <sheetData sheetId="1679">
        <row r="264">
          <cell r="AE264">
            <v>0</v>
          </cell>
        </row>
      </sheetData>
      <sheetData sheetId="1680">
        <row r="264">
          <cell r="AE264">
            <v>0</v>
          </cell>
        </row>
      </sheetData>
      <sheetData sheetId="1681">
        <row r="264">
          <cell r="AE264">
            <v>0</v>
          </cell>
        </row>
      </sheetData>
      <sheetData sheetId="1682"/>
      <sheetData sheetId="1683">
        <row r="264">
          <cell r="AE264">
            <v>0</v>
          </cell>
        </row>
      </sheetData>
      <sheetData sheetId="1684"/>
      <sheetData sheetId="1685"/>
      <sheetData sheetId="1686"/>
      <sheetData sheetId="1687"/>
      <sheetData sheetId="1688"/>
      <sheetData sheetId="1689">
        <row r="264">
          <cell r="AE264">
            <v>0</v>
          </cell>
        </row>
      </sheetData>
      <sheetData sheetId="1690">
        <row r="264">
          <cell r="AE264">
            <v>0</v>
          </cell>
        </row>
      </sheetData>
      <sheetData sheetId="1691">
        <row r="264">
          <cell r="AE264">
            <v>0</v>
          </cell>
        </row>
      </sheetData>
      <sheetData sheetId="1692">
        <row r="264">
          <cell r="AE264">
            <v>0</v>
          </cell>
        </row>
      </sheetData>
      <sheetData sheetId="1693">
        <row r="264">
          <cell r="AE264">
            <v>0</v>
          </cell>
        </row>
      </sheetData>
      <sheetData sheetId="1694">
        <row r="264">
          <cell r="AE264">
            <v>0</v>
          </cell>
        </row>
      </sheetData>
      <sheetData sheetId="1695">
        <row r="264">
          <cell r="AE264">
            <v>0</v>
          </cell>
        </row>
      </sheetData>
      <sheetData sheetId="1696">
        <row r="264">
          <cell r="AE264">
            <v>0</v>
          </cell>
        </row>
      </sheetData>
      <sheetData sheetId="1697">
        <row r="264">
          <cell r="AE264">
            <v>0</v>
          </cell>
        </row>
      </sheetData>
      <sheetData sheetId="1698">
        <row r="264">
          <cell r="AE264">
            <v>0</v>
          </cell>
        </row>
      </sheetData>
      <sheetData sheetId="1699">
        <row r="264">
          <cell r="AE264">
            <v>0</v>
          </cell>
        </row>
      </sheetData>
      <sheetData sheetId="1700">
        <row r="264">
          <cell r="AE264">
            <v>0</v>
          </cell>
        </row>
      </sheetData>
      <sheetData sheetId="1701">
        <row r="264">
          <cell r="AE264">
            <v>0</v>
          </cell>
        </row>
      </sheetData>
      <sheetData sheetId="1702">
        <row r="264">
          <cell r="AE264">
            <v>0</v>
          </cell>
        </row>
      </sheetData>
      <sheetData sheetId="1703">
        <row r="264">
          <cell r="AE264">
            <v>0</v>
          </cell>
        </row>
      </sheetData>
      <sheetData sheetId="1704">
        <row r="264">
          <cell r="AE264">
            <v>0</v>
          </cell>
        </row>
      </sheetData>
      <sheetData sheetId="1705">
        <row r="264">
          <cell r="AE264">
            <v>0</v>
          </cell>
        </row>
      </sheetData>
      <sheetData sheetId="1706">
        <row r="264">
          <cell r="AE264">
            <v>0</v>
          </cell>
        </row>
      </sheetData>
      <sheetData sheetId="1707">
        <row r="264">
          <cell r="AE264">
            <v>0</v>
          </cell>
        </row>
      </sheetData>
      <sheetData sheetId="1708">
        <row r="264">
          <cell r="AE264">
            <v>0</v>
          </cell>
        </row>
      </sheetData>
      <sheetData sheetId="1709">
        <row r="264">
          <cell r="AE264">
            <v>0</v>
          </cell>
        </row>
      </sheetData>
      <sheetData sheetId="1710">
        <row r="264">
          <cell r="AE264">
            <v>0</v>
          </cell>
        </row>
      </sheetData>
      <sheetData sheetId="1711">
        <row r="264">
          <cell r="AE264">
            <v>0</v>
          </cell>
        </row>
      </sheetData>
      <sheetData sheetId="1712">
        <row r="264">
          <cell r="AE264">
            <v>0</v>
          </cell>
        </row>
      </sheetData>
      <sheetData sheetId="1713">
        <row r="264">
          <cell r="AE264">
            <v>0</v>
          </cell>
        </row>
      </sheetData>
      <sheetData sheetId="1714">
        <row r="264">
          <cell r="AE264">
            <v>0</v>
          </cell>
        </row>
      </sheetData>
      <sheetData sheetId="1715"/>
      <sheetData sheetId="1716">
        <row r="264">
          <cell r="AE264">
            <v>0</v>
          </cell>
        </row>
      </sheetData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>
        <row r="264">
          <cell r="AE264">
            <v>0</v>
          </cell>
        </row>
      </sheetData>
      <sheetData sheetId="1727">
        <row r="264">
          <cell r="AE264">
            <v>0</v>
          </cell>
        </row>
      </sheetData>
      <sheetData sheetId="1728">
        <row r="264">
          <cell r="AE264">
            <v>0</v>
          </cell>
        </row>
      </sheetData>
      <sheetData sheetId="1729">
        <row r="264">
          <cell r="AE264">
            <v>0</v>
          </cell>
        </row>
      </sheetData>
      <sheetData sheetId="1730">
        <row r="264">
          <cell r="AE264">
            <v>0</v>
          </cell>
        </row>
      </sheetData>
      <sheetData sheetId="1731">
        <row r="264">
          <cell r="AE264">
            <v>0</v>
          </cell>
        </row>
      </sheetData>
      <sheetData sheetId="1732">
        <row r="264">
          <cell r="AE264">
            <v>0</v>
          </cell>
        </row>
      </sheetData>
      <sheetData sheetId="1733">
        <row r="264">
          <cell r="AE264">
            <v>0</v>
          </cell>
        </row>
      </sheetData>
      <sheetData sheetId="1734">
        <row r="264">
          <cell r="AE264">
            <v>0</v>
          </cell>
        </row>
      </sheetData>
      <sheetData sheetId="1735">
        <row r="264">
          <cell r="AE264">
            <v>0</v>
          </cell>
        </row>
      </sheetData>
      <sheetData sheetId="1736">
        <row r="264">
          <cell r="AE264">
            <v>0</v>
          </cell>
        </row>
      </sheetData>
      <sheetData sheetId="1737">
        <row r="264">
          <cell r="AE264">
            <v>0</v>
          </cell>
        </row>
      </sheetData>
      <sheetData sheetId="1738">
        <row r="264">
          <cell r="AE264">
            <v>0</v>
          </cell>
        </row>
      </sheetData>
      <sheetData sheetId="1739">
        <row r="264">
          <cell r="AE264">
            <v>0</v>
          </cell>
        </row>
      </sheetData>
      <sheetData sheetId="1740">
        <row r="264">
          <cell r="AE264">
            <v>0</v>
          </cell>
        </row>
      </sheetData>
      <sheetData sheetId="1741">
        <row r="264">
          <cell r="AE264">
            <v>0</v>
          </cell>
        </row>
      </sheetData>
      <sheetData sheetId="1742">
        <row r="264">
          <cell r="AE264">
            <v>0</v>
          </cell>
        </row>
      </sheetData>
      <sheetData sheetId="1743">
        <row r="264">
          <cell r="AE264">
            <v>0</v>
          </cell>
        </row>
      </sheetData>
      <sheetData sheetId="1744">
        <row r="264">
          <cell r="AE264">
            <v>0</v>
          </cell>
        </row>
      </sheetData>
      <sheetData sheetId="1745">
        <row r="264">
          <cell r="AE264">
            <v>0</v>
          </cell>
        </row>
      </sheetData>
      <sheetData sheetId="1746">
        <row r="264">
          <cell r="AE264">
            <v>0</v>
          </cell>
        </row>
      </sheetData>
      <sheetData sheetId="1747">
        <row r="264">
          <cell r="AE264">
            <v>0</v>
          </cell>
        </row>
      </sheetData>
      <sheetData sheetId="1748"/>
      <sheetData sheetId="1749">
        <row r="264">
          <cell r="AE264">
            <v>0</v>
          </cell>
        </row>
      </sheetData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>
        <row r="264">
          <cell r="AE264">
            <v>0</v>
          </cell>
        </row>
      </sheetData>
      <sheetData sheetId="1764">
        <row r="264">
          <cell r="AE264">
            <v>0</v>
          </cell>
        </row>
      </sheetData>
      <sheetData sheetId="1765">
        <row r="264">
          <cell r="AE264">
            <v>0</v>
          </cell>
        </row>
      </sheetData>
      <sheetData sheetId="1766">
        <row r="264">
          <cell r="AE264">
            <v>0</v>
          </cell>
        </row>
      </sheetData>
      <sheetData sheetId="1767">
        <row r="264">
          <cell r="AE264">
            <v>0</v>
          </cell>
        </row>
      </sheetData>
      <sheetData sheetId="1768">
        <row r="264">
          <cell r="AE264">
            <v>0</v>
          </cell>
        </row>
      </sheetData>
      <sheetData sheetId="1769">
        <row r="264">
          <cell r="AE264">
            <v>0</v>
          </cell>
        </row>
      </sheetData>
      <sheetData sheetId="1770">
        <row r="264">
          <cell r="AE264">
            <v>0</v>
          </cell>
        </row>
      </sheetData>
      <sheetData sheetId="1771">
        <row r="264">
          <cell r="AE264">
            <v>0</v>
          </cell>
        </row>
      </sheetData>
      <sheetData sheetId="1772">
        <row r="264">
          <cell r="AE264">
            <v>0</v>
          </cell>
        </row>
      </sheetData>
      <sheetData sheetId="1773">
        <row r="264">
          <cell r="AE264">
            <v>0</v>
          </cell>
        </row>
      </sheetData>
      <sheetData sheetId="1774">
        <row r="264">
          <cell r="AE264">
            <v>0</v>
          </cell>
        </row>
      </sheetData>
      <sheetData sheetId="1775">
        <row r="264">
          <cell r="AE264">
            <v>0</v>
          </cell>
        </row>
      </sheetData>
      <sheetData sheetId="1776">
        <row r="264">
          <cell r="AE264">
            <v>0</v>
          </cell>
        </row>
      </sheetData>
      <sheetData sheetId="1777">
        <row r="264">
          <cell r="AE264">
            <v>0</v>
          </cell>
        </row>
      </sheetData>
      <sheetData sheetId="1778">
        <row r="264">
          <cell r="AE264">
            <v>0</v>
          </cell>
        </row>
      </sheetData>
      <sheetData sheetId="1779">
        <row r="264">
          <cell r="AE264">
            <v>0</v>
          </cell>
        </row>
      </sheetData>
      <sheetData sheetId="1780">
        <row r="264">
          <cell r="AE264">
            <v>0</v>
          </cell>
        </row>
      </sheetData>
      <sheetData sheetId="1781"/>
      <sheetData sheetId="1782">
        <row r="264">
          <cell r="AE264">
            <v>0</v>
          </cell>
        </row>
      </sheetData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>
        <row r="264">
          <cell r="AE264">
            <v>0</v>
          </cell>
        </row>
      </sheetData>
      <sheetData sheetId="1801">
        <row r="264">
          <cell r="AE264">
            <v>0</v>
          </cell>
        </row>
      </sheetData>
      <sheetData sheetId="1802">
        <row r="264">
          <cell r="AE264">
            <v>0</v>
          </cell>
        </row>
      </sheetData>
      <sheetData sheetId="1803">
        <row r="264">
          <cell r="AE264">
            <v>0</v>
          </cell>
        </row>
      </sheetData>
      <sheetData sheetId="1804">
        <row r="264">
          <cell r="AE264">
            <v>0</v>
          </cell>
        </row>
      </sheetData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>
        <row r="264">
          <cell r="AE264">
            <v>0</v>
          </cell>
        </row>
      </sheetData>
      <sheetData sheetId="1811">
        <row r="264">
          <cell r="AE264">
            <v>0</v>
          </cell>
        </row>
      </sheetData>
      <sheetData sheetId="1812">
        <row r="264">
          <cell r="AE264">
            <v>0</v>
          </cell>
        </row>
      </sheetData>
      <sheetData sheetId="1813"/>
      <sheetData sheetId="1814"/>
      <sheetData sheetId="1815">
        <row r="264">
          <cell r="AE264">
            <v>0</v>
          </cell>
        </row>
      </sheetData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>
        <row r="264">
          <cell r="AE264">
            <v>0</v>
          </cell>
        </row>
      </sheetData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>
        <row r="264">
          <cell r="AE264">
            <v>0</v>
          </cell>
        </row>
      </sheetData>
      <sheetData sheetId="1837"/>
      <sheetData sheetId="1838"/>
      <sheetData sheetId="1839"/>
      <sheetData sheetId="1840"/>
      <sheetData sheetId="1841">
        <row r="264">
          <cell r="AE264">
            <v>0</v>
          </cell>
        </row>
      </sheetData>
      <sheetData sheetId="1842"/>
      <sheetData sheetId="1843"/>
      <sheetData sheetId="1844"/>
      <sheetData sheetId="1845"/>
      <sheetData sheetId="1846"/>
      <sheetData sheetId="1847">
        <row r="264">
          <cell r="AE264">
            <v>0</v>
          </cell>
        </row>
      </sheetData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>
        <row r="264">
          <cell r="AE264">
            <v>0</v>
          </cell>
        </row>
      </sheetData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>
        <row r="264">
          <cell r="AE264">
            <v>0</v>
          </cell>
        </row>
      </sheetData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>
        <row r="264">
          <cell r="AE264">
            <v>0</v>
          </cell>
        </row>
      </sheetData>
      <sheetData sheetId="1898"/>
      <sheetData sheetId="1899"/>
      <sheetData sheetId="1900"/>
      <sheetData sheetId="1901"/>
      <sheetData sheetId="1902">
        <row r="264">
          <cell r="AE264">
            <v>0</v>
          </cell>
        </row>
      </sheetData>
      <sheetData sheetId="1903"/>
      <sheetData sheetId="1904"/>
      <sheetData sheetId="1905"/>
      <sheetData sheetId="1906"/>
      <sheetData sheetId="1907"/>
      <sheetData sheetId="1908"/>
      <sheetData sheetId="1909"/>
      <sheetData sheetId="1910">
        <row r="264">
          <cell r="AE264">
            <v>0</v>
          </cell>
        </row>
      </sheetData>
      <sheetData sheetId="1911"/>
      <sheetData sheetId="1912"/>
      <sheetData sheetId="1913"/>
      <sheetData sheetId="1914"/>
      <sheetData sheetId="1915">
        <row r="264">
          <cell r="AE264">
            <v>0</v>
          </cell>
        </row>
      </sheetData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>
        <row r="264">
          <cell r="AE264">
            <v>0</v>
          </cell>
        </row>
      </sheetData>
      <sheetData sheetId="1929"/>
      <sheetData sheetId="1930"/>
      <sheetData sheetId="1931">
        <row r="264">
          <cell r="AE264">
            <v>0</v>
          </cell>
        </row>
      </sheetData>
      <sheetData sheetId="1932">
        <row r="264">
          <cell r="AE264">
            <v>0</v>
          </cell>
        </row>
      </sheetData>
      <sheetData sheetId="1933">
        <row r="264">
          <cell r="AE264">
            <v>0</v>
          </cell>
        </row>
      </sheetData>
      <sheetData sheetId="1934">
        <row r="264">
          <cell r="AE264">
            <v>0</v>
          </cell>
        </row>
      </sheetData>
      <sheetData sheetId="1935">
        <row r="264">
          <cell r="AE264">
            <v>0</v>
          </cell>
        </row>
      </sheetData>
      <sheetData sheetId="1936">
        <row r="264">
          <cell r="AE264">
            <v>0</v>
          </cell>
        </row>
      </sheetData>
      <sheetData sheetId="1937">
        <row r="264">
          <cell r="AE264">
            <v>0</v>
          </cell>
        </row>
      </sheetData>
      <sheetData sheetId="1938">
        <row r="264">
          <cell r="AE264">
            <v>0</v>
          </cell>
        </row>
      </sheetData>
      <sheetData sheetId="1939">
        <row r="264">
          <cell r="AE264">
            <v>0</v>
          </cell>
        </row>
      </sheetData>
      <sheetData sheetId="1940">
        <row r="264">
          <cell r="AE264">
            <v>0</v>
          </cell>
        </row>
      </sheetData>
      <sheetData sheetId="1941">
        <row r="264">
          <cell r="AE264">
            <v>0</v>
          </cell>
        </row>
      </sheetData>
      <sheetData sheetId="1942">
        <row r="264">
          <cell r="AE264">
            <v>0</v>
          </cell>
        </row>
      </sheetData>
      <sheetData sheetId="1943">
        <row r="264">
          <cell r="AE264">
            <v>0</v>
          </cell>
        </row>
      </sheetData>
      <sheetData sheetId="1944"/>
      <sheetData sheetId="1945"/>
      <sheetData sheetId="1946">
        <row r="264">
          <cell r="AE264">
            <v>0</v>
          </cell>
        </row>
      </sheetData>
      <sheetData sheetId="1947"/>
      <sheetData sheetId="1948">
        <row r="264">
          <cell r="AE264">
            <v>0</v>
          </cell>
        </row>
      </sheetData>
      <sheetData sheetId="1949"/>
      <sheetData sheetId="1950"/>
      <sheetData sheetId="1951"/>
      <sheetData sheetId="1952"/>
      <sheetData sheetId="1953"/>
      <sheetData sheetId="1954">
        <row r="264">
          <cell r="AE264">
            <v>0</v>
          </cell>
        </row>
      </sheetData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>
        <row r="264">
          <cell r="AE264">
            <v>0</v>
          </cell>
        </row>
      </sheetData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>
        <row r="264">
          <cell r="AE264">
            <v>0</v>
          </cell>
        </row>
      </sheetData>
      <sheetData sheetId="1978">
        <row r="264">
          <cell r="AE264">
            <v>0</v>
          </cell>
        </row>
      </sheetData>
      <sheetData sheetId="1979">
        <row r="264">
          <cell r="AE264">
            <v>0</v>
          </cell>
        </row>
      </sheetData>
      <sheetData sheetId="1980">
        <row r="264">
          <cell r="AE264">
            <v>0</v>
          </cell>
        </row>
      </sheetData>
      <sheetData sheetId="1981">
        <row r="264">
          <cell r="AE264">
            <v>0</v>
          </cell>
        </row>
      </sheetData>
      <sheetData sheetId="1982">
        <row r="264">
          <cell r="AE264">
            <v>0</v>
          </cell>
        </row>
      </sheetData>
      <sheetData sheetId="1983">
        <row r="264">
          <cell r="AE264">
            <v>0</v>
          </cell>
        </row>
      </sheetData>
      <sheetData sheetId="1984">
        <row r="264">
          <cell r="AE264">
            <v>0</v>
          </cell>
        </row>
      </sheetData>
      <sheetData sheetId="1985">
        <row r="264">
          <cell r="AE264">
            <v>0</v>
          </cell>
        </row>
      </sheetData>
      <sheetData sheetId="1986">
        <row r="264">
          <cell r="AE264">
            <v>0</v>
          </cell>
        </row>
      </sheetData>
      <sheetData sheetId="1987">
        <row r="264">
          <cell r="AE264">
            <v>0</v>
          </cell>
        </row>
      </sheetData>
      <sheetData sheetId="1988">
        <row r="264">
          <cell r="AE264">
            <v>0</v>
          </cell>
        </row>
      </sheetData>
      <sheetData sheetId="1989">
        <row r="264">
          <cell r="AE264">
            <v>0</v>
          </cell>
        </row>
      </sheetData>
      <sheetData sheetId="1990">
        <row r="264">
          <cell r="AE264">
            <v>0</v>
          </cell>
        </row>
      </sheetData>
      <sheetData sheetId="1991">
        <row r="264">
          <cell r="AE264">
            <v>0</v>
          </cell>
        </row>
      </sheetData>
      <sheetData sheetId="1992">
        <row r="264">
          <cell r="AE264">
            <v>0</v>
          </cell>
        </row>
      </sheetData>
      <sheetData sheetId="1993">
        <row r="264">
          <cell r="AE264">
            <v>0</v>
          </cell>
        </row>
      </sheetData>
      <sheetData sheetId="1994">
        <row r="264">
          <cell r="AE264">
            <v>0</v>
          </cell>
        </row>
      </sheetData>
      <sheetData sheetId="1995">
        <row r="264">
          <cell r="AE264">
            <v>0</v>
          </cell>
        </row>
      </sheetData>
      <sheetData sheetId="1996">
        <row r="264">
          <cell r="AE264">
            <v>0</v>
          </cell>
        </row>
      </sheetData>
      <sheetData sheetId="1997">
        <row r="264">
          <cell r="AE264">
            <v>0</v>
          </cell>
        </row>
      </sheetData>
      <sheetData sheetId="1998">
        <row r="264">
          <cell r="AE264">
            <v>0</v>
          </cell>
        </row>
      </sheetData>
      <sheetData sheetId="1999">
        <row r="264">
          <cell r="AE264">
            <v>0</v>
          </cell>
        </row>
      </sheetData>
      <sheetData sheetId="2000">
        <row r="264">
          <cell r="AE264">
            <v>0</v>
          </cell>
        </row>
      </sheetData>
      <sheetData sheetId="2001"/>
      <sheetData sheetId="2002"/>
      <sheetData sheetId="2003">
        <row r="264">
          <cell r="AE264">
            <v>0</v>
          </cell>
        </row>
      </sheetData>
      <sheetData sheetId="2004"/>
      <sheetData sheetId="2005">
        <row r="264">
          <cell r="AE264">
            <v>0</v>
          </cell>
        </row>
      </sheetData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/>
      <sheetData sheetId="2034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/>
      <sheetData sheetId="2041" refreshError="1"/>
      <sheetData sheetId="2042"/>
      <sheetData sheetId="2043"/>
      <sheetData sheetId="2044">
        <row r="264">
          <cell r="AE264">
            <v>0</v>
          </cell>
        </row>
      </sheetData>
      <sheetData sheetId="2045">
        <row r="264">
          <cell r="AE264">
            <v>0</v>
          </cell>
        </row>
      </sheetData>
      <sheetData sheetId="2046">
        <row r="264">
          <cell r="AE264">
            <v>0</v>
          </cell>
        </row>
      </sheetData>
      <sheetData sheetId="2047">
        <row r="264">
          <cell r="AE264">
            <v>0</v>
          </cell>
        </row>
      </sheetData>
      <sheetData sheetId="2048">
        <row r="264">
          <cell r="AE264">
            <v>0</v>
          </cell>
        </row>
      </sheetData>
      <sheetData sheetId="2049">
        <row r="264">
          <cell r="AE264">
            <v>0</v>
          </cell>
        </row>
      </sheetData>
      <sheetData sheetId="2050">
        <row r="264">
          <cell r="AE264">
            <v>0</v>
          </cell>
        </row>
      </sheetData>
      <sheetData sheetId="2051">
        <row r="264">
          <cell r="AE264">
            <v>0</v>
          </cell>
        </row>
      </sheetData>
      <sheetData sheetId="2052">
        <row r="264">
          <cell r="AE264">
            <v>0</v>
          </cell>
        </row>
      </sheetData>
      <sheetData sheetId="2053">
        <row r="264">
          <cell r="AE264">
            <v>0</v>
          </cell>
        </row>
      </sheetData>
      <sheetData sheetId="2054">
        <row r="264">
          <cell r="AE264">
            <v>0</v>
          </cell>
        </row>
      </sheetData>
      <sheetData sheetId="2055">
        <row r="264">
          <cell r="AE264">
            <v>0</v>
          </cell>
        </row>
      </sheetData>
      <sheetData sheetId="2056">
        <row r="264">
          <cell r="AE264">
            <v>0</v>
          </cell>
        </row>
      </sheetData>
      <sheetData sheetId="2057">
        <row r="264">
          <cell r="AE264">
            <v>0</v>
          </cell>
        </row>
      </sheetData>
      <sheetData sheetId="2058">
        <row r="264">
          <cell r="AE264">
            <v>0</v>
          </cell>
        </row>
      </sheetData>
      <sheetData sheetId="2059">
        <row r="264">
          <cell r="AE264">
            <v>0</v>
          </cell>
        </row>
      </sheetData>
      <sheetData sheetId="2060">
        <row r="264">
          <cell r="AE264">
            <v>0</v>
          </cell>
        </row>
      </sheetData>
      <sheetData sheetId="2061">
        <row r="264">
          <cell r="AE264">
            <v>0</v>
          </cell>
        </row>
      </sheetData>
      <sheetData sheetId="2062">
        <row r="264">
          <cell r="AE264">
            <v>0</v>
          </cell>
        </row>
      </sheetData>
      <sheetData sheetId="2063">
        <row r="264">
          <cell r="AE264">
            <v>0</v>
          </cell>
        </row>
      </sheetData>
      <sheetData sheetId="2064"/>
      <sheetData sheetId="2065"/>
      <sheetData sheetId="2066">
        <row r="264">
          <cell r="AE264">
            <v>0</v>
          </cell>
        </row>
      </sheetData>
      <sheetData sheetId="2067"/>
      <sheetData sheetId="2068">
        <row r="264">
          <cell r="AE264">
            <v>0</v>
          </cell>
        </row>
      </sheetData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>
        <row r="264">
          <cell r="AE264">
            <v>0</v>
          </cell>
        </row>
      </sheetData>
      <sheetData sheetId="2091">
        <row r="264">
          <cell r="AE264">
            <v>0</v>
          </cell>
        </row>
      </sheetData>
      <sheetData sheetId="2092">
        <row r="264">
          <cell r="AE264">
            <v>0</v>
          </cell>
        </row>
      </sheetData>
      <sheetData sheetId="2093">
        <row r="264">
          <cell r="AE264">
            <v>0</v>
          </cell>
        </row>
      </sheetData>
      <sheetData sheetId="2094">
        <row r="264">
          <cell r="AE264">
            <v>0</v>
          </cell>
        </row>
      </sheetData>
      <sheetData sheetId="2095">
        <row r="264">
          <cell r="AE264">
            <v>0</v>
          </cell>
        </row>
      </sheetData>
      <sheetData sheetId="2096">
        <row r="264">
          <cell r="AE264">
            <v>0</v>
          </cell>
        </row>
      </sheetData>
      <sheetData sheetId="2097">
        <row r="264">
          <cell r="AE264">
            <v>0</v>
          </cell>
        </row>
      </sheetData>
      <sheetData sheetId="2098">
        <row r="264">
          <cell r="AE264">
            <v>0</v>
          </cell>
        </row>
      </sheetData>
      <sheetData sheetId="2099">
        <row r="264">
          <cell r="AE264">
            <v>0</v>
          </cell>
        </row>
      </sheetData>
      <sheetData sheetId="2100">
        <row r="264">
          <cell r="AE264">
            <v>0</v>
          </cell>
        </row>
      </sheetData>
      <sheetData sheetId="2101">
        <row r="264">
          <cell r="AE264">
            <v>0</v>
          </cell>
        </row>
      </sheetData>
      <sheetData sheetId="2102">
        <row r="264">
          <cell r="AE264">
            <v>0</v>
          </cell>
        </row>
      </sheetData>
      <sheetData sheetId="2103">
        <row r="264">
          <cell r="AE264">
            <v>0</v>
          </cell>
        </row>
      </sheetData>
      <sheetData sheetId="2104">
        <row r="264">
          <cell r="AE264">
            <v>0</v>
          </cell>
        </row>
      </sheetData>
      <sheetData sheetId="2105">
        <row r="264">
          <cell r="AE264">
            <v>0</v>
          </cell>
        </row>
      </sheetData>
      <sheetData sheetId="2106">
        <row r="264">
          <cell r="AE264">
            <v>0</v>
          </cell>
        </row>
      </sheetData>
      <sheetData sheetId="2107">
        <row r="264">
          <cell r="AE264">
            <v>0</v>
          </cell>
        </row>
      </sheetData>
      <sheetData sheetId="2108">
        <row r="264">
          <cell r="AE264">
            <v>0</v>
          </cell>
        </row>
      </sheetData>
      <sheetData sheetId="2109">
        <row r="264">
          <cell r="AE264">
            <v>0</v>
          </cell>
        </row>
      </sheetData>
      <sheetData sheetId="2110"/>
      <sheetData sheetId="2111"/>
      <sheetData sheetId="2112">
        <row r="264">
          <cell r="AE264">
            <v>0</v>
          </cell>
        </row>
      </sheetData>
      <sheetData sheetId="2113"/>
      <sheetData sheetId="2114">
        <row r="264">
          <cell r="AE264">
            <v>0</v>
          </cell>
        </row>
      </sheetData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>
        <row r="264">
          <cell r="AE264">
            <v>0</v>
          </cell>
        </row>
      </sheetData>
      <sheetData sheetId="2137">
        <row r="264">
          <cell r="AE264">
            <v>0</v>
          </cell>
        </row>
      </sheetData>
      <sheetData sheetId="2138">
        <row r="264">
          <cell r="AE264">
            <v>0</v>
          </cell>
        </row>
      </sheetData>
      <sheetData sheetId="2139">
        <row r="264">
          <cell r="AE264">
            <v>0</v>
          </cell>
        </row>
      </sheetData>
      <sheetData sheetId="2140">
        <row r="264">
          <cell r="AE264">
            <v>0</v>
          </cell>
        </row>
      </sheetData>
      <sheetData sheetId="2141">
        <row r="264">
          <cell r="AE264">
            <v>0</v>
          </cell>
        </row>
      </sheetData>
      <sheetData sheetId="2142">
        <row r="264">
          <cell r="AE264">
            <v>0</v>
          </cell>
        </row>
      </sheetData>
      <sheetData sheetId="2143">
        <row r="264">
          <cell r="AE264">
            <v>0</v>
          </cell>
        </row>
      </sheetData>
      <sheetData sheetId="2144">
        <row r="264">
          <cell r="AE264">
            <v>0</v>
          </cell>
        </row>
      </sheetData>
      <sheetData sheetId="2145">
        <row r="264">
          <cell r="AE264">
            <v>0</v>
          </cell>
        </row>
      </sheetData>
      <sheetData sheetId="2146">
        <row r="264">
          <cell r="AE264">
            <v>0</v>
          </cell>
        </row>
      </sheetData>
      <sheetData sheetId="2147">
        <row r="264">
          <cell r="AE264">
            <v>0</v>
          </cell>
        </row>
      </sheetData>
      <sheetData sheetId="2148">
        <row r="264">
          <cell r="AE264">
            <v>0</v>
          </cell>
        </row>
      </sheetData>
      <sheetData sheetId="2149">
        <row r="264">
          <cell r="AE264">
            <v>0</v>
          </cell>
        </row>
      </sheetData>
      <sheetData sheetId="2150">
        <row r="264">
          <cell r="AE264">
            <v>0</v>
          </cell>
        </row>
      </sheetData>
      <sheetData sheetId="2151">
        <row r="264">
          <cell r="AE264">
            <v>0</v>
          </cell>
        </row>
      </sheetData>
      <sheetData sheetId="2152">
        <row r="264">
          <cell r="AE264">
            <v>0</v>
          </cell>
        </row>
      </sheetData>
      <sheetData sheetId="2153">
        <row r="264">
          <cell r="AE264">
            <v>0</v>
          </cell>
        </row>
      </sheetData>
      <sheetData sheetId="2154">
        <row r="264">
          <cell r="AE264">
            <v>0</v>
          </cell>
        </row>
      </sheetData>
      <sheetData sheetId="2155">
        <row r="264">
          <cell r="AE264">
            <v>0</v>
          </cell>
        </row>
      </sheetData>
      <sheetData sheetId="2156"/>
      <sheetData sheetId="2157"/>
      <sheetData sheetId="2158">
        <row r="264">
          <cell r="AE264">
            <v>0</v>
          </cell>
        </row>
      </sheetData>
      <sheetData sheetId="2159"/>
      <sheetData sheetId="2160">
        <row r="264">
          <cell r="AE264">
            <v>0</v>
          </cell>
        </row>
      </sheetData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 refreshError="1"/>
      <sheetData sheetId="2195"/>
      <sheetData sheetId="2196"/>
      <sheetData sheetId="2197">
        <row r="264">
          <cell r="AE264">
            <v>0</v>
          </cell>
        </row>
      </sheetData>
      <sheetData sheetId="2198">
        <row r="264">
          <cell r="AE264">
            <v>0</v>
          </cell>
        </row>
      </sheetData>
      <sheetData sheetId="2199">
        <row r="264">
          <cell r="AE264">
            <v>0</v>
          </cell>
        </row>
      </sheetData>
      <sheetData sheetId="2200">
        <row r="264">
          <cell r="AE264">
            <v>0</v>
          </cell>
        </row>
      </sheetData>
      <sheetData sheetId="2201">
        <row r="264">
          <cell r="AE264">
            <v>0</v>
          </cell>
        </row>
      </sheetData>
      <sheetData sheetId="2202">
        <row r="264">
          <cell r="AE264">
            <v>0</v>
          </cell>
        </row>
      </sheetData>
      <sheetData sheetId="2203">
        <row r="264">
          <cell r="AE264">
            <v>0</v>
          </cell>
        </row>
      </sheetData>
      <sheetData sheetId="2204">
        <row r="264">
          <cell r="AE264">
            <v>0</v>
          </cell>
        </row>
      </sheetData>
      <sheetData sheetId="2205">
        <row r="264">
          <cell r="AE264">
            <v>0</v>
          </cell>
        </row>
      </sheetData>
      <sheetData sheetId="2206">
        <row r="264">
          <cell r="AE264">
            <v>0</v>
          </cell>
        </row>
      </sheetData>
      <sheetData sheetId="2207">
        <row r="264">
          <cell r="AE264">
            <v>0</v>
          </cell>
        </row>
      </sheetData>
      <sheetData sheetId="2208">
        <row r="264">
          <cell r="AE264">
            <v>0</v>
          </cell>
        </row>
      </sheetData>
      <sheetData sheetId="2209">
        <row r="264">
          <cell r="AE264">
            <v>0</v>
          </cell>
        </row>
      </sheetData>
      <sheetData sheetId="2210">
        <row r="264">
          <cell r="AE264">
            <v>0</v>
          </cell>
        </row>
      </sheetData>
      <sheetData sheetId="2211">
        <row r="264">
          <cell r="AE264">
            <v>0</v>
          </cell>
        </row>
      </sheetData>
      <sheetData sheetId="2212">
        <row r="264">
          <cell r="AE264">
            <v>0</v>
          </cell>
        </row>
      </sheetData>
      <sheetData sheetId="2213">
        <row r="264">
          <cell r="AE264">
            <v>0</v>
          </cell>
        </row>
      </sheetData>
      <sheetData sheetId="2214">
        <row r="264">
          <cell r="AE264">
            <v>0</v>
          </cell>
        </row>
      </sheetData>
      <sheetData sheetId="2215">
        <row r="264">
          <cell r="AE264">
            <v>0</v>
          </cell>
        </row>
      </sheetData>
      <sheetData sheetId="2216">
        <row r="264">
          <cell r="AE264">
            <v>0</v>
          </cell>
        </row>
      </sheetData>
      <sheetData sheetId="2217"/>
      <sheetData sheetId="2218"/>
      <sheetData sheetId="2219">
        <row r="264">
          <cell r="AE264">
            <v>0</v>
          </cell>
        </row>
      </sheetData>
      <sheetData sheetId="2220"/>
      <sheetData sheetId="2221">
        <row r="264">
          <cell r="AE264">
            <v>0</v>
          </cell>
        </row>
      </sheetData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>
        <row r="264">
          <cell r="AE264">
            <v>0</v>
          </cell>
        </row>
      </sheetData>
      <sheetData sheetId="2244">
        <row r="264">
          <cell r="AE264">
            <v>0</v>
          </cell>
        </row>
      </sheetData>
      <sheetData sheetId="2245">
        <row r="264">
          <cell r="AE264">
            <v>0</v>
          </cell>
        </row>
      </sheetData>
      <sheetData sheetId="2246">
        <row r="264">
          <cell r="AE264">
            <v>0</v>
          </cell>
        </row>
      </sheetData>
      <sheetData sheetId="2247">
        <row r="264">
          <cell r="AE264">
            <v>0</v>
          </cell>
        </row>
      </sheetData>
      <sheetData sheetId="2248">
        <row r="264">
          <cell r="AE264">
            <v>0</v>
          </cell>
        </row>
      </sheetData>
      <sheetData sheetId="2249">
        <row r="264">
          <cell r="AE264">
            <v>0</v>
          </cell>
        </row>
      </sheetData>
      <sheetData sheetId="2250">
        <row r="264">
          <cell r="AE264">
            <v>0</v>
          </cell>
        </row>
      </sheetData>
      <sheetData sheetId="2251">
        <row r="264">
          <cell r="AE264">
            <v>0</v>
          </cell>
        </row>
      </sheetData>
      <sheetData sheetId="2252">
        <row r="264">
          <cell r="AE264">
            <v>0</v>
          </cell>
        </row>
      </sheetData>
      <sheetData sheetId="2253">
        <row r="264">
          <cell r="AE264">
            <v>0</v>
          </cell>
        </row>
      </sheetData>
      <sheetData sheetId="2254">
        <row r="264">
          <cell r="AE264">
            <v>0</v>
          </cell>
        </row>
      </sheetData>
      <sheetData sheetId="2255">
        <row r="264">
          <cell r="AE264">
            <v>0</v>
          </cell>
        </row>
      </sheetData>
      <sheetData sheetId="2256">
        <row r="264">
          <cell r="AE264">
            <v>0</v>
          </cell>
        </row>
      </sheetData>
      <sheetData sheetId="2257">
        <row r="264">
          <cell r="AE264">
            <v>0</v>
          </cell>
        </row>
      </sheetData>
      <sheetData sheetId="2258">
        <row r="264">
          <cell r="AE264">
            <v>0</v>
          </cell>
        </row>
      </sheetData>
      <sheetData sheetId="2259">
        <row r="264">
          <cell r="AE264">
            <v>0</v>
          </cell>
        </row>
      </sheetData>
      <sheetData sheetId="2260">
        <row r="264">
          <cell r="AE264">
            <v>0</v>
          </cell>
        </row>
      </sheetData>
      <sheetData sheetId="2261">
        <row r="264">
          <cell r="AE264">
            <v>0</v>
          </cell>
        </row>
      </sheetData>
      <sheetData sheetId="2262">
        <row r="264">
          <cell r="AE264">
            <v>0</v>
          </cell>
        </row>
      </sheetData>
      <sheetData sheetId="2263"/>
      <sheetData sheetId="2264"/>
      <sheetData sheetId="2265">
        <row r="264">
          <cell r="AE264">
            <v>0</v>
          </cell>
        </row>
      </sheetData>
      <sheetData sheetId="2266"/>
      <sheetData sheetId="2267">
        <row r="264">
          <cell r="AE264">
            <v>0</v>
          </cell>
        </row>
      </sheetData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ontents"/>
      <sheetName val="Summary"/>
      <sheetName val="IncStmt"/>
      <sheetName val="BSheet"/>
      <sheetName val="ISNotes"/>
      <sheetName val="IncAnalysis"/>
      <sheetName val="Opex"/>
      <sheetName val="BSNotes"/>
      <sheetName val="Ratios"/>
      <sheetName val="Charts"/>
      <sheetName val="CapAdeq"/>
      <sheetName val="Liquidity"/>
      <sheetName val="Cash Flow"/>
      <sheetName val="Value Added"/>
      <sheetName val="Rates"/>
      <sheetName val="Rate Charts"/>
      <sheetName val="IncStmt Reconciliation"/>
      <sheetName val="Contents IFRS"/>
      <sheetName val="Summary IFRS"/>
      <sheetName val="IncStmt IFRS"/>
      <sheetName val="BSheet IFRS"/>
      <sheetName val="Recognised Inc_Exp"/>
      <sheetName val="ISNotes IFRS"/>
      <sheetName val="IncAnalysis IFRS"/>
      <sheetName val="Opex IFRS"/>
      <sheetName val="Income Tax Expense"/>
      <sheetName val="BSNotes IFRS"/>
      <sheetName val="Gratuity Benefit"/>
      <sheetName val="CapAdeq IFRS"/>
      <sheetName val="Deferred Tax Asset_Liab"/>
      <sheetName val="Ratios IFRS"/>
      <sheetName val="Charts IFRS"/>
      <sheetName val="Liquidity IFRS"/>
      <sheetName val="Cash Flow IFRS"/>
      <sheetName val="Value Added IFRS"/>
      <sheetName val="Rates IFRS"/>
      <sheetName val="Rate Charts IFRS"/>
      <sheetName val="Classification IFRS"/>
      <sheetName val="FINSTAT PIVOT"/>
      <sheetName val="Input"/>
      <sheetName val="COA BS"/>
      <sheetName val="COA INC"/>
      <sheetName val="FINSTAT PIVOT FCY"/>
      <sheetName val="BSNotes FCY"/>
      <sheetName val="Opex FCY"/>
      <sheetName val="IncAnalysis FCY"/>
      <sheetName val="ISNotes FCY"/>
      <sheetName val="BSheet FCY"/>
      <sheetName val="IncStmt FCY"/>
      <sheetName val="COA BS FCY"/>
      <sheetName val="COA INC FCY"/>
      <sheetName val="IncStmt IFRS FCY"/>
      <sheetName val="BSheet IFRS FCY"/>
      <sheetName val="ISNotes IFRS FCY"/>
      <sheetName val="IncAnalysis IFRS FCY"/>
      <sheetName val="Opex IFRS FCY"/>
      <sheetName val="BSNotes IFRS F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ontents"/>
      <sheetName val="Summary"/>
      <sheetName val="IncStmt"/>
      <sheetName val="BSheet"/>
      <sheetName val="ISNotes"/>
      <sheetName val="IncAnalysis"/>
      <sheetName val="Opex"/>
      <sheetName val="BSNotes"/>
      <sheetName val="Ratios"/>
      <sheetName val="Charts"/>
      <sheetName val="CapAdeq"/>
      <sheetName val="Liquidity"/>
      <sheetName val="Cash Flow"/>
      <sheetName val="Value Added"/>
      <sheetName val="Rates"/>
      <sheetName val="Rate Charts"/>
      <sheetName val="IncStmt Reconciliation"/>
      <sheetName val="Contents IFRS"/>
      <sheetName val="Summary IFRS"/>
      <sheetName val="IncStmt IFRS"/>
      <sheetName val="BSheet IFRS"/>
      <sheetName val="Recognised Inc_Exp"/>
      <sheetName val="ISNotes IFRS"/>
      <sheetName val="IncAnalysis IFRS"/>
      <sheetName val="Opex IFRS"/>
      <sheetName val="Income Tax Expense"/>
      <sheetName val="BSNotes IFRS"/>
      <sheetName val="Gratuity Benefit"/>
      <sheetName val="CapAdeq IFRS"/>
      <sheetName val="Deferred Tax Asset_Liab"/>
      <sheetName val="Ratios IFRS"/>
      <sheetName val="Charts IFRS"/>
      <sheetName val="Liquidity IFRS"/>
      <sheetName val="Cash Flow IFRS"/>
      <sheetName val="Value Added IFRS"/>
      <sheetName val="Rates IFRS"/>
      <sheetName val="Rate Charts IFRS"/>
      <sheetName val="Classification IFRS"/>
      <sheetName val="FINSTAT PIVOT"/>
      <sheetName val="Input"/>
      <sheetName val="COA BS"/>
      <sheetName val="COA INC"/>
      <sheetName val="FINSTAT PIVOT FCY"/>
      <sheetName val="BSNotes FCY"/>
      <sheetName val="Opex FCY"/>
      <sheetName val="IncAnalysis FCY"/>
      <sheetName val="ISNotes FCY"/>
      <sheetName val="BSheet FCY"/>
      <sheetName val="IncStmt FCY"/>
      <sheetName val="COA BS FCY"/>
      <sheetName val="COA INC FCY"/>
      <sheetName val="IncStmt IFRS FCY"/>
      <sheetName val="BSheet IFRS FCY"/>
      <sheetName val="ISNotes IFRS FCY"/>
      <sheetName val="IncAnalysis IFRS FCY"/>
      <sheetName val="Opex IFRS FCY"/>
      <sheetName val="BSNotes IFRS F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Contents"/>
      <sheetName val="Summary"/>
      <sheetName val="IncStmt"/>
      <sheetName val="BSheet"/>
      <sheetName val="ISNotes"/>
      <sheetName val="IncAnalysis"/>
      <sheetName val="Opex"/>
      <sheetName val="BSNotes"/>
      <sheetName val="Ratios"/>
      <sheetName val="Charts"/>
      <sheetName val="CapAdeq"/>
      <sheetName val="Liquidity"/>
      <sheetName val="Cash Flow"/>
      <sheetName val="Value Added"/>
      <sheetName val="Rates"/>
      <sheetName val="Rate Charts"/>
      <sheetName val="IncStmt Reconciliation"/>
      <sheetName val="Contents IFRS"/>
      <sheetName val="Summary IFRS"/>
      <sheetName val="IncStmt IFRS"/>
      <sheetName val="BSheet IFRS"/>
      <sheetName val="Recognised Inc_Exp"/>
      <sheetName val="ISNotes IFRS"/>
      <sheetName val="IncAnalysis IFRS"/>
      <sheetName val="Opex IFRS"/>
      <sheetName val="Income Tax Expense"/>
      <sheetName val="BSNotes IFRS"/>
      <sheetName val="Gratuity Benefit"/>
      <sheetName val="CapAdeq IFRS"/>
      <sheetName val="Deferred Tax Asset_Liab"/>
      <sheetName val="Ratios IFRS"/>
      <sheetName val="Charts IFRS"/>
      <sheetName val="Liquidity IFRS"/>
      <sheetName val="Cash Flow IFRS"/>
      <sheetName val="Value Added IFRS"/>
      <sheetName val="Rates IFRS"/>
      <sheetName val="Rate Charts IFRS"/>
      <sheetName val="Classification IFRS"/>
      <sheetName val="FINSTAT PIVOT"/>
      <sheetName val="Input"/>
      <sheetName val="COA BS"/>
      <sheetName val="COA INC"/>
      <sheetName val="FINSTAT PIVOT FCY"/>
      <sheetName val="BSNotes FCY"/>
      <sheetName val="Opex FCY"/>
      <sheetName val="IncAnalysis FCY"/>
      <sheetName val="ISNotes FCY"/>
      <sheetName val="BSheet FCY"/>
      <sheetName val="IncStmt FCY"/>
      <sheetName val="COA BS FCY"/>
      <sheetName val="COA INC FCY"/>
      <sheetName val="IncStmt IFRS FCY"/>
      <sheetName val="BSheet IFRS FCY"/>
      <sheetName val="ISNotes IFRS FCY"/>
      <sheetName val="IncAnalysis IFRS FCY"/>
      <sheetName val="Opex IFRS FCY"/>
      <sheetName val="BSNotes IFRS FC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OSFP"/>
      <sheetName val="G-SOFP"/>
      <sheetName val="PL"/>
      <sheetName val="Underwriting rev."/>
      <sheetName val="SOCI"/>
      <sheetName val="G-SOCI"/>
      <sheetName val="SOCE"/>
      <sheetName val="G-SOCE"/>
      <sheetName val="SOCF."/>
      <sheetName val="COMPLETE NOTES &amp; DISCLOSURES"/>
      <sheetName val="Sheet1"/>
      <sheetName val="Sheet2"/>
      <sheetName val="Sheet3"/>
      <sheetName val="INTANGIBLE ASSETS"/>
      <sheetName val="REINSURANCE ASSETS"/>
      <sheetName val="TRADE &amp; OTHER RECEIVABLES"/>
      <sheetName val="TRADE &amp; OTHER PAYABLES"/>
      <sheetName val="RECONCILIATIONS"/>
      <sheetName val="Sheet5"/>
    </sheetNames>
    <sheetDataSet>
      <sheetData sheetId="0">
        <row r="11">
          <cell r="J11">
            <v>382520</v>
          </cell>
        </row>
        <row r="12">
          <cell r="J12">
            <v>8508788</v>
          </cell>
        </row>
        <row r="27">
          <cell r="J27">
            <v>410693.1</v>
          </cell>
        </row>
        <row r="34">
          <cell r="J34">
            <v>93990</v>
          </cell>
        </row>
      </sheetData>
      <sheetData sheetId="1"/>
      <sheetData sheetId="2"/>
      <sheetData sheetId="3">
        <row r="16">
          <cell r="I16">
            <v>-5328278</v>
          </cell>
        </row>
        <row r="19">
          <cell r="I19">
            <v>182980</v>
          </cell>
        </row>
        <row r="25">
          <cell r="I25">
            <v>924622</v>
          </cell>
        </row>
        <row r="29">
          <cell r="I29">
            <v>1046952</v>
          </cell>
        </row>
        <row r="32">
          <cell r="I32">
            <v>5067</v>
          </cell>
        </row>
        <row r="37">
          <cell r="I37">
            <v>-886813</v>
          </cell>
        </row>
        <row r="38">
          <cell r="I38">
            <v>32338</v>
          </cell>
        </row>
        <row r="39">
          <cell r="I39">
            <v>-11752</v>
          </cell>
        </row>
        <row r="41">
          <cell r="I41">
            <v>46390</v>
          </cell>
        </row>
        <row r="42">
          <cell r="I42">
            <v>-637776</v>
          </cell>
        </row>
        <row r="45">
          <cell r="I45">
            <v>-112184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OSFP"/>
      <sheetName val="G-SOFP"/>
      <sheetName val="PL"/>
      <sheetName val="Underwriting rev."/>
      <sheetName val="SOCI"/>
      <sheetName val="G-SOCI"/>
      <sheetName val="SOCE"/>
      <sheetName val="G-SOCE"/>
      <sheetName val="SOCF."/>
      <sheetName val="COMPLETE NOTES &amp; DISCLOSURES"/>
      <sheetName val="Sheet1"/>
      <sheetName val="Sheet2"/>
      <sheetName val="Sheet3"/>
      <sheetName val="INTANGIBLE ASSETS"/>
      <sheetName val="REINSURANCE ASSETS"/>
      <sheetName val="TRADE &amp; OTHER RECEIVABLES"/>
      <sheetName val="TRADE &amp; OTHER PAYABLES"/>
      <sheetName val="RECONCILIATIONS"/>
      <sheetName val="Sheet5"/>
    </sheetNames>
    <sheetDataSet>
      <sheetData sheetId="0">
        <row r="11">
          <cell r="J11">
            <v>382520</v>
          </cell>
        </row>
        <row r="12">
          <cell r="J12">
            <v>8508788</v>
          </cell>
        </row>
        <row r="27">
          <cell r="J27">
            <v>410693.1</v>
          </cell>
        </row>
        <row r="34">
          <cell r="J34">
            <v>93990</v>
          </cell>
        </row>
      </sheetData>
      <sheetData sheetId="1"/>
      <sheetData sheetId="2"/>
      <sheetData sheetId="3">
        <row r="16">
          <cell r="I16">
            <v>-5328278</v>
          </cell>
        </row>
        <row r="19">
          <cell r="I19">
            <v>182980</v>
          </cell>
        </row>
        <row r="25">
          <cell r="I25">
            <v>924622</v>
          </cell>
        </row>
        <row r="29">
          <cell r="I29">
            <v>1046952</v>
          </cell>
        </row>
        <row r="32">
          <cell r="I32">
            <v>5067</v>
          </cell>
        </row>
        <row r="37">
          <cell r="I37">
            <v>-886813</v>
          </cell>
        </row>
        <row r="38">
          <cell r="I38">
            <v>32338</v>
          </cell>
        </row>
        <row r="39">
          <cell r="I39">
            <v>-11752</v>
          </cell>
        </row>
        <row r="41">
          <cell r="I41">
            <v>46390</v>
          </cell>
        </row>
        <row r="42">
          <cell r="I42">
            <v>-637776</v>
          </cell>
        </row>
        <row r="45">
          <cell r="I45">
            <v>-112184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S"/>
      <sheetName val="OSFP"/>
      <sheetName val="G-SOFP"/>
      <sheetName val="PL"/>
      <sheetName val="Underwriting rev."/>
      <sheetName val="SOCI"/>
      <sheetName val="G-SOCI"/>
      <sheetName val="SOCE"/>
      <sheetName val="G-SOCE"/>
      <sheetName val="SOCF."/>
      <sheetName val="COMPLETE NOTES &amp; DISCLOSURES"/>
      <sheetName val="Sheet1"/>
      <sheetName val="Sheet2"/>
      <sheetName val="Sheet3"/>
      <sheetName val="INTANGIBLE ASSETS"/>
      <sheetName val="REINSURANCE ASSETS"/>
      <sheetName val="TRADE &amp; OTHER RECEIVABLES"/>
      <sheetName val="TRADE &amp; OTHER PAYABLES"/>
      <sheetName val="RECONCILIATIONS"/>
      <sheetName val="Sheet5"/>
      <sheetName val="Underwriting_rev_2"/>
      <sheetName val="SOCF_2"/>
      <sheetName val="COMPLETE_NOTES_&amp;_DISCLOSURES2"/>
      <sheetName val="INTANGIBLE_ASSETS2"/>
      <sheetName val="REINSURANCE_ASSETS2"/>
      <sheetName val="TRADE_&amp;_OTHER_RECEIVABLES2"/>
      <sheetName val="TRADE_&amp;_OTHER_PAYABLES2"/>
      <sheetName val="Underwriting_rev_"/>
      <sheetName val="SOCF_"/>
      <sheetName val="COMPLETE_NOTES_&amp;_DISCLOSURES"/>
      <sheetName val="INTANGIBLE_ASSETS"/>
      <sheetName val="REINSURANCE_ASSETS"/>
      <sheetName val="TRADE_&amp;_OTHER_RECEIVABLES"/>
      <sheetName val="TRADE_&amp;_OTHER_PAYABLES"/>
      <sheetName val="Underwriting_rev_1"/>
      <sheetName val="SOCF_1"/>
      <sheetName val="COMPLETE_NOTES_&amp;_DISCLOSURES1"/>
      <sheetName val="INTANGIBLE_ASSETS1"/>
      <sheetName val="REINSURANCE_ASSETS1"/>
      <sheetName val="TRADE_&amp;_OTHER_RECEIVABLES1"/>
      <sheetName val="TRADE_&amp;_OTHER_PAYABLES1"/>
      <sheetName val="note 7-11"/>
      <sheetName val="Lead"/>
      <sheetName val="Links"/>
      <sheetName val="Input"/>
      <sheetName val="Drop"/>
      <sheetName val="Underwriting_rev_3"/>
      <sheetName val="SOCF_3"/>
      <sheetName val="COMPLETE_NOTES_&amp;_DISCLOSURES3"/>
      <sheetName val="INTANGIBLE_ASSETS3"/>
      <sheetName val="REINSURANCE_ASSETS3"/>
      <sheetName val="TRADE_&amp;_OTHER_RECEIVABLES3"/>
      <sheetName val="TRADE_&amp;_OTHER_PAYABLES3"/>
      <sheetName val="note_7-11"/>
      <sheetName val="Underwriting_rev_5"/>
      <sheetName val="SOCF_5"/>
      <sheetName val="COMPLETE_NOTES_&amp;_DISCLOSURES5"/>
      <sheetName val="INTANGIBLE_ASSETS5"/>
      <sheetName val="REINSURANCE_ASSETS5"/>
      <sheetName val="TRADE_&amp;_OTHER_RECEIVABLES5"/>
      <sheetName val="TRADE_&amp;_OTHER_PAYABLES5"/>
      <sheetName val="Underwriting_rev_4"/>
      <sheetName val="SOCF_4"/>
      <sheetName val="COMPLETE_NOTES_&amp;_DISCLOSURES4"/>
      <sheetName val="INTANGIBLE_ASSETS4"/>
      <sheetName val="REINSURANCE_ASSETS4"/>
      <sheetName val="TRADE_&amp;_OTHER_RECEIVABLES4"/>
      <sheetName val="TRADE_&amp;_OTHER_PAYABLES4"/>
      <sheetName val="Underwriting_rev_6"/>
      <sheetName val="SOCF_6"/>
      <sheetName val="COMPLETE_NOTES_&amp;_DISCLOSURES6"/>
      <sheetName val="INTANGIBLE_ASSETS6"/>
      <sheetName val="REINSURANCE_ASSETS6"/>
      <sheetName val="TRADE_&amp;_OTHER_RECEIVABLES6"/>
      <sheetName val="TRADE_&amp;_OTHER_PAYABLES6"/>
    </sheetNames>
    <sheetDataSet>
      <sheetData sheetId="0">
        <row r="11">
          <cell r="J11">
            <v>382520</v>
          </cell>
        </row>
        <row r="12">
          <cell r="J12">
            <v>8508788</v>
          </cell>
        </row>
        <row r="27">
          <cell r="J27">
            <v>410693.1</v>
          </cell>
        </row>
        <row r="34">
          <cell r="J34">
            <v>93990</v>
          </cell>
        </row>
      </sheetData>
      <sheetData sheetId="1">
        <row r="7">
          <cell r="E7">
            <v>9631907.3341762759</v>
          </cell>
        </row>
      </sheetData>
      <sheetData sheetId="2"/>
      <sheetData sheetId="3">
        <row r="16">
          <cell r="I16">
            <v>-5328278</v>
          </cell>
        </row>
        <row r="19">
          <cell r="I19">
            <v>182980</v>
          </cell>
        </row>
        <row r="25">
          <cell r="I25">
            <v>924622</v>
          </cell>
        </row>
        <row r="29">
          <cell r="I29">
            <v>1046952</v>
          </cell>
        </row>
        <row r="32">
          <cell r="I32">
            <v>5067</v>
          </cell>
        </row>
        <row r="37">
          <cell r="I37">
            <v>-886813</v>
          </cell>
        </row>
        <row r="38">
          <cell r="I38">
            <v>32338</v>
          </cell>
        </row>
        <row r="39">
          <cell r="I39">
            <v>-11752</v>
          </cell>
        </row>
        <row r="41">
          <cell r="I41">
            <v>46390</v>
          </cell>
        </row>
        <row r="42">
          <cell r="I42">
            <v>-637776</v>
          </cell>
        </row>
        <row r="45">
          <cell r="I45">
            <v>-112184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"/>
      <sheetName val="G BS"/>
      <sheetName val="Npl"/>
      <sheetName val="Underwriting rev."/>
      <sheetName val="cashflow"/>
      <sheetName val="note 1-4"/>
      <sheetName val="note 4-6"/>
      <sheetName val="note 7-11"/>
      <sheetName val="note 12-13"/>
      <sheetName val="note 13-18"/>
      <sheetName val="note 19-23"/>
      <sheetName val="note 24-26"/>
      <sheetName val="note 27-30"/>
      <sheetName val="note 31-34"/>
      <sheetName val="val.add"/>
      <sheetName val="5YRFS"/>
      <sheetName val="Mgt use"/>
      <sheetName val="Final Mgmt Exp"/>
      <sheetName val="G_BS2"/>
      <sheetName val="Underwriting_rev_2"/>
      <sheetName val="note_1-42"/>
      <sheetName val="note_4-62"/>
      <sheetName val="note_7-112"/>
      <sheetName val="note_12-132"/>
      <sheetName val="note_13-182"/>
      <sheetName val="note_19-232"/>
      <sheetName val="note_24-262"/>
      <sheetName val="note_27-302"/>
      <sheetName val="note_31-342"/>
      <sheetName val="val_add2"/>
      <sheetName val="Mgt_use2"/>
      <sheetName val="Final_Mgmt_Exp2"/>
      <sheetName val="G_BS"/>
      <sheetName val="Underwriting_rev_"/>
      <sheetName val="note_1-4"/>
      <sheetName val="note_4-6"/>
      <sheetName val="note_7-11"/>
      <sheetName val="note_12-13"/>
      <sheetName val="note_13-18"/>
      <sheetName val="note_19-23"/>
      <sheetName val="note_24-26"/>
      <sheetName val="note_27-30"/>
      <sheetName val="note_31-34"/>
      <sheetName val="val_add"/>
      <sheetName val="Mgt_use"/>
      <sheetName val="Final_Mgmt_Exp"/>
      <sheetName val="G_BS1"/>
      <sheetName val="Underwriting_rev_1"/>
      <sheetName val="note_1-41"/>
      <sheetName val="note_4-61"/>
      <sheetName val="note_7-111"/>
      <sheetName val="note_12-131"/>
      <sheetName val="note_13-181"/>
      <sheetName val="note_19-231"/>
      <sheetName val="note_24-261"/>
      <sheetName val="note_27-301"/>
      <sheetName val="note_31-341"/>
      <sheetName val="val_add1"/>
      <sheetName val="Mgt_use1"/>
      <sheetName val="Final_Mgmt_Exp1"/>
      <sheetName val="G_BS5"/>
      <sheetName val="Underwriting_rev_5"/>
      <sheetName val="note_1-45"/>
      <sheetName val="note_4-65"/>
      <sheetName val="note_7-115"/>
      <sheetName val="note_12-135"/>
      <sheetName val="note_13-185"/>
      <sheetName val="note_19-235"/>
      <sheetName val="note_24-265"/>
      <sheetName val="note_27-305"/>
      <sheetName val="note_31-345"/>
      <sheetName val="val_add5"/>
      <sheetName val="Mgt_use5"/>
      <sheetName val="Final_Mgmt_Exp5"/>
      <sheetName val="G_BS3"/>
      <sheetName val="Underwriting_rev_3"/>
      <sheetName val="note_1-43"/>
      <sheetName val="note_4-63"/>
      <sheetName val="note_7-113"/>
      <sheetName val="note_12-133"/>
      <sheetName val="note_13-183"/>
      <sheetName val="note_19-233"/>
      <sheetName val="note_24-263"/>
      <sheetName val="note_27-303"/>
      <sheetName val="note_31-343"/>
      <sheetName val="val_add3"/>
      <sheetName val="Mgt_use3"/>
      <sheetName val="Final_Mgmt_Exp3"/>
      <sheetName val="G_BS4"/>
      <sheetName val="Underwriting_rev_4"/>
      <sheetName val="note_1-44"/>
      <sheetName val="note_4-64"/>
      <sheetName val="note_7-114"/>
      <sheetName val="note_12-134"/>
      <sheetName val="note_13-184"/>
      <sheetName val="note_19-234"/>
      <sheetName val="note_24-264"/>
      <sheetName val="note_27-304"/>
      <sheetName val="note_31-344"/>
      <sheetName val="val_add4"/>
      <sheetName val="Mgt_use4"/>
      <sheetName val="Final_Mgmt_Exp4"/>
      <sheetName val="G_BS6"/>
      <sheetName val="Underwriting_rev_6"/>
      <sheetName val="note_1-46"/>
      <sheetName val="note_4-66"/>
      <sheetName val="note_7-116"/>
      <sheetName val="note_12-136"/>
      <sheetName val="note_13-186"/>
      <sheetName val="note_19-236"/>
      <sheetName val="note_24-266"/>
      <sheetName val="note_27-306"/>
      <sheetName val="note_31-346"/>
      <sheetName val="val_add6"/>
      <sheetName val="Mgt_use6"/>
      <sheetName val="Final_Mgmt_Exp6"/>
    </sheetNames>
    <sheetDataSet>
      <sheetData sheetId="0"/>
      <sheetData sheetId="1"/>
      <sheetData sheetId="2"/>
      <sheetData sheetId="3"/>
      <sheetData sheetId="4"/>
      <sheetData sheetId="5"/>
      <sheetData sheetId="6">
        <row r="45">
          <cell r="I45">
            <v>-657877</v>
          </cell>
        </row>
      </sheetData>
      <sheetData sheetId="7"/>
      <sheetData sheetId="8"/>
      <sheetData sheetId="9">
        <row r="37">
          <cell r="H37">
            <v>80124.69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>
        <row r="45">
          <cell r="I45">
            <v>-657877</v>
          </cell>
        </row>
      </sheetData>
      <sheetData sheetId="22"/>
      <sheetData sheetId="23"/>
      <sheetData sheetId="24">
        <row r="37">
          <cell r="H37">
            <v>80124.69</v>
          </cell>
        </row>
      </sheetData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>
        <row r="45">
          <cell r="I45">
            <v>-657877</v>
          </cell>
        </row>
      </sheetData>
      <sheetData sheetId="36"/>
      <sheetData sheetId="37"/>
      <sheetData sheetId="38">
        <row r="37">
          <cell r="H37">
            <v>80124.69</v>
          </cell>
        </row>
      </sheetData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>
        <row r="45">
          <cell r="I45">
            <v>-657877</v>
          </cell>
        </row>
      </sheetData>
      <sheetData sheetId="50"/>
      <sheetData sheetId="51"/>
      <sheetData sheetId="52">
        <row r="37">
          <cell r="H37">
            <v>80124.69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>
        <row r="45">
          <cell r="I45">
            <v>-657877</v>
          </cell>
        </row>
      </sheetData>
      <sheetData sheetId="64"/>
      <sheetData sheetId="65"/>
      <sheetData sheetId="66">
        <row r="37">
          <cell r="H37">
            <v>80124.69</v>
          </cell>
        </row>
      </sheetData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>
        <row r="45">
          <cell r="I45">
            <v>-657877</v>
          </cell>
        </row>
      </sheetData>
      <sheetData sheetId="78"/>
      <sheetData sheetId="79"/>
      <sheetData sheetId="80">
        <row r="37">
          <cell r="H37">
            <v>80124.69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>
        <row r="45">
          <cell r="I45">
            <v>-657877</v>
          </cell>
        </row>
      </sheetData>
      <sheetData sheetId="92"/>
      <sheetData sheetId="93"/>
      <sheetData sheetId="94">
        <row r="37">
          <cell r="H37">
            <v>80124.69</v>
          </cell>
        </row>
      </sheetData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>
        <row r="45">
          <cell r="I45">
            <v>-657877</v>
          </cell>
        </row>
      </sheetData>
      <sheetData sheetId="106"/>
      <sheetData sheetId="107"/>
      <sheetData sheetId="108">
        <row r="37">
          <cell r="H37">
            <v>80124.69</v>
          </cell>
        </row>
      </sheetData>
      <sheetData sheetId="109"/>
      <sheetData sheetId="110"/>
      <sheetData sheetId="111"/>
      <sheetData sheetId="112"/>
      <sheetData sheetId="113"/>
      <sheetData sheetId="114"/>
      <sheetData sheetId="115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"/>
      <sheetName val="G BS"/>
      <sheetName val="Npl"/>
      <sheetName val="Underwriting rev."/>
      <sheetName val="cashflow"/>
      <sheetName val="note 1-4"/>
      <sheetName val="note 4-6"/>
      <sheetName val="note 7-11"/>
      <sheetName val="note 12-13"/>
      <sheetName val="note 13-18"/>
      <sheetName val="note 19-23"/>
      <sheetName val="note 24-26"/>
      <sheetName val="note 27-30"/>
      <sheetName val="note 31-34"/>
      <sheetName val="val.add"/>
      <sheetName val="5YRFS"/>
      <sheetName val="Mgt use"/>
      <sheetName val="Final Mgmt 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4">
          <cell r="O44">
            <v>171064.28117999999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"/>
      <sheetName val="G BS"/>
      <sheetName val="Npl"/>
      <sheetName val="Underwriting rev."/>
      <sheetName val="cashflow"/>
      <sheetName val="note 1-4"/>
      <sheetName val="note 4-6"/>
      <sheetName val="note 7-11"/>
      <sheetName val="note 12-13"/>
      <sheetName val="note 13-18"/>
      <sheetName val="note 19-23"/>
      <sheetName val="note 24-26"/>
      <sheetName val="note 27-30"/>
      <sheetName val="note 31-34"/>
      <sheetName val="val.add"/>
      <sheetName val="5YRFS"/>
      <sheetName val="Mgt use"/>
      <sheetName val="Final Mgmt 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4">
          <cell r="O44">
            <v>171064.28117999999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"/>
      <sheetName val="G BS"/>
      <sheetName val="Npl"/>
      <sheetName val="Underwriting rev."/>
      <sheetName val="cashflow"/>
      <sheetName val="note 1-4"/>
      <sheetName val="note 4-6"/>
      <sheetName val="note 7-11"/>
      <sheetName val="note 12-13"/>
      <sheetName val="note 13-18"/>
      <sheetName val="note 19-23"/>
      <sheetName val="note 24-26"/>
      <sheetName val="note 27-30"/>
      <sheetName val="note 31-34"/>
      <sheetName val="val.add"/>
      <sheetName val="5YRFS"/>
      <sheetName val="Mgt use"/>
      <sheetName val="Final Mgmt Ex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44">
          <cell r="O44">
            <v>171064.28117999999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^1"/>
      <sheetName val="BS"/>
      <sheetName val="IFRS SOFP"/>
      <sheetName val="PL"/>
      <sheetName val="Underwriting rev."/>
      <sheetName val="CF"/>
      <sheetName val="N.1-6"/>
      <sheetName val="N.1-6 (2)"/>
      <sheetName val="N.7-9"/>
      <sheetName val="N.10-14"/>
      <sheetName val="N.10-14 (2)"/>
      <sheetName val="N.14&gt;-17"/>
      <sheetName val="N.18-23"/>
      <sheetName val="N.24-27"/>
      <sheetName val="N.28-32"/>
      <sheetName val="N.33-"/>
      <sheetName val="N.37-38"/>
      <sheetName val="N.31-35"/>
      <sheetName val="Segmental"/>
      <sheetName val="Val.Add Group"/>
      <sheetName val="Val.Add"/>
      <sheetName val="5YRFS Group"/>
      <sheetName val="5YRFS"/>
      <sheetName val="Mgt use"/>
      <sheetName val="Final Mgmt Exp"/>
      <sheetName val="CAI Financial Statement-2011 F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7">
          <cell r="H47">
            <v>559502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^1"/>
      <sheetName val="BS"/>
      <sheetName val="IFRS SOFP"/>
      <sheetName val="PL"/>
      <sheetName val="Underwriting rev."/>
      <sheetName val="CF"/>
      <sheetName val="N.1-6"/>
      <sheetName val="N.1-6 (2)"/>
      <sheetName val="N.7-9"/>
      <sheetName val="N.10-14"/>
      <sheetName val="N.10-14 (2)"/>
      <sheetName val="N.14&gt;-17"/>
      <sheetName val="N.18-23"/>
      <sheetName val="N.24-27"/>
      <sheetName val="N.28-32"/>
      <sheetName val="N.33-"/>
      <sheetName val="N.37-38"/>
      <sheetName val="N.31-35"/>
      <sheetName val="Segmental"/>
      <sheetName val="Val.Add Group"/>
      <sheetName val="Val.Add"/>
      <sheetName val="5YRFS Group"/>
      <sheetName val="5YRFS"/>
      <sheetName val="Mgt use"/>
      <sheetName val="Final Mgmt Exp"/>
      <sheetName val="CAI Financial Statement-2011 F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47">
          <cell r="H47">
            <v>559502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^1"/>
      <sheetName val="BS"/>
      <sheetName val="IFRS SOFP"/>
      <sheetName val="PL"/>
      <sheetName val="Underwriting rev."/>
      <sheetName val="CF"/>
      <sheetName val="N.1-6"/>
      <sheetName val="N.1-6 (2)"/>
      <sheetName val="N.7-9"/>
      <sheetName val="N.10-14"/>
      <sheetName val="N.10-14 (2)"/>
      <sheetName val="N.14&gt;-17"/>
      <sheetName val="N.18-23"/>
      <sheetName val="N.24-27"/>
      <sheetName val="N.28-32"/>
      <sheetName val="N.33-"/>
      <sheetName val="N.37-38"/>
      <sheetName val="N.31-35"/>
      <sheetName val="Segmental"/>
      <sheetName val="Val.Add Group"/>
      <sheetName val="Val.Add"/>
      <sheetName val="5YRFS Group"/>
      <sheetName val="5YRFS"/>
      <sheetName val="Mgt use"/>
      <sheetName val="Final Mgmt Exp"/>
      <sheetName val="CAI Financial Statement-2011 Fi"/>
      <sheetName val="Source data"/>
      <sheetName val="IFRS_SOFP2"/>
      <sheetName val="Underwriting_rev_2"/>
      <sheetName val="N_1-62"/>
      <sheetName val="N_1-6_(2)2"/>
      <sheetName val="N_7-92"/>
      <sheetName val="N_10-142"/>
      <sheetName val="N_10-14_(2)2"/>
      <sheetName val="N_14&gt;-172"/>
      <sheetName val="N_18-232"/>
      <sheetName val="N_24-272"/>
      <sheetName val="N_28-322"/>
      <sheetName val="N_33-2"/>
      <sheetName val="N_37-382"/>
      <sheetName val="N_31-352"/>
      <sheetName val="Val_Add_Group2"/>
      <sheetName val="Val_Add2"/>
      <sheetName val="5YRFS_Group2"/>
      <sheetName val="Mgt_use2"/>
      <sheetName val="Final_Mgmt_Exp2"/>
      <sheetName val="CAI_Financial_Statement-2011_F2"/>
      <sheetName val="Source_data2"/>
      <sheetName val="IFRS_SOFP"/>
      <sheetName val="Underwriting_rev_"/>
      <sheetName val="N_1-6"/>
      <sheetName val="N_1-6_(2)"/>
      <sheetName val="N_7-9"/>
      <sheetName val="N_10-14"/>
      <sheetName val="N_10-14_(2)"/>
      <sheetName val="N_14&gt;-17"/>
      <sheetName val="N_18-23"/>
      <sheetName val="N_24-27"/>
      <sheetName val="N_28-32"/>
      <sheetName val="N_33-"/>
      <sheetName val="N_37-38"/>
      <sheetName val="N_31-35"/>
      <sheetName val="Val_Add_Group"/>
      <sheetName val="Val_Add"/>
      <sheetName val="5YRFS_Group"/>
      <sheetName val="Mgt_use"/>
      <sheetName val="Final_Mgmt_Exp"/>
      <sheetName val="CAI_Financial_Statement-2011_Fi"/>
      <sheetName val="Source_data"/>
      <sheetName val="IFRS_SOFP1"/>
      <sheetName val="Underwriting_rev_1"/>
      <sheetName val="N_1-61"/>
      <sheetName val="N_1-6_(2)1"/>
      <sheetName val="N_7-91"/>
      <sheetName val="N_10-141"/>
      <sheetName val="N_10-14_(2)1"/>
      <sheetName val="N_14&gt;-171"/>
      <sheetName val="N_18-231"/>
      <sheetName val="N_24-271"/>
      <sheetName val="N_28-321"/>
      <sheetName val="N_33-1"/>
      <sheetName val="N_37-381"/>
      <sheetName val="N_31-351"/>
      <sheetName val="Val_Add_Group1"/>
      <sheetName val="Val_Add1"/>
      <sheetName val="5YRFS_Group1"/>
      <sheetName val="Mgt_use1"/>
      <sheetName val="Final_Mgmt_Exp1"/>
      <sheetName val="CAI_Financial_Statement-2011_F1"/>
      <sheetName val="Source_data1"/>
      <sheetName val="note 7-11"/>
      <sheetName val="IFRS_SOFP3"/>
      <sheetName val="Underwriting_rev_3"/>
      <sheetName val="N_1-63"/>
      <sheetName val="N_1-6_(2)3"/>
      <sheetName val="N_7-93"/>
      <sheetName val="N_10-143"/>
      <sheetName val="N_10-14_(2)3"/>
      <sheetName val="N_14&gt;-173"/>
      <sheetName val="N_18-233"/>
      <sheetName val="N_24-273"/>
      <sheetName val="N_28-323"/>
      <sheetName val="N_33-3"/>
      <sheetName val="N_37-383"/>
      <sheetName val="N_31-353"/>
      <sheetName val="Val_Add_Group3"/>
      <sheetName val="Val_Add3"/>
      <sheetName val="5YRFS_Group3"/>
      <sheetName val="Mgt_use3"/>
      <sheetName val="Final_Mgmt_Exp3"/>
      <sheetName val="CAI_Financial_Statement-2011_F3"/>
      <sheetName val="Source_data3"/>
      <sheetName val="note_7-11"/>
      <sheetName val="IFRS_SOFP5"/>
      <sheetName val="Underwriting_rev_5"/>
      <sheetName val="N_1-65"/>
      <sheetName val="N_1-6_(2)5"/>
      <sheetName val="N_7-95"/>
      <sheetName val="N_10-145"/>
      <sheetName val="N_10-14_(2)5"/>
      <sheetName val="N_14&gt;-175"/>
      <sheetName val="N_18-235"/>
      <sheetName val="N_24-275"/>
      <sheetName val="N_28-325"/>
      <sheetName val="N_33-5"/>
      <sheetName val="N_37-385"/>
      <sheetName val="N_31-355"/>
      <sheetName val="Val_Add_Group5"/>
      <sheetName val="Val_Add5"/>
      <sheetName val="5YRFS_Group5"/>
      <sheetName val="Mgt_use5"/>
      <sheetName val="Final_Mgmt_Exp5"/>
      <sheetName val="CAI_Financial_Statement-2011_F5"/>
      <sheetName val="Source_data5"/>
      <sheetName val="IFRS_SOFP4"/>
      <sheetName val="Underwriting_rev_4"/>
      <sheetName val="N_1-64"/>
      <sheetName val="N_1-6_(2)4"/>
      <sheetName val="N_7-94"/>
      <sheetName val="N_10-144"/>
      <sheetName val="N_10-14_(2)4"/>
      <sheetName val="N_14&gt;-174"/>
      <sheetName val="N_18-234"/>
      <sheetName val="N_24-274"/>
      <sheetName val="N_28-324"/>
      <sheetName val="N_33-4"/>
      <sheetName val="N_37-384"/>
      <sheetName val="N_31-354"/>
      <sheetName val="Val_Add_Group4"/>
      <sheetName val="Val_Add4"/>
      <sheetName val="5YRFS_Group4"/>
      <sheetName val="Mgt_use4"/>
      <sheetName val="Final_Mgmt_Exp4"/>
      <sheetName val="CAI_Financial_Statement-2011_F4"/>
      <sheetName val="Source_data4"/>
      <sheetName val="IFRS_SOFP6"/>
      <sheetName val="Underwriting_rev_6"/>
      <sheetName val="N_1-66"/>
      <sheetName val="N_1-6_(2)6"/>
      <sheetName val="N_7-96"/>
      <sheetName val="N_10-146"/>
      <sheetName val="N_10-14_(2)6"/>
      <sheetName val="N_14&gt;-176"/>
      <sheetName val="N_18-236"/>
      <sheetName val="N_24-276"/>
      <sheetName val="N_28-326"/>
      <sheetName val="N_33-6"/>
      <sheetName val="N_37-386"/>
      <sheetName val="N_31-356"/>
      <sheetName val="Val_Add_Group6"/>
      <sheetName val="Val_Add6"/>
      <sheetName val="5YRFS_Group6"/>
      <sheetName val="Mgt_use6"/>
      <sheetName val="Final_Mgmt_Exp6"/>
      <sheetName val="CAI_Financial_Statement-2011_F6"/>
      <sheetName val="Source_data6"/>
    </sheetNames>
    <sheetDataSet>
      <sheetData sheetId="0"/>
      <sheetData sheetId="1"/>
      <sheetData sheetId="2"/>
      <sheetData sheetId="3">
        <row r="16">
          <cell r="I16">
            <v>9354108</v>
          </cell>
        </row>
      </sheetData>
      <sheetData sheetId="4"/>
      <sheetData sheetId="5"/>
      <sheetData sheetId="6"/>
      <sheetData sheetId="7"/>
      <sheetData sheetId="8">
        <row r="47">
          <cell r="H47">
            <v>559502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/>
      <sheetData sheetId="28"/>
      <sheetData sheetId="29"/>
      <sheetData sheetId="30"/>
      <sheetData sheetId="31">
        <row r="47">
          <cell r="H47">
            <v>559502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>
        <row r="47">
          <cell r="H47">
            <v>559502</v>
          </cell>
        </row>
      </sheetData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>
        <row r="47">
          <cell r="H47">
            <v>559502</v>
          </cell>
        </row>
      </sheetData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/>
      <sheetData sheetId="92"/>
      <sheetData sheetId="93"/>
      <sheetData sheetId="94"/>
      <sheetData sheetId="95">
        <row r="47">
          <cell r="H47">
            <v>559502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>
        <row r="47">
          <cell r="H47">
            <v>559502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>
        <row r="47">
          <cell r="H47">
            <v>559502</v>
          </cell>
        </row>
      </sheetData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>
        <row r="47">
          <cell r="H47">
            <v>559502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page"/>
      <sheetName val="Instructions"/>
      <sheetName val="Schedule1"/>
      <sheetName val="Schedule2"/>
      <sheetName val="Schedule3"/>
      <sheetName val="Schedule4"/>
      <sheetName val="Guidance"/>
      <sheetName val="Input sheet"/>
      <sheetName val="Sheet15"/>
      <sheetName val="Issue of shares and capital tra"/>
      <sheetName val="Sheet2"/>
      <sheetName val="ADB"/>
      <sheetName val="Summary"/>
      <sheetName val="bal_sheet"/>
      <sheetName val="extd tb"/>
      <sheetName val="LOSS ON DISPOSAL (2)"/>
      <sheetName val="MMInvestment 1"/>
      <sheetName val="Cover_page"/>
      <sheetName val="Input_sheet"/>
      <sheetName val="Issue_of_shares_and_capital_tra"/>
      <sheetName val="Cover_page1"/>
      <sheetName val="Input_sheet1"/>
      <sheetName val="Issue_of_shares_and_capital_tr1"/>
      <sheetName val="Cover_page3"/>
      <sheetName val="Input_sheet3"/>
      <sheetName val="Issue_of_shares_and_capital_tr3"/>
      <sheetName val="Cover_page2"/>
      <sheetName val="Input_sheet2"/>
      <sheetName val="Issue_of_shares_and_capital_tr2"/>
      <sheetName val="Cover_page4"/>
      <sheetName val="Input_sheet4"/>
      <sheetName val="Issue_of_shares_and_capital_tr4"/>
      <sheetName val="Cover_page5"/>
      <sheetName val="Input_sheet5"/>
      <sheetName val="Issue_of_shares_and_capital_tr5"/>
      <sheetName val="Cover_page6"/>
      <sheetName val="Input_sheet6"/>
      <sheetName val="Issue_of_shares_and_capital_tr6"/>
      <sheetName val="Cover_page7"/>
      <sheetName val="Input_sheet7"/>
      <sheetName val="Issue_of_shares_and_capital_tr7"/>
      <sheetName val="Cover_page10"/>
      <sheetName val="Input_sheet10"/>
      <sheetName val="Issue_of_shares_and_capital_t10"/>
      <sheetName val="Cover_page8"/>
      <sheetName val="Input_sheet8"/>
      <sheetName val="Issue_of_shares_and_capital_tr8"/>
      <sheetName val="Cover_page9"/>
      <sheetName val="Input_sheet9"/>
      <sheetName val="Issue_of_shares_and_capital_tr9"/>
      <sheetName val="Cover_page11"/>
      <sheetName val="Input_sheet11"/>
      <sheetName val="Issue_of_shares_and_capital_t11"/>
      <sheetName val="Cover_page12"/>
      <sheetName val="Input_sheet12"/>
      <sheetName val="Issue_of_shares_and_capital_t12"/>
      <sheetName val="Cover_page13"/>
      <sheetName val="Input_sheet13"/>
      <sheetName val="Issue_of_shares_and_capital_t13"/>
      <sheetName val="Cover_page15"/>
      <sheetName val="Input_sheet15"/>
      <sheetName val="Issue_of_shares_and_capital_t15"/>
      <sheetName val="Cover_page14"/>
      <sheetName val="Input_sheet14"/>
      <sheetName val="Issue_of_shares_and_capital_t14"/>
      <sheetName val="Cover_page16"/>
      <sheetName val="Input_sheet16"/>
      <sheetName val="Issue_of_shares_and_capital_t16"/>
      <sheetName val="OVERTIME COMPUTATION"/>
      <sheetName val="BSHEET"/>
      <sheetName val="P&amp;L "/>
      <sheetName val="2010 on 2009"/>
      <sheetName val="LOSS_ON_DISPOSAL_(2)"/>
      <sheetName val="MMInvestment_1"/>
      <sheetName val="extd_tb"/>
      <sheetName val="FAS 143"/>
      <sheetName val="Setup"/>
      <sheetName val="JUSTIFICATION"/>
      <sheetName val="As Is"/>
      <sheetName val="P&amp;L_"/>
      <sheetName val="PAC"/>
      <sheetName val="Library Procedures"/>
      <sheetName val="2-FA Movement"/>
      <sheetName val="Cover_page18"/>
      <sheetName val="Input_sheet18"/>
      <sheetName val="Issue_of_shares_and_capital_t18"/>
      <sheetName val="extd_tb2"/>
      <sheetName val="LOSS_ON_DISPOSAL_(2)2"/>
      <sheetName val="MMInvestment_12"/>
      <sheetName val="P&amp;L_1"/>
      <sheetName val="2010_on_20091"/>
      <sheetName val="OVERTIME_COMPUTATION1"/>
      <sheetName val="FAS_1431"/>
      <sheetName val="Cover_page17"/>
      <sheetName val="Input_sheet17"/>
      <sheetName val="Issue_of_shares_and_capital_t17"/>
      <sheetName val="extd_tb1"/>
      <sheetName val="LOSS_ON_DISPOSAL_(2)1"/>
      <sheetName val="MMInvestment_11"/>
      <sheetName val="2010_on_2009"/>
      <sheetName val="OVERTIME_COMPUTATION"/>
      <sheetName val="FAS_143"/>
      <sheetName val="Lookup"/>
      <sheetName val="data"/>
      <sheetName val="NSITF WORKSHEET"/>
      <sheetName val="DATABANK"/>
      <sheetName val="XREF"/>
      <sheetName val="As_Is"/>
      <sheetName val="NSITF_WORKSHEET"/>
      <sheetName val="Cover_page26"/>
      <sheetName val="Input_sheet26"/>
      <sheetName val="Issue_of_shares_and_capital_t26"/>
      <sheetName val="extd_tb10"/>
      <sheetName val="LOSS_ON_DISPOSAL_(2)10"/>
      <sheetName val="MMInvestment_110"/>
      <sheetName val="P&amp;L_10"/>
      <sheetName val="As_Is7"/>
      <sheetName val="2010_on_20097"/>
      <sheetName val="OVERTIME_COMPUTATION7"/>
      <sheetName val="FAS_1437"/>
      <sheetName val="P&amp;L_2"/>
      <sheetName val="Cover_page19"/>
      <sheetName val="Input_sheet19"/>
      <sheetName val="Issue_of_shares_and_capital_t19"/>
      <sheetName val="extd_tb3"/>
      <sheetName val="LOSS_ON_DISPOSAL_(2)3"/>
      <sheetName val="MMInvestment_13"/>
      <sheetName val="P&amp;L_3"/>
      <sheetName val="Cover_page20"/>
      <sheetName val="Input_sheet20"/>
      <sheetName val="Issue_of_shares_and_capital_t20"/>
      <sheetName val="extd_tb4"/>
      <sheetName val="LOSS_ON_DISPOSAL_(2)4"/>
      <sheetName val="MMInvestment_14"/>
      <sheetName val="P&amp;L_4"/>
      <sheetName val="As_Is1"/>
      <sheetName val="Cover_page21"/>
      <sheetName val="Input_sheet21"/>
      <sheetName val="Issue_of_shares_and_capital_t21"/>
      <sheetName val="extd_tb5"/>
      <sheetName val="LOSS_ON_DISPOSAL_(2)5"/>
      <sheetName val="MMInvestment_15"/>
      <sheetName val="P&amp;L_5"/>
      <sheetName val="As_Is2"/>
      <sheetName val="2010_on_20092"/>
      <sheetName val="OVERTIME_COMPUTATION2"/>
      <sheetName val="FAS_1432"/>
      <sheetName val="Cover_page22"/>
      <sheetName val="Input_sheet22"/>
      <sheetName val="Issue_of_shares_and_capital_t22"/>
      <sheetName val="extd_tb6"/>
      <sheetName val="LOSS_ON_DISPOSAL_(2)6"/>
      <sheetName val="MMInvestment_16"/>
      <sheetName val="P&amp;L_6"/>
      <sheetName val="As_Is3"/>
      <sheetName val="2010_on_20093"/>
      <sheetName val="OVERTIME_COMPUTATION3"/>
      <sheetName val="FAS_1433"/>
      <sheetName val="Cover_page23"/>
      <sheetName val="Input_sheet23"/>
      <sheetName val="Issue_of_shares_and_capital_t23"/>
      <sheetName val="extd_tb7"/>
      <sheetName val="LOSS_ON_DISPOSAL_(2)7"/>
      <sheetName val="MMInvestment_17"/>
      <sheetName val="P&amp;L_7"/>
      <sheetName val="As_Is4"/>
      <sheetName val="2010_on_20094"/>
      <sheetName val="OVERTIME_COMPUTATION4"/>
      <sheetName val="FAS_1434"/>
      <sheetName val="Cover_page24"/>
      <sheetName val="Input_sheet24"/>
      <sheetName val="Issue_of_shares_and_capital_t24"/>
      <sheetName val="extd_tb8"/>
      <sheetName val="LOSS_ON_DISPOSAL_(2)8"/>
      <sheetName val="MMInvestment_18"/>
      <sheetName val="P&amp;L_8"/>
      <sheetName val="As_Is5"/>
      <sheetName val="2010_on_20095"/>
      <sheetName val="OVERTIME_COMPUTATION5"/>
      <sheetName val="FAS_1435"/>
      <sheetName val="Cover_page25"/>
      <sheetName val="Input_sheet25"/>
      <sheetName val="Issue_of_shares_and_capital_t25"/>
      <sheetName val="extd_tb9"/>
      <sheetName val="LOSS_ON_DISPOSAL_(2)9"/>
      <sheetName val="MMInvestment_19"/>
      <sheetName val="P&amp;L_9"/>
      <sheetName val="As_Is6"/>
      <sheetName val="2010_on_20096"/>
      <sheetName val="OVERTIME_COMPUTATION6"/>
      <sheetName val="FAS_1436"/>
      <sheetName val="Cover_page27"/>
      <sheetName val="Input_sheet27"/>
      <sheetName val="Issue_of_shares_and_capital_t27"/>
      <sheetName val="extd_tb11"/>
      <sheetName val="LOSS_ON_DISPOSAL_(2)11"/>
      <sheetName val="MMInvestment_111"/>
      <sheetName val="P&amp;L_11"/>
      <sheetName val="As_Is8"/>
      <sheetName val="2010_on_20098"/>
      <sheetName val="OVERTIME_COMPUTATION8"/>
      <sheetName val="FAS_1438"/>
      <sheetName val="Cover_page28"/>
      <sheetName val="Input_sheet28"/>
      <sheetName val="Issue_of_shares_and_capital_t28"/>
      <sheetName val="extd_tb12"/>
      <sheetName val="LOSS_ON_DISPOSAL_(2)12"/>
      <sheetName val="MMInvestment_112"/>
      <sheetName val="P&amp;L_12"/>
      <sheetName val="2010_on_20099"/>
      <sheetName val="OVERTIME_COMPUTATION9"/>
      <sheetName val="FAS_1439"/>
      <sheetName val="As_Is9"/>
      <sheetName val="2-FA_Movement"/>
      <sheetName val="NSITF_WORKSHEET1"/>
      <sheetName val="Library_Procedures"/>
      <sheetName val="extd_tb13"/>
      <sheetName val="LOSS_ON_DISPOSAL_(2)13"/>
      <sheetName val="MMInvestment_113"/>
      <sheetName val="extd_tb14"/>
      <sheetName val="LOSS_ON_DISPOSAL_(2)14"/>
      <sheetName val="MMInvestment_114"/>
      <sheetName val="CORPORATE BOND INVESTMENT-HTM"/>
      <sheetName val="Jan 2000 - Scr1"/>
      <sheetName val="Cover_page29"/>
      <sheetName val="Input_sheet29"/>
      <sheetName val="Issue_of_shares_and_capital_t29"/>
      <sheetName val="P&amp;L_13"/>
      <sheetName val="As_Is10"/>
      <sheetName val="2010_on_200910"/>
      <sheetName val="OVERTIME_COMPUTATION10"/>
      <sheetName val="FAS_14310"/>
      <sheetName val="Chart of Accounts"/>
      <sheetName val="P.1"/>
      <sheetName val="P.2"/>
      <sheetName val="FA Disposal"/>
      <sheetName val="all location 2007 "/>
      <sheetName val="All locations 2008"/>
      <sheetName val="Drop"/>
      <sheetName val="Links"/>
      <sheetName val="TB"/>
      <sheetName val="FEB1"/>
      <sheetName val="FEB2"/>
      <sheetName val="JAN2"/>
      <sheetName val="MAR1"/>
      <sheetName val="MAR2"/>
      <sheetName val="MA"/>
      <sheetName val="Input"/>
      <sheetName val="Introduction"/>
      <sheetName val="F4"/>
      <sheetName val="paye 3-1"/>
      <sheetName val="Housing"/>
      <sheetName val="Oct 00"/>
      <sheetName val="Cover_page30"/>
      <sheetName val="Input_sheet30"/>
      <sheetName val="Issue_of_shares_and_capital_t30"/>
      <sheetName val="P&amp;L_14"/>
      <sheetName val="As_Is11"/>
      <sheetName val="2010_on_200911"/>
      <sheetName val="OVERTIME_COMPUTATION11"/>
      <sheetName val="FAS_14311"/>
      <sheetName val="Cover_page31"/>
      <sheetName val="Input_sheet31"/>
      <sheetName val="Issue_of_shares_and_capital_t31"/>
      <sheetName val="extd_tb15"/>
      <sheetName val="LOSS_ON_DISPOSAL_(2)15"/>
      <sheetName val="MMInvestment_115"/>
      <sheetName val="P&amp;L_15"/>
      <sheetName val="As_Is12"/>
      <sheetName val="2010_on_200912"/>
      <sheetName val="OVERTIME_COMPUTATION12"/>
      <sheetName val="FAS_14312"/>
      <sheetName val="Discretionary"/>
      <sheetName val="PRMT"/>
      <sheetName val="Ilorin_Stations"/>
      <sheetName val="Debt Draw"/>
      <sheetName val="2009 (2)"/>
      <sheetName val="Scenarios"/>
      <sheetName val="BILUSZY"/>
      <sheetName val="pplay load"/>
      <sheetName val="Additions mi"/>
      <sheetName val="Write off"/>
      <sheetName val="Module 1 master unlocked.xls"/>
      <sheetName val="Module 1 master unlocked"/>
      <sheetName val="Module_1_master_unlocked_xls"/>
      <sheetName val="Module_1_master_unlocked"/>
      <sheetName val="Module_1_master_unlocked_xls1"/>
      <sheetName val="Module_1_master_unlocked1"/>
      <sheetName val="Module_1_master_unlocked_xls2"/>
      <sheetName val="Module_1_master_unlocked2"/>
      <sheetName val="Module_1_master_unlocked_xls3"/>
      <sheetName val="Module_1_master_unlocked3"/>
      <sheetName val="Exchange diffs"/>
      <sheetName val="Module_1_master_unlocked_xls4"/>
      <sheetName val="Module_1_master_unlocked4"/>
      <sheetName val="Cover_page34"/>
      <sheetName val="Input_sheet34"/>
      <sheetName val="Issue_of_shares_and_capital_t34"/>
      <sheetName val="extd_tb18"/>
      <sheetName val="LOSS_ON_DISPOSAL_(2)18"/>
      <sheetName val="MMInvestment_118"/>
      <sheetName val="P&amp;L_18"/>
      <sheetName val="2010_on_200915"/>
      <sheetName val="OVERTIME_COMPUTATION15"/>
      <sheetName val="FAS_14315"/>
      <sheetName val="NSITF_WORKSHEET4"/>
      <sheetName val="As_Is15"/>
      <sheetName val="2-FA_Movement3"/>
      <sheetName val="Library_Procedures3"/>
      <sheetName val="CORPORATE_BOND_INVESTMENT-HTM2"/>
      <sheetName val="Jan_2000_-_Scr12"/>
      <sheetName val="Chart_of_Accounts2"/>
      <sheetName val="P_12"/>
      <sheetName val="P_22"/>
      <sheetName val="all_location_2007_2"/>
      <sheetName val="All_locations_20082"/>
      <sheetName val="FA_Disposal2"/>
      <sheetName val="Cover_page33"/>
      <sheetName val="Input_sheet33"/>
      <sheetName val="Issue_of_shares_and_capital_t33"/>
      <sheetName val="extd_tb17"/>
      <sheetName val="LOSS_ON_DISPOSAL_(2)17"/>
      <sheetName val="MMInvestment_117"/>
      <sheetName val="P&amp;L_17"/>
      <sheetName val="2010_on_200914"/>
      <sheetName val="OVERTIME_COMPUTATION14"/>
      <sheetName val="FAS_14314"/>
      <sheetName val="NSITF_WORKSHEET3"/>
      <sheetName val="As_Is14"/>
      <sheetName val="2-FA_Movement2"/>
      <sheetName val="Library_Procedures2"/>
      <sheetName val="CORPORATE_BOND_INVESTMENT-HTM1"/>
      <sheetName val="Jan_2000_-_Scr11"/>
      <sheetName val="Chart_of_Accounts1"/>
      <sheetName val="P_11"/>
      <sheetName val="P_21"/>
      <sheetName val="all_location_2007_1"/>
      <sheetName val="All_locations_20081"/>
      <sheetName val="FA_Disposal1"/>
      <sheetName val="Cover_page32"/>
      <sheetName val="Input_sheet32"/>
      <sheetName val="Issue_of_shares_and_capital_t32"/>
      <sheetName val="extd_tb16"/>
      <sheetName val="LOSS_ON_DISPOSAL_(2)16"/>
      <sheetName val="MMInvestment_116"/>
      <sheetName val="P&amp;L_16"/>
      <sheetName val="2010_on_200913"/>
      <sheetName val="OVERTIME_COMPUTATION13"/>
      <sheetName val="FAS_14313"/>
      <sheetName val="NSITF_WORKSHEET2"/>
      <sheetName val="As_Is13"/>
      <sheetName val="2-FA_Movement1"/>
      <sheetName val="Library_Procedures1"/>
      <sheetName val="CORPORATE_BOND_INVESTMENT-HTM"/>
      <sheetName val="Jan_2000_-_Scr1"/>
      <sheetName val="Chart_of_Accounts"/>
      <sheetName val="P_1"/>
      <sheetName val="P_2"/>
      <sheetName val="all_location_2007_"/>
      <sheetName val="All_locations_2008"/>
      <sheetName val="FA_Disposal"/>
      <sheetName val="FY11 income statement"/>
      <sheetName val="Technical Tab"/>
      <sheetName val="LOV"/>
      <sheetName val="Tinapa Suites - Room Revs"/>
      <sheetName val="Trade Post - Room Revs"/>
      <sheetName val="Cover_page41"/>
      <sheetName val="Input_sheet41"/>
      <sheetName val="Issue_of_shares_and_capital_t41"/>
      <sheetName val="extd_tb25"/>
      <sheetName val="LOSS_ON_DISPOSAL_(2)25"/>
      <sheetName val="MMInvestment_125"/>
      <sheetName val="P&amp;L_25"/>
      <sheetName val="As_Is22"/>
      <sheetName val="2010_on_200922"/>
      <sheetName val="OVERTIME_COMPUTATION22"/>
      <sheetName val="FAS_14322"/>
      <sheetName val="2-FA_Movement10"/>
      <sheetName val="Cover_page35"/>
      <sheetName val="Input_sheet35"/>
      <sheetName val="Issue_of_shares_and_capital_t35"/>
      <sheetName val="extd_tb19"/>
      <sheetName val="LOSS_ON_DISPOSAL_(2)19"/>
      <sheetName val="MMInvestment_119"/>
      <sheetName val="P&amp;L_19"/>
      <sheetName val="As_Is16"/>
      <sheetName val="2010_on_200916"/>
      <sheetName val="OVERTIME_COMPUTATION16"/>
      <sheetName val="FAS_14316"/>
      <sheetName val="2-FA_Movement4"/>
      <sheetName val="Cover_page36"/>
      <sheetName val="Input_sheet36"/>
      <sheetName val="Issue_of_shares_and_capital_t36"/>
      <sheetName val="extd_tb20"/>
      <sheetName val="LOSS_ON_DISPOSAL_(2)20"/>
      <sheetName val="MMInvestment_120"/>
      <sheetName val="P&amp;L_20"/>
      <sheetName val="As_Is17"/>
      <sheetName val="2010_on_200917"/>
      <sheetName val="OVERTIME_COMPUTATION17"/>
      <sheetName val="FAS_14317"/>
      <sheetName val="2-FA_Movement5"/>
      <sheetName val="NSITF_WORKSHEET5"/>
      <sheetName val="Library_Procedures4"/>
      <sheetName val="Cover_page37"/>
      <sheetName val="Input_sheet37"/>
      <sheetName val="Issue_of_shares_and_capital_t37"/>
      <sheetName val="extd_tb21"/>
      <sheetName val="LOSS_ON_DISPOSAL_(2)21"/>
      <sheetName val="MMInvestment_121"/>
      <sheetName val="P&amp;L_21"/>
      <sheetName val="As_Is18"/>
      <sheetName val="2010_on_200918"/>
      <sheetName val="OVERTIME_COMPUTATION18"/>
      <sheetName val="FAS_14318"/>
      <sheetName val="2-FA_Movement6"/>
      <sheetName val="Cover_page38"/>
      <sheetName val="Input_sheet38"/>
      <sheetName val="Issue_of_shares_and_capital_t38"/>
      <sheetName val="extd_tb22"/>
      <sheetName val="LOSS_ON_DISPOSAL_(2)22"/>
      <sheetName val="MMInvestment_122"/>
      <sheetName val="P&amp;L_22"/>
      <sheetName val="As_Is19"/>
      <sheetName val="2010_on_200919"/>
      <sheetName val="OVERTIME_COMPUTATION19"/>
      <sheetName val="FAS_14319"/>
      <sheetName val="2-FA_Movement7"/>
      <sheetName val="Cover_page39"/>
      <sheetName val="Input_sheet39"/>
      <sheetName val="Issue_of_shares_and_capital_t39"/>
      <sheetName val="extd_tb23"/>
      <sheetName val="LOSS_ON_DISPOSAL_(2)23"/>
      <sheetName val="MMInvestment_123"/>
      <sheetName val="P&amp;L_23"/>
      <sheetName val="As_Is20"/>
      <sheetName val="2010_on_200920"/>
      <sheetName val="OVERTIME_COMPUTATION20"/>
      <sheetName val="FAS_14320"/>
      <sheetName val="2-FA_Movement8"/>
      <sheetName val="Cover_page40"/>
      <sheetName val="Input_sheet40"/>
      <sheetName val="Issue_of_shares_and_capital_t40"/>
      <sheetName val="extd_tb24"/>
      <sheetName val="LOSS_ON_DISPOSAL_(2)24"/>
      <sheetName val="MMInvestment_124"/>
      <sheetName val="P&amp;L_24"/>
      <sheetName val="As_Is21"/>
      <sheetName val="2010_on_200921"/>
      <sheetName val="OVERTIME_COMPUTATION21"/>
      <sheetName val="FAS_14321"/>
      <sheetName val="2-FA_Movement9"/>
      <sheetName val="Cover_page42"/>
      <sheetName val="Input_sheet42"/>
      <sheetName val="Issue_of_shares_and_capital_t42"/>
      <sheetName val="extd_tb26"/>
      <sheetName val="LOSS_ON_DISPOSAL_(2)26"/>
      <sheetName val="MMInvestment_126"/>
      <sheetName val="P&amp;L_26"/>
      <sheetName val="2010_on_200923"/>
      <sheetName val="OVERTIME_COMPUTATION23"/>
      <sheetName val="FAS_14323"/>
      <sheetName val="As_Is23"/>
      <sheetName val="2-FA_Movement11"/>
      <sheetName val="NSITF_WORKSHEET6"/>
      <sheetName val="Library_Procedures5"/>
      <sheetName val="Cover_page43"/>
      <sheetName val="Input_sheet43"/>
      <sheetName val="Issue_of_shares_and_capital_t43"/>
      <sheetName val="extd_tb27"/>
      <sheetName val="LOSS_ON_DISPOSAL_(2)27"/>
      <sheetName val="MMInvestment_127"/>
      <sheetName val="P&amp;L_27"/>
      <sheetName val="2010_on_200924"/>
      <sheetName val="OVERTIME_COMPUTATION24"/>
      <sheetName val="FAS_14324"/>
      <sheetName val="2-FA_Movement12"/>
      <sheetName val="As_Is24"/>
      <sheetName val="NSITF_WORKSHEET7"/>
      <sheetName val="Library_Procedures6"/>
      <sheetName val="Technical_Tab"/>
      <sheetName val="Tinapa_Suites_-_Room_Revs"/>
      <sheetName val="Trade_Post_-_Room_Revs"/>
      <sheetName val="Module_1_master_unlocked_xls5"/>
      <sheetName val="Module_1_master_unlocked5"/>
      <sheetName val="Exchange_diffs"/>
      <sheetName val="Debt_Draw"/>
      <sheetName val="2009_(2)"/>
      <sheetName val="pplay_load"/>
      <sheetName val="Additions_mi"/>
      <sheetName val="Write_off"/>
      <sheetName val="CORPORATE_BOND_INVESTMENT-HTM3"/>
      <sheetName val="Jan_2000_-_Scr13"/>
      <sheetName val="Chart_of_Accounts3"/>
      <sheetName val="P_13"/>
      <sheetName val="P_23"/>
      <sheetName val="FA_Disposal3"/>
      <sheetName val="all_location_2007_3"/>
      <sheetName val="All_locations_20083"/>
      <sheetName val="paye_3-1"/>
      <sheetName val="Oct_00"/>
      <sheetName val="FY11_income_statement"/>
      <sheetName val="2010 Depletion Rates"/>
      <sheetName val="2010_Depletion_Rates"/>
      <sheetName val="N.7-9"/>
      <sheetName val="Inputs"/>
      <sheetName val="CORPORATE_BOND_INVESTMENT-HTM4"/>
      <sheetName val="Jan_2000_-_Scr14"/>
      <sheetName val="Chart_of_Accounts4"/>
      <sheetName val="P_14"/>
      <sheetName val="P_24"/>
      <sheetName val="all_location_2007_4"/>
      <sheetName val="All_locations_20084"/>
      <sheetName val="FA_Disposal4"/>
      <sheetName val="CORPORATE_BOND_INVESTMENT-HTM5"/>
      <sheetName val="Jan_2000_-_Scr15"/>
      <sheetName val="Chart_of_Accounts5"/>
      <sheetName val="P_15"/>
      <sheetName val="P_25"/>
      <sheetName val="all_location_2007_5"/>
      <sheetName val="All_locations_20085"/>
      <sheetName val="FA_Disposal5"/>
      <sheetName val="NSITF_WORKSHEET8"/>
      <sheetName val="Library_Procedures7"/>
      <sheetName val="CORPORATE_BOND_INVESTMENT-HTM6"/>
      <sheetName val="Jan_2000_-_Scr16"/>
      <sheetName val="Chart_of_Accounts6"/>
      <sheetName val="P_16"/>
      <sheetName val="P_26"/>
      <sheetName val="all_location_2007_6"/>
      <sheetName val="All_locations_20086"/>
      <sheetName val="FA_Disposal6"/>
      <sheetName val=" Dep (3)"/>
      <sheetName val="Misc"/>
      <sheetName val="Fcast"/>
      <sheetName val="Cover_page44"/>
      <sheetName val="Input_sheet44"/>
      <sheetName val="Issue_of_shares_and_capital_t44"/>
      <sheetName val="extd_tb28"/>
      <sheetName val="LOSS_ON_DISPOSAL_(2)28"/>
      <sheetName val="MMInvestment_128"/>
      <sheetName val="P&amp;L_28"/>
      <sheetName val="2010_on_200925"/>
      <sheetName val="OVERTIME_COMPUTATION25"/>
      <sheetName val="FAS_14325"/>
      <sheetName val="As_Is25"/>
      <sheetName val="2-FA_Movement13"/>
      <sheetName val="NSITF_WORKSHEET14"/>
      <sheetName val="Library_Procedures13"/>
      <sheetName val="CORPORATE_BOND_INVESTMENT-HTM12"/>
      <sheetName val="Jan_2000_-_Scr112"/>
      <sheetName val="Chart_of_Accounts12"/>
      <sheetName val="P_112"/>
      <sheetName val="P_212"/>
      <sheetName val="all_location_2007_12"/>
      <sheetName val="All_locations_200812"/>
      <sheetName val="FA_Disposal12"/>
      <sheetName val="Debt_Draw9"/>
      <sheetName val="2009_(2)9"/>
      <sheetName val="pplay_load9"/>
      <sheetName val="Additions_mi9"/>
      <sheetName val="Write_off9"/>
      <sheetName val="Debt_Draw3"/>
      <sheetName val="2009_(2)3"/>
      <sheetName val="pplay_load3"/>
      <sheetName val="Additions_mi3"/>
      <sheetName val="Write_off3"/>
      <sheetName val="Debt_Draw1"/>
      <sheetName val="2009_(2)1"/>
      <sheetName val="pplay_load1"/>
      <sheetName val="Additions_mi1"/>
      <sheetName val="Write_off1"/>
      <sheetName val="Debt_Draw2"/>
      <sheetName val="2009_(2)2"/>
      <sheetName val="pplay_load2"/>
      <sheetName val="Additions_mi2"/>
      <sheetName val="Write_off2"/>
      <sheetName val="NSITF_WORKSHEET9"/>
      <sheetName val="Library_Procedures8"/>
      <sheetName val="CORPORATE_BOND_INVESTMENT-HTM7"/>
      <sheetName val="Jan_2000_-_Scr17"/>
      <sheetName val="Chart_of_Accounts7"/>
      <sheetName val="P_17"/>
      <sheetName val="P_27"/>
      <sheetName val="all_location_2007_7"/>
      <sheetName val="All_locations_20087"/>
      <sheetName val="FA_Disposal7"/>
      <sheetName val="Debt_Draw4"/>
      <sheetName val="2009_(2)4"/>
      <sheetName val="pplay_load4"/>
      <sheetName val="Additions_mi4"/>
      <sheetName val="Write_off4"/>
      <sheetName val="NSITF_WORKSHEET10"/>
      <sheetName val="Library_Procedures9"/>
      <sheetName val="CORPORATE_BOND_INVESTMENT-HTM8"/>
      <sheetName val="Jan_2000_-_Scr18"/>
      <sheetName val="Chart_of_Accounts8"/>
      <sheetName val="P_18"/>
      <sheetName val="P_28"/>
      <sheetName val="all_location_2007_8"/>
      <sheetName val="All_locations_20088"/>
      <sheetName val="FA_Disposal8"/>
      <sheetName val="Debt_Draw5"/>
      <sheetName val="2009_(2)5"/>
      <sheetName val="pplay_load5"/>
      <sheetName val="Additions_mi5"/>
      <sheetName val="Write_off5"/>
      <sheetName val="NSITF_WORKSHEET11"/>
      <sheetName val="Library_Procedures10"/>
      <sheetName val="CORPORATE_BOND_INVESTMENT-HTM9"/>
      <sheetName val="Jan_2000_-_Scr19"/>
      <sheetName val="Chart_of_Accounts9"/>
      <sheetName val="P_19"/>
      <sheetName val="P_29"/>
      <sheetName val="all_location_2007_9"/>
      <sheetName val="All_locations_20089"/>
      <sheetName val="FA_Disposal9"/>
      <sheetName val="Debt_Draw6"/>
      <sheetName val="2009_(2)6"/>
      <sheetName val="pplay_load6"/>
      <sheetName val="Additions_mi6"/>
      <sheetName val="Write_off6"/>
      <sheetName val="NSITF_WORKSHEET12"/>
      <sheetName val="Library_Procedures11"/>
      <sheetName val="CORPORATE_BOND_INVESTMENT-HTM10"/>
      <sheetName val="Jan_2000_-_Scr110"/>
      <sheetName val="Chart_of_Accounts10"/>
      <sheetName val="P_110"/>
      <sheetName val="P_210"/>
      <sheetName val="all_location_2007_10"/>
      <sheetName val="All_locations_200810"/>
      <sheetName val="FA_Disposal10"/>
      <sheetName val="Debt_Draw7"/>
      <sheetName val="2009_(2)7"/>
      <sheetName val="pplay_load7"/>
      <sheetName val="Additions_mi7"/>
      <sheetName val="Write_off7"/>
      <sheetName val="NSITF_WORKSHEET13"/>
      <sheetName val="Library_Procedures12"/>
      <sheetName val="CORPORATE_BOND_INVESTMENT-HTM11"/>
      <sheetName val="Jan_2000_-_Scr111"/>
      <sheetName val="Chart_of_Accounts11"/>
      <sheetName val="P_111"/>
      <sheetName val="P_211"/>
      <sheetName val="all_location_2007_11"/>
      <sheetName val="All_locations_200811"/>
      <sheetName val="FA_Disposal11"/>
      <sheetName val="Debt_Draw8"/>
      <sheetName val="2009_(2)8"/>
      <sheetName val="pplay_load8"/>
      <sheetName val="Additions_mi8"/>
      <sheetName val="Write_off8"/>
      <sheetName val="Cover_page45"/>
      <sheetName val="Input_sheet45"/>
      <sheetName val="Issue_of_shares_and_capital_t45"/>
      <sheetName val="extd_tb29"/>
      <sheetName val="LOSS_ON_DISPOSAL_(2)29"/>
      <sheetName val="MMInvestment_129"/>
      <sheetName val="P&amp;L_29"/>
      <sheetName val="2010_on_200926"/>
      <sheetName val="OVERTIME_COMPUTATION26"/>
      <sheetName val="FAS_14326"/>
      <sheetName val="As_Is26"/>
      <sheetName val="2-FA_Movement14"/>
      <sheetName val="NSITF_WORKSHEET15"/>
      <sheetName val="Library_Procedures14"/>
      <sheetName val="CORPORATE_BOND_INVESTMENT-HTM13"/>
      <sheetName val="Jan_2000_-_Scr113"/>
      <sheetName val="Chart_of_Accounts13"/>
      <sheetName val="P_113"/>
      <sheetName val="P_213"/>
      <sheetName val="all_location_2007_13"/>
      <sheetName val="All_locations_200813"/>
      <sheetName val="FA_Disposal13"/>
      <sheetName val="Debt_Draw10"/>
      <sheetName val="2009_(2)10"/>
      <sheetName val="pplay_load10"/>
      <sheetName val="Additions_mi10"/>
      <sheetName val="Write_off10"/>
      <sheetName val="Cover_page46"/>
      <sheetName val="Input_sheet46"/>
      <sheetName val="Issue_of_shares_and_capital_t46"/>
      <sheetName val="extd_tb30"/>
      <sheetName val="LOSS_ON_DISPOSAL_(2)30"/>
      <sheetName val="MMInvestment_130"/>
      <sheetName val="P&amp;L_30"/>
      <sheetName val="2010_on_200927"/>
      <sheetName val="OVERTIME_COMPUTATION27"/>
      <sheetName val="FAS_14327"/>
      <sheetName val="As_Is27"/>
      <sheetName val="2-FA_Movement15"/>
      <sheetName val="NSITF_WORKSHEET16"/>
      <sheetName val="Library_Procedures15"/>
      <sheetName val="CORPORATE_BOND_INVESTMENT-HTM14"/>
      <sheetName val="Jan_2000_-_Scr114"/>
      <sheetName val="Chart_of_Accounts14"/>
      <sheetName val="P_114"/>
      <sheetName val="P_214"/>
      <sheetName val="all_location_2007_14"/>
      <sheetName val="All_locations_200814"/>
      <sheetName val="FA_Disposal14"/>
      <sheetName val="Debt_Draw11"/>
      <sheetName val="2009_(2)11"/>
      <sheetName val="pplay_load11"/>
      <sheetName val="Additions_mi11"/>
      <sheetName val="Write_off11"/>
      <sheetName val="Intro"/>
      <sheetName val="Sheet3"/>
      <sheetName val="Menu"/>
      <sheetName val="Lead"/>
      <sheetName val="Module_1_master_unlocked_xls7"/>
      <sheetName val="Module_1_master_unlocked7"/>
      <sheetName val="Exchange_diffs2"/>
      <sheetName val="Module_1_master_unlocked_xls6"/>
      <sheetName val="Module_1_master_unlocked6"/>
      <sheetName val="Exchange_diffs1"/>
      <sheetName val="Module_1_master_unlocked_xls9"/>
      <sheetName val="Module_1_master_unlocked9"/>
      <sheetName val="Exchange_diffs4"/>
      <sheetName val="Module_1_master_unlocked_xls8"/>
      <sheetName val="Module_1_master_unlocked8"/>
      <sheetName val="Exchange_diffs3"/>
      <sheetName val="Module_1_master_unlocked_xls10"/>
      <sheetName val="Module_1_master_unlocked10"/>
      <sheetName val="Exchange_diffs5"/>
      <sheetName val="Export Tracker"/>
      <sheetName val="Contents"/>
      <sheetName val="deferred revenue"/>
      <sheetName val="Analysis"/>
      <sheetName val="Expenses"/>
      <sheetName val="Trading Inventory"/>
      <sheetName val="Stationery Inventory"/>
      <sheetName val="Computer Consumables"/>
      <sheetName val="Stationery stock"/>
      <sheetName val="MO P&amp;L var"/>
      <sheetName val="PL ALL"/>
      <sheetName val="Assumptions"/>
      <sheetName val="Module_1_master_unlocked_xls11"/>
      <sheetName val="Module_1_master_unlocked11"/>
      <sheetName val="Exchange_diffs6"/>
      <sheetName val="Export_Tracker"/>
      <sheetName val="deferred_revenue"/>
      <sheetName val="Module_1_master_unlocked_xls12"/>
      <sheetName val="Module_1_master_unlocked12"/>
      <sheetName val="Exchange_diffs7"/>
      <sheetName val="Export_Tracker1"/>
      <sheetName val="deferred_revenue1"/>
      <sheetName val="Module_1_master_unlocked_xls13"/>
      <sheetName val="Module_1_master_unlocked13"/>
      <sheetName val="Exchange_diffs8"/>
      <sheetName val="Export_Tracker2"/>
      <sheetName val="deferred_revenue2"/>
      <sheetName val="Parameters"/>
      <sheetName val="MASTER_PRICING"/>
      <sheetName val="Pres"/>
      <sheetName val="TPS"/>
      <sheetName val="Taxation"/>
      <sheetName val="SEP-96"/>
      <sheetName val="FDM - p&amp;l(ytd)"/>
      <sheetName val="Module_1_master_unlocked_xls22"/>
      <sheetName val="Module_1_master_unlocked22"/>
      <sheetName val="Exchange_diffs17"/>
      <sheetName val="Module_1_master_unlocked_xls21"/>
      <sheetName val="Module_1_master_unlocked21"/>
      <sheetName val="Exchange_diffs16"/>
      <sheetName val="Module_1_master_unlocked_xls17"/>
      <sheetName val="Module_1_master_unlocked17"/>
      <sheetName val="Exchange_diffs12"/>
      <sheetName val="Module_1_master_unlocked_xls16"/>
      <sheetName val="Module_1_master_unlocked16"/>
      <sheetName val="Exchange_diffs11"/>
      <sheetName val="Module_1_master_unlocked_xls15"/>
      <sheetName val="Module_1_master_unlocked15"/>
      <sheetName val="Exchange_diffs10"/>
      <sheetName val="Module_1_master_unlocked_xls14"/>
      <sheetName val="Module_1_master_unlocked14"/>
      <sheetName val="Exchange_diffs9"/>
      <sheetName val="Module_1_master_unlocked_xls20"/>
      <sheetName val="Module_1_master_unlocked20"/>
      <sheetName val="Exchange_diffs15"/>
      <sheetName val="Module_1_master_unlocked_xls19"/>
      <sheetName val="Module_1_master_unlocked19"/>
      <sheetName val="Exchange_diffs14"/>
      <sheetName val="Module_1_master_unlocked_xls18"/>
      <sheetName val="Module_1_master_unlocked18"/>
      <sheetName val="Exchange_diffs13"/>
      <sheetName val="Module_1_master_unlocked_xls23"/>
      <sheetName val="Module_1_master_unlocked23"/>
      <sheetName val="Exchange_diffs18"/>
      <sheetName val="Module_1_master_unlocked_xls24"/>
      <sheetName val="Module_1_master_unlocked24"/>
      <sheetName val="Exchange_diffs19"/>
      <sheetName val="Module_1_master_unlocked_xls25"/>
      <sheetName val="Module_1_master_unlocked25"/>
      <sheetName val="Exchange_diffs20"/>
      <sheetName val="Module_1_master_unlocked_xls26"/>
      <sheetName val="Module_1_master_unlocked26"/>
      <sheetName val="Exchange_diffs21"/>
      <sheetName val="Module_1_master_unlocked_xls27"/>
      <sheetName val="Module_1_master_unlocked27"/>
      <sheetName val="Exchange_diffs22"/>
      <sheetName val="Module_1_master_unlocked_xls30"/>
      <sheetName val="Module_1_master_unlocked30"/>
      <sheetName val="Exchange_diffs25"/>
      <sheetName val="Module_1_master_unlocked_xls28"/>
      <sheetName val="Module_1_master_unlocked28"/>
      <sheetName val="Exchange_diffs23"/>
      <sheetName val="Module_1_master_unlocked_xls29"/>
      <sheetName val="Module_1_master_unlocked29"/>
      <sheetName val="Exchange_diffs24"/>
      <sheetName val="Module_1_master_unlocked_xls31"/>
      <sheetName val="Module_1_master_unlocked31"/>
      <sheetName val="Exchange_diffs26"/>
      <sheetName val="Module_1_master_unlocked_xls32"/>
      <sheetName val="Module_1_master_unlocked32"/>
      <sheetName val="Exchange_diffs27"/>
      <sheetName val="Module_1_master_unlocked_xls33"/>
      <sheetName val="Module_1_master_unlocked33"/>
      <sheetName val="Exchange_diffs28"/>
      <sheetName val="Module_1_master_unlocked_xls34"/>
      <sheetName val="Module_1_master_unlocked34"/>
      <sheetName val="Exchange_diffs29"/>
      <sheetName val="Module_1_master_unlocked_xls35"/>
      <sheetName val="Module_1_master_unlocked35"/>
      <sheetName val="Exchange_diffs30"/>
      <sheetName val="Module_1_master_unlocked_xls36"/>
      <sheetName val="Module_1_master_unlocked36"/>
      <sheetName val="Exchange_diffs31"/>
      <sheetName val="Lists"/>
      <sheetName val="ECONET WIRELESS 2004 AFS"/>
      <sheetName val="NOTES 9"/>
      <sheetName val="Export_Tracker3"/>
      <sheetName val="deferred_revenue3"/>
      <sheetName val="Stationery_stock"/>
      <sheetName val="computation"/>
      <sheetName val="Note1"/>
      <sheetName val="Export_Tracker4"/>
      <sheetName val="deferred_revenue4"/>
      <sheetName val="Stationery_stock1"/>
      <sheetName val="NOTES_9"/>
      <sheetName val="Trading_Inventory"/>
      <sheetName val="Stationery_Inventory"/>
      <sheetName val="Computer_Consumables"/>
      <sheetName val="MO_P&amp;L_var"/>
      <sheetName val="PL_ALL"/>
      <sheetName val="Planning"/>
      <sheetName val="Module_1_master_unlocked_xls37"/>
      <sheetName val="Module_1_master_unlocked37"/>
      <sheetName val="Exchange_diffs32"/>
      <sheetName val="Head Office Expenses"/>
      <sheetName val="Data_Input"/>
      <sheetName val="WKLY"/>
      <sheetName val="MTD"/>
      <sheetName val="YTD"/>
      <sheetName val="Managers"/>
      <sheetName val="Module_1_master_unlocked_xls38"/>
      <sheetName val="Module_1_master_unlocked38"/>
      <sheetName val="Exchange_diffs33"/>
      <sheetName val="Trading_Inventory1"/>
      <sheetName val="Stationery_Inventory1"/>
      <sheetName val="Computer_Consumables1"/>
      <sheetName val="MO_P&amp;L_var1"/>
      <sheetName val="PL_ALL1"/>
      <sheetName val="FDM_-_p&amp;l(ytd)"/>
      <sheetName val="Module_1_master_unlocked_xls39"/>
      <sheetName val="Module_1_master_unlocked39"/>
      <sheetName val="Exchange_diffs34"/>
      <sheetName val="Export_Tracker5"/>
      <sheetName val="deferred_revenue5"/>
      <sheetName val="Trading_Inventory2"/>
      <sheetName val="Stationery_Inventory2"/>
      <sheetName val="Computer_Consumables2"/>
      <sheetName val="Stationery_stock2"/>
      <sheetName val="MO_P&amp;L_var2"/>
      <sheetName val="PL_ALL2"/>
      <sheetName val="FDM_-_p&amp;l(ytd)1"/>
      <sheetName val="ECONET_WIRELESS_2004_AFS"/>
      <sheetName val="NOTES_91"/>
      <sheetName val="Fountain"/>
      <sheetName val="Module_1_master_unlocked_xls40"/>
      <sheetName val="Module_1_master_unlocked40"/>
      <sheetName val="Exchange_diffs35"/>
      <sheetName val="Export_Tracker6"/>
      <sheetName val="deferred_revenue6"/>
      <sheetName val="Trading_Inventory3"/>
      <sheetName val="Stationery_Inventory3"/>
      <sheetName val="Computer_Consumables3"/>
      <sheetName val="Stationery_stock3"/>
      <sheetName val="MO_P&amp;L_var3"/>
      <sheetName val="PL_ALL3"/>
      <sheetName val="FDM_-_p&amp;l(ytd)2"/>
      <sheetName val="ECONET_WIRELESS_2004_AFS1"/>
      <sheetName val="NOTES_92"/>
      <sheetName val="Module_1_master_unlocked_xls41"/>
      <sheetName val="Module_1_master_unlocked41"/>
      <sheetName val="Exchange_diffs36"/>
      <sheetName val="Export_Tracker7"/>
      <sheetName val="deferred_revenue7"/>
      <sheetName val="Trading_Inventory4"/>
      <sheetName val="Stationery_Inventory4"/>
      <sheetName val="Computer_Consumables4"/>
      <sheetName val="Stationery_stock4"/>
      <sheetName val="MO_P&amp;L_var4"/>
      <sheetName val="PL_ALL4"/>
      <sheetName val="FDM_-_p&amp;l(ytd)3"/>
      <sheetName val="ECONET_WIRELESS_2004_AFS2"/>
      <sheetName val="NOTES_93"/>
      <sheetName val="Module_1_master_unlocked_xls42"/>
      <sheetName val="Module_1_master_unlocked42"/>
      <sheetName val="Exchange_diffs37"/>
      <sheetName val="Export_Tracker8"/>
      <sheetName val="deferred_revenue8"/>
      <sheetName val="Trading_Inventory5"/>
      <sheetName val="Stationery_Inventory5"/>
      <sheetName val="Computer_Consumables5"/>
      <sheetName val="Stationery_stock5"/>
      <sheetName val="MO_P&amp;L_var5"/>
      <sheetName val="PL_ALL5"/>
      <sheetName val="FDM_-_p&amp;l(ytd)4"/>
      <sheetName val="ECONET_WIRELESS_2004_AFS3"/>
      <sheetName val="NOTES_94"/>
      <sheetName val="Module_1_master_unlocked_xls43"/>
      <sheetName val="Module_1_master_unlocked43"/>
      <sheetName val="Exchange_diffs38"/>
      <sheetName val="Export_Tracker9"/>
      <sheetName val="deferred_revenue9"/>
      <sheetName val="Trading_Inventory6"/>
      <sheetName val="Stationery_Inventory6"/>
      <sheetName val="Computer_Consumables6"/>
      <sheetName val="Stationery_stock6"/>
      <sheetName val="MO_P&amp;L_var6"/>
      <sheetName val="PL_ALL6"/>
      <sheetName val="FDM_-_p&amp;l(ytd)5"/>
      <sheetName val="ECONET_WIRELESS_2004_AFS4"/>
      <sheetName val="NOTES_95"/>
      <sheetName val="Revenue"/>
      <sheetName val="FA Movement"/>
      <sheetName val="Capital allows "/>
      <sheetName val="#REF"/>
      <sheetName val="Module_1_master_unlocked_xls44"/>
      <sheetName val="Module_1_master_unlocked44"/>
      <sheetName val="Exchange_diffs39"/>
      <sheetName val="Export_Tracker10"/>
      <sheetName val="deferred_revenue10"/>
      <sheetName val="Trading_Inventory7"/>
      <sheetName val="Stationery_Inventory7"/>
      <sheetName val="Computer_Consumables7"/>
      <sheetName val="Stationery_stock7"/>
      <sheetName val="MO_P&amp;L_var7"/>
      <sheetName val="PL_ALL7"/>
      <sheetName val="FDM_-_p&amp;l(ytd)6"/>
      <sheetName val="ECONET_WIRELESS_2004_AFS5"/>
      <sheetName val="NOTES_96"/>
      <sheetName val="MTG Mux 1, trsp 18"/>
      <sheetName val="mbr3-340"/>
      <sheetName val="August"/>
      <sheetName val="July"/>
      <sheetName val="YEO"/>
      <sheetName val="Control and oil assumptions"/>
      <sheetName val="C-Client Information"/>
      <sheetName val="APP7-LOCATION"/>
      <sheetName val="Transaction costs"/>
      <sheetName val="Cover_page47"/>
      <sheetName val="Input_sheet47"/>
      <sheetName val="Issue_of_shares_and_capital_t47"/>
      <sheetName val="extd_tb31"/>
      <sheetName val="LOSS_ON_DISPOSAL_(2)31"/>
      <sheetName val="MMInvestment_131"/>
      <sheetName val="P&amp;L_31"/>
      <sheetName val="2010_on_200928"/>
      <sheetName val="OVERTIME_COMPUTATION28"/>
      <sheetName val="FAS_14328"/>
      <sheetName val="As_Is28"/>
      <sheetName val="2-FA_Movement16"/>
      <sheetName val="NSITF_WORKSHEET17"/>
      <sheetName val="Library_Procedures16"/>
      <sheetName val="CORPORATE_BOND_INVESTMENT-HTM15"/>
      <sheetName val="Jan_2000_-_Scr115"/>
      <sheetName val="Chart_of_Accounts15"/>
      <sheetName val="P_115"/>
      <sheetName val="P_215"/>
      <sheetName val="all_location_2007_15"/>
      <sheetName val="All_locations_200815"/>
      <sheetName val="FA_Disposal15"/>
      <sheetName val="Debt_Draw12"/>
      <sheetName val="2009_(2)12"/>
      <sheetName val="pplay_load12"/>
      <sheetName val="Additions_mi12"/>
      <sheetName val="Write_off12"/>
      <sheetName val="Cover_page48"/>
      <sheetName val="Input_sheet48"/>
      <sheetName val="Issue_of_shares_and_capital_t48"/>
      <sheetName val="extd_tb32"/>
      <sheetName val="LOSS_ON_DISPOSAL_(2)32"/>
      <sheetName val="MMInvestment_132"/>
      <sheetName val="P&amp;L_32"/>
      <sheetName val="2010_on_200929"/>
      <sheetName val="OVERTIME_COMPUTATION29"/>
      <sheetName val="FAS_14329"/>
      <sheetName val="As_Is29"/>
      <sheetName val="2-FA_Movement17"/>
      <sheetName val="NSITF_WORKSHEET18"/>
      <sheetName val="Library_Procedures17"/>
      <sheetName val="CORPORATE_BOND_INVESTMENT-HTM16"/>
      <sheetName val="Jan_2000_-_Scr116"/>
      <sheetName val="Chart_of_Accounts16"/>
      <sheetName val="P_116"/>
      <sheetName val="P_216"/>
      <sheetName val="all_location_2007_16"/>
      <sheetName val="All_locations_200816"/>
      <sheetName val="FA_Disposal16"/>
      <sheetName val="Debt_Draw13"/>
      <sheetName val="2009_(2)13"/>
      <sheetName val="pplay_load13"/>
      <sheetName val="Additions_mi13"/>
      <sheetName val="Write_off13"/>
      <sheetName val="Cover_page49"/>
      <sheetName val="Input_sheet49"/>
      <sheetName val="Issue_of_shares_and_capital_t49"/>
      <sheetName val="extd_tb33"/>
      <sheetName val="LOSS_ON_DISPOSAL_(2)33"/>
      <sheetName val="MMInvestment_133"/>
      <sheetName val="P&amp;L_33"/>
      <sheetName val="2010_on_200930"/>
      <sheetName val="OVERTIME_COMPUTATION30"/>
      <sheetName val="FAS_14330"/>
      <sheetName val="As_Is30"/>
      <sheetName val="2-FA_Movement18"/>
      <sheetName val="NSITF_WORKSHEET19"/>
      <sheetName val="Library_Procedures18"/>
      <sheetName val="CORPORATE_BOND_INVESTMENT-HTM17"/>
      <sheetName val="Jan_2000_-_Scr117"/>
      <sheetName val="Chart_of_Accounts17"/>
      <sheetName val="P_117"/>
      <sheetName val="P_217"/>
      <sheetName val="all_location_2007_17"/>
      <sheetName val="All_locations_200817"/>
      <sheetName val="FA_Disposal17"/>
      <sheetName val="Debt_Draw14"/>
      <sheetName val="2009_(2)14"/>
      <sheetName val="pplay_load14"/>
      <sheetName val="Additions_mi14"/>
      <sheetName val="Write_off14"/>
      <sheetName val="Bal sheet"/>
      <sheetName val="Profit &amp; loss"/>
      <sheetName val="cos 1"/>
      <sheetName val="SFP"/>
      <sheetName val="SCF"/>
      <sheetName val="Drop down list"/>
      <sheetName val="_Dep_(3)"/>
      <sheetName val="accounts&amp;notes"/>
      <sheetName val="Journal entries"/>
      <sheetName val="RATIO"/>
      <sheetName val="B. SC"/>
      <sheetName val="Cover"/>
      <sheetName val="loan 1"/>
      <sheetName val="Drivers"/>
      <sheetName val="Tinapa_Suites_-_Room_Revs1"/>
      <sheetName val="Trade_Post_-_Room_Revs1"/>
      <sheetName val="_Dep_(3)1"/>
      <sheetName val="2010_Depletion_Rates1"/>
      <sheetName val="Engine"/>
      <sheetName val="Cover_page51"/>
      <sheetName val="Input_sheet51"/>
      <sheetName val="Issue_of_shares_and_capital_t51"/>
      <sheetName val="extd_tb35"/>
      <sheetName val="LOSS_ON_DISPOSAL_(2)35"/>
      <sheetName val="MMInvestment_135"/>
      <sheetName val="P&amp;L_35"/>
      <sheetName val="2010_on_200932"/>
      <sheetName val="OVERTIME_COMPUTATION32"/>
      <sheetName val="FAS_14332"/>
      <sheetName val="As_Is32"/>
      <sheetName val="2-FA_Movement20"/>
      <sheetName val="NSITF_WORKSHEET21"/>
      <sheetName val="Library_Procedures20"/>
      <sheetName val="CORPORATE_BOND_INVESTMENT-HTM19"/>
      <sheetName val="Jan_2000_-_Scr119"/>
      <sheetName val="Chart_of_Accounts19"/>
      <sheetName val="P_119"/>
      <sheetName val="P_219"/>
      <sheetName val="all_location_2007_19"/>
      <sheetName val="All_locations_200819"/>
      <sheetName val="FA_Disposal19"/>
      <sheetName val="Debt_Draw16"/>
      <sheetName val="2009_(2)16"/>
      <sheetName val="pplay_load16"/>
      <sheetName val="Additions_mi16"/>
      <sheetName val="Write_off16"/>
      <sheetName val="Cover_page50"/>
      <sheetName val="Input_sheet50"/>
      <sheetName val="Issue_of_shares_and_capital_t50"/>
      <sheetName val="extd_tb34"/>
      <sheetName val="LOSS_ON_DISPOSAL_(2)34"/>
      <sheetName val="MMInvestment_134"/>
      <sheetName val="P&amp;L_34"/>
      <sheetName val="2010_on_200931"/>
      <sheetName val="OVERTIME_COMPUTATION31"/>
      <sheetName val="FAS_14331"/>
      <sheetName val="As_Is31"/>
      <sheetName val="2-FA_Movement19"/>
      <sheetName val="NSITF_WORKSHEET20"/>
      <sheetName val="Library_Procedures19"/>
      <sheetName val="CORPORATE_BOND_INVESTMENT-HTM18"/>
      <sheetName val="Jan_2000_-_Scr118"/>
      <sheetName val="Chart_of_Accounts18"/>
      <sheetName val="P_118"/>
      <sheetName val="P_218"/>
      <sheetName val="all_location_2007_18"/>
      <sheetName val="All_locations_200818"/>
      <sheetName val="FA_Disposal18"/>
      <sheetName val="Debt_Draw15"/>
      <sheetName val="2009_(2)15"/>
      <sheetName val="pplay_load15"/>
      <sheetName val="Additions_mi15"/>
      <sheetName val="Write_off15"/>
      <sheetName val="SALES BEERS"/>
      <sheetName val="paye_3-11"/>
      <sheetName val="Oct_001"/>
      <sheetName val="FY11_income_statement1"/>
      <sheetName val="Technical_Tab1"/>
      <sheetName val="N_7-9"/>
      <sheetName val="Technical_Tab3"/>
      <sheetName val="Tinapa_Suites_-_Room_Revs3"/>
      <sheetName val="Trade_Post_-_Room_Revs3"/>
      <sheetName val="Technical_Tab2"/>
      <sheetName val="Tinapa_Suites_-_Room_Revs2"/>
      <sheetName val="Trade_Post_-_Room_Revs2"/>
      <sheetName val="Technical_Tab4"/>
      <sheetName val="Tinapa_Suites_-_Room_Revs4"/>
      <sheetName val="Trade_Post_-_Room_Revs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A1" t="str">
            <v>Yes</v>
          </cell>
        </row>
        <row r="2">
          <cell r="A2" t="str">
            <v>No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1">
          <cell r="A1" t="str">
            <v>Yes</v>
          </cell>
        </row>
      </sheetData>
      <sheetData sheetId="18">
        <row r="1">
          <cell r="A1" t="str">
            <v>Yes</v>
          </cell>
        </row>
      </sheetData>
      <sheetData sheetId="19">
        <row r="1">
          <cell r="A1" t="str">
            <v>Yes</v>
          </cell>
        </row>
      </sheetData>
      <sheetData sheetId="20">
        <row r="1">
          <cell r="A1" t="str">
            <v>Yes</v>
          </cell>
        </row>
      </sheetData>
      <sheetData sheetId="21">
        <row r="1">
          <cell r="A1" t="str">
            <v>Yes</v>
          </cell>
        </row>
      </sheetData>
      <sheetData sheetId="22">
        <row r="1">
          <cell r="A1" t="str">
            <v>Yes</v>
          </cell>
        </row>
      </sheetData>
      <sheetData sheetId="23">
        <row r="1">
          <cell r="A1" t="str">
            <v>Yes</v>
          </cell>
        </row>
      </sheetData>
      <sheetData sheetId="24">
        <row r="1">
          <cell r="A1" t="str">
            <v>Yes</v>
          </cell>
        </row>
      </sheetData>
      <sheetData sheetId="25">
        <row r="1">
          <cell r="A1" t="str">
            <v>Yes</v>
          </cell>
        </row>
      </sheetData>
      <sheetData sheetId="26">
        <row r="1">
          <cell r="A1" t="str">
            <v>Yes</v>
          </cell>
        </row>
      </sheetData>
      <sheetData sheetId="27">
        <row r="1">
          <cell r="A1" t="str">
            <v>Yes</v>
          </cell>
        </row>
      </sheetData>
      <sheetData sheetId="28">
        <row r="1">
          <cell r="A1" t="str">
            <v>Yes</v>
          </cell>
        </row>
      </sheetData>
      <sheetData sheetId="29">
        <row r="1">
          <cell r="A1" t="str">
            <v>Yes</v>
          </cell>
        </row>
      </sheetData>
      <sheetData sheetId="30">
        <row r="1">
          <cell r="A1" t="str">
            <v>Yes</v>
          </cell>
        </row>
      </sheetData>
      <sheetData sheetId="31">
        <row r="1">
          <cell r="A1" t="str">
            <v>Yes</v>
          </cell>
        </row>
      </sheetData>
      <sheetData sheetId="32">
        <row r="1">
          <cell r="A1" t="str">
            <v>Yes</v>
          </cell>
        </row>
      </sheetData>
      <sheetData sheetId="33">
        <row r="1">
          <cell r="A1" t="str">
            <v>Yes</v>
          </cell>
        </row>
      </sheetData>
      <sheetData sheetId="34">
        <row r="1">
          <cell r="A1" t="str">
            <v>Yes</v>
          </cell>
        </row>
      </sheetData>
      <sheetData sheetId="35">
        <row r="1">
          <cell r="A1" t="str">
            <v>Yes</v>
          </cell>
        </row>
      </sheetData>
      <sheetData sheetId="36">
        <row r="1">
          <cell r="A1" t="str">
            <v>Yes</v>
          </cell>
        </row>
      </sheetData>
      <sheetData sheetId="37">
        <row r="1">
          <cell r="A1" t="str">
            <v>Yes</v>
          </cell>
        </row>
      </sheetData>
      <sheetData sheetId="38">
        <row r="1">
          <cell r="A1" t="str">
            <v>Yes</v>
          </cell>
        </row>
      </sheetData>
      <sheetData sheetId="39">
        <row r="1">
          <cell r="A1" t="str">
            <v>Yes</v>
          </cell>
        </row>
      </sheetData>
      <sheetData sheetId="40">
        <row r="1">
          <cell r="A1" t="str">
            <v>Yes</v>
          </cell>
        </row>
      </sheetData>
      <sheetData sheetId="41">
        <row r="1">
          <cell r="A1" t="str">
            <v>Yes</v>
          </cell>
        </row>
      </sheetData>
      <sheetData sheetId="42">
        <row r="1">
          <cell r="A1" t="str">
            <v>Yes</v>
          </cell>
        </row>
      </sheetData>
      <sheetData sheetId="43">
        <row r="1">
          <cell r="A1" t="str">
            <v>Yes</v>
          </cell>
        </row>
      </sheetData>
      <sheetData sheetId="44">
        <row r="1">
          <cell r="A1" t="str">
            <v>Yes</v>
          </cell>
        </row>
      </sheetData>
      <sheetData sheetId="45">
        <row r="1">
          <cell r="A1" t="str">
            <v>Yes</v>
          </cell>
        </row>
      </sheetData>
      <sheetData sheetId="46">
        <row r="1">
          <cell r="A1" t="str">
            <v>Yes</v>
          </cell>
        </row>
      </sheetData>
      <sheetData sheetId="47">
        <row r="1">
          <cell r="A1" t="str">
            <v>Yes</v>
          </cell>
        </row>
      </sheetData>
      <sheetData sheetId="48">
        <row r="1">
          <cell r="A1" t="str">
            <v>Yes</v>
          </cell>
        </row>
      </sheetData>
      <sheetData sheetId="49">
        <row r="1">
          <cell r="A1" t="str">
            <v>Yes</v>
          </cell>
        </row>
      </sheetData>
      <sheetData sheetId="50">
        <row r="1">
          <cell r="A1" t="str">
            <v>Yes</v>
          </cell>
        </row>
      </sheetData>
      <sheetData sheetId="51">
        <row r="1">
          <cell r="A1" t="str">
            <v>Yes</v>
          </cell>
        </row>
      </sheetData>
      <sheetData sheetId="52">
        <row r="1">
          <cell r="A1" t="str">
            <v>Yes</v>
          </cell>
        </row>
      </sheetData>
      <sheetData sheetId="53">
        <row r="1">
          <cell r="A1" t="str">
            <v>Yes</v>
          </cell>
        </row>
      </sheetData>
      <sheetData sheetId="54">
        <row r="1">
          <cell r="A1" t="str">
            <v>Yes</v>
          </cell>
        </row>
      </sheetData>
      <sheetData sheetId="55"/>
      <sheetData sheetId="56">
        <row r="1">
          <cell r="A1" t="str">
            <v>Yes</v>
          </cell>
        </row>
      </sheetData>
      <sheetData sheetId="57">
        <row r="1">
          <cell r="A1" t="str">
            <v>Yes</v>
          </cell>
        </row>
      </sheetData>
      <sheetData sheetId="58"/>
      <sheetData sheetId="59">
        <row r="1">
          <cell r="A1" t="str">
            <v>Yes</v>
          </cell>
        </row>
      </sheetData>
      <sheetData sheetId="60">
        <row r="1">
          <cell r="A1" t="str">
            <v>Yes</v>
          </cell>
        </row>
      </sheetData>
      <sheetData sheetId="61"/>
      <sheetData sheetId="62">
        <row r="1">
          <cell r="A1" t="str">
            <v>Yes</v>
          </cell>
        </row>
      </sheetData>
      <sheetData sheetId="63">
        <row r="1">
          <cell r="A1" t="str">
            <v>Yes</v>
          </cell>
        </row>
      </sheetData>
      <sheetData sheetId="64"/>
      <sheetData sheetId="65">
        <row r="1">
          <cell r="A1" t="str">
            <v>Yes</v>
          </cell>
        </row>
      </sheetData>
      <sheetData sheetId="66">
        <row r="1">
          <cell r="A1" t="str">
            <v>Yes</v>
          </cell>
        </row>
      </sheetData>
      <sheetData sheetId="67"/>
      <sheetData sheetId="68" refreshError="1"/>
      <sheetData sheetId="69" refreshError="1"/>
      <sheetData sheetId="70" refreshError="1"/>
      <sheetData sheetId="71" refreshError="1"/>
      <sheetData sheetId="72">
        <row r="1">
          <cell r="A1" t="str">
            <v>Yes</v>
          </cell>
        </row>
      </sheetData>
      <sheetData sheetId="73">
        <row r="1">
          <cell r="A1" t="str">
            <v>Yes</v>
          </cell>
        </row>
      </sheetData>
      <sheetData sheetId="74">
        <row r="1">
          <cell r="A1" t="str">
            <v>Yes</v>
          </cell>
        </row>
      </sheetData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>
        <row r="1">
          <cell r="A1" t="str">
            <v>Yes</v>
          </cell>
        </row>
      </sheetData>
      <sheetData sheetId="84">
        <row r="1">
          <cell r="A1" t="str">
            <v>Yes</v>
          </cell>
        </row>
      </sheetData>
      <sheetData sheetId="85">
        <row r="1">
          <cell r="A1" t="str">
            <v>Yes</v>
          </cell>
        </row>
      </sheetData>
      <sheetData sheetId="86"/>
      <sheetData sheetId="87"/>
      <sheetData sheetId="88"/>
      <sheetData sheetId="89"/>
      <sheetData sheetId="90"/>
      <sheetData sheetId="91"/>
      <sheetData sheetId="92"/>
      <sheetData sheetId="93">
        <row r="1">
          <cell r="A1" t="str">
            <v>Yes</v>
          </cell>
        </row>
      </sheetData>
      <sheetData sheetId="94">
        <row r="1">
          <cell r="A1" t="str">
            <v>Yes</v>
          </cell>
        </row>
      </sheetData>
      <sheetData sheetId="95">
        <row r="1">
          <cell r="A1" t="str">
            <v>Yes</v>
          </cell>
        </row>
      </sheetData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>
        <row r="1">
          <cell r="A1" t="str">
            <v>Yes</v>
          </cell>
        </row>
      </sheetData>
      <sheetData sheetId="108"/>
      <sheetData sheetId="109"/>
      <sheetData sheetId="110">
        <row r="1">
          <cell r="A1" t="str">
            <v>Yes</v>
          </cell>
        </row>
      </sheetData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>
        <row r="1">
          <cell r="A1" t="str">
            <v>Yes</v>
          </cell>
        </row>
      </sheetData>
      <sheetData sheetId="122">
        <row r="1">
          <cell r="A1" t="str">
            <v>Yes</v>
          </cell>
        </row>
      </sheetData>
      <sheetData sheetId="123"/>
      <sheetData sheetId="124"/>
      <sheetData sheetId="125"/>
      <sheetData sheetId="126"/>
      <sheetData sheetId="127"/>
      <sheetData sheetId="128">
        <row r="1">
          <cell r="A1" t="str">
            <v>Yes</v>
          </cell>
        </row>
      </sheetData>
      <sheetData sheetId="129">
        <row r="1">
          <cell r="A1" t="str">
            <v>Yes</v>
          </cell>
        </row>
      </sheetData>
      <sheetData sheetId="130"/>
      <sheetData sheetId="131"/>
      <sheetData sheetId="132"/>
      <sheetData sheetId="133"/>
      <sheetData sheetId="134"/>
      <sheetData sheetId="135"/>
      <sheetData sheetId="136">
        <row r="1">
          <cell r="A1" t="str">
            <v>Yes</v>
          </cell>
        </row>
      </sheetData>
      <sheetData sheetId="137">
        <row r="1">
          <cell r="A1" t="str">
            <v>Yes</v>
          </cell>
        </row>
      </sheetData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>
        <row r="1">
          <cell r="A1" t="str">
            <v>Yes</v>
          </cell>
        </row>
      </sheetData>
      <sheetData sheetId="148">
        <row r="1">
          <cell r="A1" t="str">
            <v>Yes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>
        <row r="1">
          <cell r="A1" t="str">
            <v>Yes</v>
          </cell>
        </row>
      </sheetData>
      <sheetData sheetId="159">
        <row r="1">
          <cell r="A1" t="str">
            <v>Yes</v>
          </cell>
        </row>
      </sheetData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>
        <row r="1">
          <cell r="A1" t="str">
            <v>Yes</v>
          </cell>
        </row>
      </sheetData>
      <sheetData sheetId="170">
        <row r="1">
          <cell r="A1" t="str">
            <v>Yes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>
        <row r="1">
          <cell r="A1" t="str">
            <v>Yes</v>
          </cell>
        </row>
      </sheetData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>
        <row r="1">
          <cell r="A1" t="str">
            <v>Yes</v>
          </cell>
        </row>
      </sheetData>
      <sheetData sheetId="192">
        <row r="1">
          <cell r="A1" t="str">
            <v>Yes</v>
          </cell>
        </row>
      </sheetData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>
        <row r="1">
          <cell r="A1" t="str">
            <v>Yes</v>
          </cell>
        </row>
      </sheetData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>
        <row r="1">
          <cell r="A1" t="str">
            <v>Yes</v>
          </cell>
        </row>
      </sheetData>
      <sheetData sheetId="225">
        <row r="1">
          <cell r="A1" t="str">
            <v>Yes</v>
          </cell>
        </row>
      </sheetData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>
        <row r="1">
          <cell r="A1" t="str">
            <v>Yes</v>
          </cell>
        </row>
      </sheetData>
      <sheetData sheetId="254">
        <row r="1">
          <cell r="A1" t="str">
            <v>Yes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>
        <row r="1">
          <cell r="A1" t="str">
            <v>Yes</v>
          </cell>
        </row>
      </sheetData>
      <sheetData sheetId="262">
        <row r="1">
          <cell r="A1" t="str">
            <v>Yes</v>
          </cell>
        </row>
      </sheetData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>
        <row r="1">
          <cell r="A1" t="str">
            <v>Yes</v>
          </cell>
        </row>
      </sheetData>
      <sheetData sheetId="285">
        <row r="1">
          <cell r="A1" t="str">
            <v>Yes</v>
          </cell>
        </row>
      </sheetData>
      <sheetData sheetId="286">
        <row r="1">
          <cell r="A1" t="str">
            <v>Yes</v>
          </cell>
        </row>
      </sheetData>
      <sheetData sheetId="287">
        <row r="1">
          <cell r="A1" t="str">
            <v>Yes</v>
          </cell>
        </row>
      </sheetData>
      <sheetData sheetId="288">
        <row r="1">
          <cell r="A1" t="str">
            <v>Yes</v>
          </cell>
        </row>
      </sheetData>
      <sheetData sheetId="289">
        <row r="1">
          <cell r="A1" t="str">
            <v>Yes</v>
          </cell>
        </row>
      </sheetData>
      <sheetData sheetId="290">
        <row r="1">
          <cell r="A1" t="str">
            <v>Yes</v>
          </cell>
        </row>
      </sheetData>
      <sheetData sheetId="291">
        <row r="1">
          <cell r="A1" t="str">
            <v>Yes</v>
          </cell>
        </row>
      </sheetData>
      <sheetData sheetId="292" refreshError="1"/>
      <sheetData sheetId="293">
        <row r="1">
          <cell r="A1" t="str">
            <v>Yes</v>
          </cell>
        </row>
      </sheetData>
      <sheetData sheetId="294">
        <row r="1">
          <cell r="A1" t="str">
            <v>Yes</v>
          </cell>
        </row>
      </sheetData>
      <sheetData sheetId="295">
        <row r="1">
          <cell r="A1" t="str">
            <v>Yes</v>
          </cell>
        </row>
      </sheetData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Yes</v>
          </cell>
        </row>
      </sheetData>
      <sheetData sheetId="318">
        <row r="1">
          <cell r="A1" t="str">
            <v>Yes</v>
          </cell>
        </row>
      </sheetData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>
        <row r="1">
          <cell r="A1" t="str">
            <v>Yes</v>
          </cell>
        </row>
      </sheetData>
      <sheetData sheetId="340">
        <row r="1">
          <cell r="A1" t="str">
            <v>Yes</v>
          </cell>
        </row>
      </sheetData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>
        <row r="1">
          <cell r="A1" t="str">
            <v>Yes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>
        <row r="1">
          <cell r="A1" t="str">
            <v>Yes</v>
          </cell>
        </row>
      </sheetData>
      <sheetData sheetId="379">
        <row r="1">
          <cell r="A1" t="str">
            <v>Yes</v>
          </cell>
        </row>
      </sheetData>
      <sheetData sheetId="380"/>
      <sheetData sheetId="381"/>
      <sheetData sheetId="382"/>
      <sheetData sheetId="383"/>
      <sheetData sheetId="384"/>
      <sheetData sheetId="385">
        <row r="1">
          <cell r="A1" t="str">
            <v>Yes</v>
          </cell>
        </row>
      </sheetData>
      <sheetData sheetId="386">
        <row r="1">
          <cell r="A1" t="str">
            <v>Yes</v>
          </cell>
        </row>
      </sheetData>
      <sheetData sheetId="387"/>
      <sheetData sheetId="388"/>
      <sheetData sheetId="389"/>
      <sheetData sheetId="390">
        <row r="1">
          <cell r="A1" t="str">
            <v>Yes</v>
          </cell>
        </row>
      </sheetData>
      <sheetData sheetId="391">
        <row r="1">
          <cell r="A1" t="str">
            <v>Yes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>
        <row r="1">
          <cell r="A1" t="str">
            <v>Yes</v>
          </cell>
        </row>
      </sheetData>
      <sheetData sheetId="405">
        <row r="1">
          <cell r="A1" t="str">
            <v>Yes</v>
          </cell>
        </row>
      </sheetData>
      <sheetData sheetId="406"/>
      <sheetData sheetId="407">
        <row r="1">
          <cell r="A1" t="str">
            <v>Yes</v>
          </cell>
        </row>
      </sheetData>
      <sheetData sheetId="408">
        <row r="1">
          <cell r="A1" t="str">
            <v>Yes</v>
          </cell>
        </row>
      </sheetData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>
        <row r="1">
          <cell r="A1" t="str">
            <v>Yes</v>
          </cell>
        </row>
      </sheetData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>
        <row r="1">
          <cell r="A1" t="str">
            <v>Yes</v>
          </cell>
        </row>
      </sheetData>
      <sheetData sheetId="430">
        <row r="1">
          <cell r="A1" t="str">
            <v>Yes</v>
          </cell>
        </row>
      </sheetData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>
        <row r="1">
          <cell r="A1" t="str">
            <v>Yes</v>
          </cell>
        </row>
      </sheetData>
      <sheetData sheetId="441">
        <row r="1">
          <cell r="A1" t="str">
            <v>Yes</v>
          </cell>
        </row>
      </sheetData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>
        <row r="1">
          <cell r="A1" t="str">
            <v>Yes</v>
          </cell>
        </row>
      </sheetData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>
        <row r="1">
          <cell r="A1" t="str">
            <v>Yes</v>
          </cell>
        </row>
      </sheetData>
      <sheetData sheetId="468">
        <row r="1">
          <cell r="A1" t="str">
            <v>Yes</v>
          </cell>
        </row>
      </sheetData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>
        <row r="1">
          <cell r="A1" t="str">
            <v>Yes</v>
          </cell>
        </row>
      </sheetData>
      <sheetData sheetId="480">
        <row r="1">
          <cell r="A1" t="str">
            <v>Yes</v>
          </cell>
        </row>
      </sheetData>
      <sheetData sheetId="481"/>
      <sheetData sheetId="482"/>
      <sheetData sheetId="483"/>
      <sheetData sheetId="484">
        <row r="1">
          <cell r="A1" t="str">
            <v>Yes</v>
          </cell>
        </row>
      </sheetData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/>
      <sheetData sheetId="504" refreshError="1"/>
      <sheetData sheetId="505" refreshError="1"/>
      <sheetData sheetId="506"/>
      <sheetData sheetId="507">
        <row r="1">
          <cell r="A1" t="str">
            <v>Yes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>
        <row r="1">
          <cell r="A1" t="str">
            <v>Yes</v>
          </cell>
        </row>
      </sheetData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>
        <row r="1">
          <cell r="A1" t="str">
            <v>Yes</v>
          </cell>
        </row>
      </sheetData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>
        <row r="1">
          <cell r="A1" t="str">
            <v>Yes</v>
          </cell>
        </row>
      </sheetData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>
        <row r="1">
          <cell r="A1" t="str">
            <v>Yes</v>
          </cell>
        </row>
      </sheetData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>
        <row r="1">
          <cell r="A1" t="str">
            <v>Yes</v>
          </cell>
        </row>
      </sheetData>
      <sheetData sheetId="703"/>
      <sheetData sheetId="704"/>
      <sheetData sheetId="705">
        <row r="1">
          <cell r="A1" t="str">
            <v>Yes</v>
          </cell>
        </row>
      </sheetData>
      <sheetData sheetId="706" refreshError="1"/>
      <sheetData sheetId="707" refreshError="1"/>
      <sheetData sheetId="708" refreshError="1"/>
      <sheetData sheetId="709" refreshError="1"/>
      <sheetData sheetId="710"/>
      <sheetData sheetId="711">
        <row r="1">
          <cell r="A1" t="str">
            <v>Yes</v>
          </cell>
        </row>
      </sheetData>
      <sheetData sheetId="712"/>
      <sheetData sheetId="713"/>
      <sheetData sheetId="714">
        <row r="1">
          <cell r="A1" t="str">
            <v>Yes</v>
          </cell>
        </row>
      </sheetData>
      <sheetData sheetId="715"/>
      <sheetData sheetId="716"/>
      <sheetData sheetId="717"/>
      <sheetData sheetId="718"/>
      <sheetData sheetId="719"/>
      <sheetData sheetId="720">
        <row r="1">
          <cell r="A1" t="str">
            <v>Yes</v>
          </cell>
        </row>
      </sheetData>
      <sheetData sheetId="721"/>
      <sheetData sheetId="722"/>
      <sheetData sheetId="723">
        <row r="1">
          <cell r="A1" t="str">
            <v>Yes</v>
          </cell>
        </row>
      </sheetData>
      <sheetData sheetId="724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>
        <row r="1">
          <cell r="A1" t="str">
            <v>Yes</v>
          </cell>
        </row>
      </sheetData>
      <sheetData sheetId="738">
        <row r="1">
          <cell r="A1" t="str">
            <v>Yes</v>
          </cell>
        </row>
      </sheetData>
      <sheetData sheetId="739">
        <row r="1">
          <cell r="A1" t="str">
            <v>Yes</v>
          </cell>
        </row>
      </sheetData>
      <sheetData sheetId="740">
        <row r="1">
          <cell r="A1" t="str">
            <v>Yes</v>
          </cell>
        </row>
      </sheetData>
      <sheetData sheetId="741">
        <row r="1">
          <cell r="A1" t="str">
            <v>Yes</v>
          </cell>
        </row>
      </sheetData>
      <sheetData sheetId="742">
        <row r="1">
          <cell r="A1" t="str">
            <v>Yes</v>
          </cell>
        </row>
      </sheetData>
      <sheetData sheetId="743">
        <row r="1">
          <cell r="A1" t="str">
            <v>Yes</v>
          </cell>
        </row>
      </sheetData>
      <sheetData sheetId="744">
        <row r="1">
          <cell r="A1" t="str">
            <v>Yes</v>
          </cell>
        </row>
      </sheetData>
      <sheetData sheetId="745">
        <row r="1">
          <cell r="A1" t="str">
            <v>Yes</v>
          </cell>
        </row>
      </sheetData>
      <sheetData sheetId="746">
        <row r="1">
          <cell r="A1" t="str">
            <v>Yes</v>
          </cell>
        </row>
      </sheetData>
      <sheetData sheetId="747">
        <row r="1">
          <cell r="A1" t="str">
            <v>Yes</v>
          </cell>
        </row>
      </sheetData>
      <sheetData sheetId="748">
        <row r="1">
          <cell r="A1" t="str">
            <v>Yes</v>
          </cell>
        </row>
      </sheetData>
      <sheetData sheetId="749">
        <row r="1">
          <cell r="A1" t="str">
            <v>Yes</v>
          </cell>
        </row>
      </sheetData>
      <sheetData sheetId="750">
        <row r="1">
          <cell r="A1" t="str">
            <v>Yes</v>
          </cell>
        </row>
      </sheetData>
      <sheetData sheetId="751">
        <row r="1">
          <cell r="A1" t="str">
            <v>Yes</v>
          </cell>
        </row>
      </sheetData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>
        <row r="1">
          <cell r="A1" t="str">
            <v>Yes</v>
          </cell>
        </row>
      </sheetData>
      <sheetData sheetId="760">
        <row r="1">
          <cell r="A1" t="str">
            <v>Yes</v>
          </cell>
        </row>
      </sheetData>
      <sheetData sheetId="761">
        <row r="1">
          <cell r="A1" t="str">
            <v>Yes</v>
          </cell>
        </row>
      </sheetData>
      <sheetData sheetId="762">
        <row r="1">
          <cell r="A1" t="str">
            <v>Yes</v>
          </cell>
        </row>
      </sheetData>
      <sheetData sheetId="763">
        <row r="1">
          <cell r="A1" t="str">
            <v>Yes</v>
          </cell>
        </row>
      </sheetData>
      <sheetData sheetId="764">
        <row r="1">
          <cell r="A1" t="str">
            <v>Yes</v>
          </cell>
        </row>
      </sheetData>
      <sheetData sheetId="765">
        <row r="1">
          <cell r="A1" t="str">
            <v>Yes</v>
          </cell>
        </row>
      </sheetData>
      <sheetData sheetId="766">
        <row r="1">
          <cell r="A1" t="str">
            <v>Yes</v>
          </cell>
        </row>
      </sheetData>
      <sheetData sheetId="767">
        <row r="1">
          <cell r="A1" t="str">
            <v>Yes</v>
          </cell>
        </row>
      </sheetData>
      <sheetData sheetId="768">
        <row r="1">
          <cell r="A1" t="str">
            <v>Yes</v>
          </cell>
        </row>
      </sheetData>
      <sheetData sheetId="769">
        <row r="1">
          <cell r="A1" t="str">
            <v>Yes</v>
          </cell>
        </row>
      </sheetData>
      <sheetData sheetId="770">
        <row r="1">
          <cell r="A1" t="str">
            <v>Yes</v>
          </cell>
        </row>
      </sheetData>
      <sheetData sheetId="771">
        <row r="1">
          <cell r="A1" t="str">
            <v>Yes</v>
          </cell>
        </row>
      </sheetData>
      <sheetData sheetId="772">
        <row r="1">
          <cell r="A1" t="str">
            <v>Yes</v>
          </cell>
        </row>
      </sheetData>
      <sheetData sheetId="773">
        <row r="1">
          <cell r="A1" t="str">
            <v>Yes</v>
          </cell>
        </row>
      </sheetData>
      <sheetData sheetId="774"/>
      <sheetData sheetId="775">
        <row r="1">
          <cell r="A1" t="str">
            <v>Yes</v>
          </cell>
        </row>
      </sheetData>
      <sheetData sheetId="776">
        <row r="1">
          <cell r="A1" t="str">
            <v>Yes</v>
          </cell>
        </row>
      </sheetData>
      <sheetData sheetId="777"/>
      <sheetData sheetId="778">
        <row r="1">
          <cell r="A1" t="str">
            <v>Yes</v>
          </cell>
        </row>
      </sheetData>
      <sheetData sheetId="779">
        <row r="1">
          <cell r="A1" t="str">
            <v>Yes</v>
          </cell>
        </row>
      </sheetData>
      <sheetData sheetId="780"/>
      <sheetData sheetId="781">
        <row r="1">
          <cell r="A1" t="str">
            <v>Yes</v>
          </cell>
        </row>
      </sheetData>
      <sheetData sheetId="782"/>
      <sheetData sheetId="783"/>
      <sheetData sheetId="784">
        <row r="1">
          <cell r="A1" t="str">
            <v>Yes</v>
          </cell>
        </row>
      </sheetData>
      <sheetData sheetId="785">
        <row r="1">
          <cell r="A1" t="str">
            <v>Yes</v>
          </cell>
        </row>
      </sheetData>
      <sheetData sheetId="786">
        <row r="1">
          <cell r="A1" t="str">
            <v>Yes</v>
          </cell>
        </row>
      </sheetData>
      <sheetData sheetId="787">
        <row r="1">
          <cell r="A1" t="str">
            <v>Yes</v>
          </cell>
        </row>
      </sheetData>
      <sheetData sheetId="788">
        <row r="1">
          <cell r="A1" t="str">
            <v>Yes</v>
          </cell>
        </row>
      </sheetData>
      <sheetData sheetId="789"/>
      <sheetData sheetId="790"/>
      <sheetData sheetId="791">
        <row r="1">
          <cell r="A1" t="str">
            <v>Yes</v>
          </cell>
        </row>
      </sheetData>
      <sheetData sheetId="792"/>
      <sheetData sheetId="793">
        <row r="1">
          <cell r="A1" t="str">
            <v>Yes</v>
          </cell>
        </row>
      </sheetData>
      <sheetData sheetId="794">
        <row r="1">
          <cell r="A1" t="str">
            <v>Yes</v>
          </cell>
        </row>
      </sheetData>
      <sheetData sheetId="795">
        <row r="1">
          <cell r="A1" t="str">
            <v>Yes</v>
          </cell>
        </row>
      </sheetData>
      <sheetData sheetId="796">
        <row r="1">
          <cell r="A1" t="str">
            <v>Yes</v>
          </cell>
        </row>
      </sheetData>
      <sheetData sheetId="797">
        <row r="1">
          <cell r="A1" t="str">
            <v>Yes</v>
          </cell>
        </row>
      </sheetData>
      <sheetData sheetId="798"/>
      <sheetData sheetId="799">
        <row r="1">
          <cell r="A1" t="str">
            <v>Yes</v>
          </cell>
        </row>
      </sheetData>
      <sheetData sheetId="800">
        <row r="1">
          <cell r="A1" t="str">
            <v>Yes</v>
          </cell>
        </row>
      </sheetData>
      <sheetData sheetId="801">
        <row r="1">
          <cell r="A1" t="str">
            <v>Yes</v>
          </cell>
        </row>
      </sheetData>
      <sheetData sheetId="802">
        <row r="1">
          <cell r="A1" t="str">
            <v>Yes</v>
          </cell>
        </row>
      </sheetData>
      <sheetData sheetId="803">
        <row r="1">
          <cell r="A1" t="str">
            <v>Yes</v>
          </cell>
        </row>
      </sheetData>
      <sheetData sheetId="804"/>
      <sheetData sheetId="805">
        <row r="1">
          <cell r="A1" t="str">
            <v>Yes</v>
          </cell>
        </row>
      </sheetData>
      <sheetData sheetId="806">
        <row r="1">
          <cell r="A1" t="str">
            <v>Yes</v>
          </cell>
        </row>
      </sheetData>
      <sheetData sheetId="807"/>
      <sheetData sheetId="808">
        <row r="1">
          <cell r="A1" t="str">
            <v>Yes</v>
          </cell>
        </row>
      </sheetData>
      <sheetData sheetId="809">
        <row r="1">
          <cell r="A1" t="str">
            <v>Yes</v>
          </cell>
        </row>
      </sheetData>
      <sheetData sheetId="810">
        <row r="1">
          <cell r="A1" t="str">
            <v>Yes</v>
          </cell>
        </row>
      </sheetData>
      <sheetData sheetId="811">
        <row r="1">
          <cell r="A1" t="str">
            <v>Yes</v>
          </cell>
        </row>
      </sheetData>
      <sheetData sheetId="812">
        <row r="1">
          <cell r="A1" t="str">
            <v>Yes</v>
          </cell>
        </row>
      </sheetData>
      <sheetData sheetId="813">
        <row r="1">
          <cell r="A1" t="str">
            <v>Yes</v>
          </cell>
        </row>
      </sheetData>
      <sheetData sheetId="814">
        <row r="1">
          <cell r="A1" t="str">
            <v>Yes</v>
          </cell>
        </row>
      </sheetData>
      <sheetData sheetId="815">
        <row r="1">
          <cell r="A1" t="str">
            <v>Yes</v>
          </cell>
        </row>
      </sheetData>
      <sheetData sheetId="816">
        <row r="1">
          <cell r="A1" t="str">
            <v>Yes</v>
          </cell>
        </row>
      </sheetData>
      <sheetData sheetId="817">
        <row r="1">
          <cell r="A1" t="str">
            <v>Yes</v>
          </cell>
        </row>
      </sheetData>
      <sheetData sheetId="818">
        <row r="1">
          <cell r="A1" t="str">
            <v>Yes</v>
          </cell>
        </row>
      </sheetData>
      <sheetData sheetId="819"/>
      <sheetData sheetId="820">
        <row r="1">
          <cell r="A1" t="str">
            <v>Yes</v>
          </cell>
        </row>
      </sheetData>
      <sheetData sheetId="821">
        <row r="1">
          <cell r="A1" t="str">
            <v>Yes</v>
          </cell>
        </row>
      </sheetData>
      <sheetData sheetId="822">
        <row r="1">
          <cell r="A1" t="str">
            <v>Yes</v>
          </cell>
        </row>
      </sheetData>
      <sheetData sheetId="823"/>
      <sheetData sheetId="824">
        <row r="1">
          <cell r="A1" t="str">
            <v>Yes</v>
          </cell>
        </row>
      </sheetData>
      <sheetData sheetId="825">
        <row r="1">
          <cell r="A1" t="str">
            <v>Yes</v>
          </cell>
        </row>
      </sheetData>
      <sheetData sheetId="826">
        <row r="1">
          <cell r="A1" t="str">
            <v>Yes</v>
          </cell>
        </row>
      </sheetData>
      <sheetData sheetId="827">
        <row r="1">
          <cell r="A1" t="str">
            <v>Yes</v>
          </cell>
        </row>
      </sheetData>
      <sheetData sheetId="828" refreshError="1"/>
      <sheetData sheetId="829" refreshError="1"/>
      <sheetData sheetId="830" refreshError="1"/>
      <sheetData sheetId="831">
        <row r="1">
          <cell r="A1" t="str">
            <v>Yes</v>
          </cell>
        </row>
      </sheetData>
      <sheetData sheetId="832"/>
      <sheetData sheetId="833"/>
      <sheetData sheetId="834" refreshError="1"/>
      <sheetData sheetId="835" refreshError="1"/>
      <sheetData sheetId="836">
        <row r="1">
          <cell r="A1" t="str">
            <v>Yes</v>
          </cell>
        </row>
      </sheetData>
      <sheetData sheetId="837">
        <row r="1">
          <cell r="A1" t="str">
            <v>Yes</v>
          </cell>
        </row>
      </sheetData>
      <sheetData sheetId="838"/>
      <sheetData sheetId="839">
        <row r="1">
          <cell r="A1" t="str">
            <v>Yes</v>
          </cell>
        </row>
      </sheetData>
      <sheetData sheetId="840">
        <row r="1">
          <cell r="A1" t="str">
            <v>Yes</v>
          </cell>
        </row>
      </sheetData>
      <sheetData sheetId="841"/>
      <sheetData sheetId="842"/>
      <sheetData sheetId="843"/>
      <sheetData sheetId="844"/>
      <sheetData sheetId="845" refreshError="1"/>
      <sheetData sheetId="846">
        <row r="1">
          <cell r="A1" t="str">
            <v>Yes</v>
          </cell>
        </row>
      </sheetData>
      <sheetData sheetId="847"/>
      <sheetData sheetId="848">
        <row r="1">
          <cell r="A1" t="str">
            <v>Yes</v>
          </cell>
        </row>
      </sheetData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>
        <row r="1">
          <cell r="A1" t="str">
            <v>Yes</v>
          </cell>
        </row>
      </sheetData>
      <sheetData sheetId="856">
        <row r="1">
          <cell r="A1" t="str">
            <v>Yes</v>
          </cell>
        </row>
      </sheetData>
      <sheetData sheetId="857">
        <row r="1">
          <cell r="A1" t="str">
            <v>Yes</v>
          </cell>
        </row>
      </sheetData>
      <sheetData sheetId="858">
        <row r="1">
          <cell r="A1" t="str">
            <v>Yes</v>
          </cell>
        </row>
      </sheetData>
      <sheetData sheetId="859">
        <row r="1">
          <cell r="A1" t="str">
            <v>Yes</v>
          </cell>
        </row>
      </sheetData>
      <sheetData sheetId="860">
        <row r="1">
          <cell r="A1" t="str">
            <v>Yes</v>
          </cell>
        </row>
      </sheetData>
      <sheetData sheetId="861"/>
      <sheetData sheetId="862">
        <row r="1">
          <cell r="A1" t="str">
            <v>Yes</v>
          </cell>
        </row>
      </sheetData>
      <sheetData sheetId="863">
        <row r="1">
          <cell r="A1" t="str">
            <v>Yes</v>
          </cell>
        </row>
      </sheetData>
      <sheetData sheetId="864"/>
      <sheetData sheetId="865">
        <row r="1">
          <cell r="A1" t="str">
            <v>Yes</v>
          </cell>
        </row>
      </sheetData>
      <sheetData sheetId="866">
        <row r="1">
          <cell r="A1" t="str">
            <v>Yes</v>
          </cell>
        </row>
      </sheetData>
      <sheetData sheetId="867"/>
      <sheetData sheetId="868"/>
      <sheetData sheetId="869"/>
      <sheetData sheetId="870"/>
      <sheetData sheetId="871"/>
      <sheetData sheetId="872">
        <row r="1">
          <cell r="A1" t="str">
            <v>Yes</v>
          </cell>
        </row>
      </sheetData>
      <sheetData sheetId="873"/>
      <sheetData sheetId="874"/>
      <sheetData sheetId="875"/>
      <sheetData sheetId="876"/>
      <sheetData sheetId="877"/>
      <sheetData sheetId="878" refreshError="1"/>
      <sheetData sheetId="879"/>
      <sheetData sheetId="880"/>
      <sheetData sheetId="881">
        <row r="1">
          <cell r="A1" t="str">
            <v>Yes</v>
          </cell>
        </row>
      </sheetData>
      <sheetData sheetId="882"/>
      <sheetData sheetId="883"/>
      <sheetData sheetId="884"/>
      <sheetData sheetId="885"/>
      <sheetData sheetId="886">
        <row r="1">
          <cell r="A1" t="str">
            <v>Yes</v>
          </cell>
        </row>
      </sheetData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>
        <row r="1">
          <cell r="A1" t="str">
            <v>Yes</v>
          </cell>
        </row>
      </sheetData>
      <sheetData sheetId="896"/>
      <sheetData sheetId="897"/>
      <sheetData sheetId="898"/>
      <sheetData sheetId="899"/>
      <sheetData sheetId="900">
        <row r="1">
          <cell r="A1" t="str">
            <v>Yes</v>
          </cell>
        </row>
      </sheetData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>
        <row r="1">
          <cell r="A1" t="str">
            <v>Yes</v>
          </cell>
        </row>
      </sheetData>
      <sheetData sheetId="910"/>
      <sheetData sheetId="911"/>
      <sheetData sheetId="912"/>
      <sheetData sheetId="913"/>
      <sheetData sheetId="914">
        <row r="1">
          <cell r="A1" t="str">
            <v>Yes</v>
          </cell>
        </row>
      </sheetData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>
        <row r="1">
          <cell r="A1" t="str">
            <v>Yes</v>
          </cell>
        </row>
      </sheetData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>
        <row r="1">
          <cell r="A1" t="str">
            <v>Yes</v>
          </cell>
        </row>
      </sheetData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/>
      <sheetData sheetId="940"/>
      <sheetData sheetId="941">
        <row r="1">
          <cell r="A1" t="str">
            <v>Yes</v>
          </cell>
        </row>
      </sheetData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>
        <row r="1">
          <cell r="A1" t="str">
            <v>Yes</v>
          </cell>
        </row>
      </sheetData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>
        <row r="1">
          <cell r="A1" t="str">
            <v>Yes</v>
          </cell>
        </row>
      </sheetData>
      <sheetData sheetId="1010"/>
      <sheetData sheetId="1011"/>
      <sheetData sheetId="1012"/>
      <sheetData sheetId="1013"/>
      <sheetData sheetId="1014"/>
      <sheetData sheetId="1015"/>
      <sheetData sheetId="1016"/>
      <sheetData sheetId="1017">
        <row r="1">
          <cell r="A1" t="str">
            <v>Yes</v>
          </cell>
        </row>
      </sheetData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/>
      <sheetData sheetId="1058"/>
      <sheetData sheetId="1059"/>
      <sheetData sheetId="1060"/>
      <sheetData sheetId="1061" refreshError="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 refreshError="1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 PAGE(1)"/>
      <sheetName val="AUDIT REPORT"/>
      <sheetName val="CONTENT"/>
      <sheetName val="FIELD REPORT FORM"/>
      <sheetName val="Audit Check List"/>
      <sheetName val="Staff Cost Analysis"/>
      <sheetName val="Payroll Cost Analysis (2023) "/>
      <sheetName val="Payroll Cost Analysis (2024)"/>
      <sheetName val="Directors' Emoluments"/>
      <sheetName val="Expatriate (2023)"/>
      <sheetName val="Expatriate (2024)"/>
      <sheetName val="Operating Expenses"/>
      <sheetName val="WHT Schedule (2023) "/>
      <sheetName val="WHT Schedule (2024)"/>
      <sheetName val="WHT SMRY"/>
      <sheetName val="List of Tax Payers"/>
      <sheetName val=" PAYE Remittances (2023)"/>
      <sheetName val=" PAYE Remittances (2024)"/>
      <sheetName val=" Direct Assessment"/>
      <sheetName val=" WHT Remittance"/>
      <sheetName val="Biz Premises"/>
      <sheetName val="Development Levy"/>
      <sheetName val="HORC Check List"/>
      <sheetName val="HORC"/>
      <sheetName val="computation (local) 2023 "/>
      <sheetName val="computation (local) 2024"/>
      <sheetName val="computation (expat) 2023 "/>
      <sheetName val="computation (expat) 2024"/>
      <sheetName val="Tax Du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3">
          <cell r="E13">
            <v>0</v>
          </cell>
        </row>
        <row r="27">
          <cell r="E27">
            <v>0</v>
          </cell>
          <cell r="H27">
            <v>0</v>
          </cell>
        </row>
      </sheetData>
      <sheetData sheetId="15"/>
      <sheetData sheetId="16">
        <row r="26">
          <cell r="D26">
            <v>0</v>
          </cell>
        </row>
      </sheetData>
      <sheetData sheetId="17">
        <row r="26">
          <cell r="D26">
            <v>0</v>
          </cell>
        </row>
      </sheetData>
      <sheetData sheetId="18"/>
      <sheetData sheetId="19">
        <row r="23">
          <cell r="C23">
            <v>0</v>
          </cell>
        </row>
      </sheetData>
      <sheetData sheetId="20"/>
      <sheetData sheetId="21"/>
      <sheetData sheetId="22"/>
      <sheetData sheetId="23"/>
      <sheetData sheetId="24">
        <row r="28">
          <cell r="Q28">
            <v>0</v>
          </cell>
        </row>
      </sheetData>
      <sheetData sheetId="25">
        <row r="28">
          <cell r="Q28">
            <v>0</v>
          </cell>
        </row>
      </sheetData>
      <sheetData sheetId="26">
        <row r="16">
          <cell r="N16">
            <v>0</v>
          </cell>
        </row>
      </sheetData>
      <sheetData sheetId="27">
        <row r="16">
          <cell r="N16">
            <v>0</v>
          </cell>
        </row>
      </sheetData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 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 /><Relationship Id="rId1" Type="http://schemas.openxmlformats.org/officeDocument/2006/relationships/hyperlink" Target="mailto:finance.3cng@yiwill.com" TargetMode="External" 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 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 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 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 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 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 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 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 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 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 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 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 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 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 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 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 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 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 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 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 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 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topLeftCell="A5" workbookViewId="0">
      <selection activeCell="A12" sqref="A12"/>
    </sheetView>
  </sheetViews>
  <sheetFormatPr defaultRowHeight="12.75"/>
  <cols>
    <col min="1" max="1" width="93.5859375" customWidth="1"/>
    <col min="257" max="257" width="93.5859375" customWidth="1"/>
    <col min="513" max="513" width="93.5859375" customWidth="1"/>
    <col min="769" max="769" width="93.5859375" customWidth="1"/>
    <col min="1025" max="1025" width="93.5859375" customWidth="1"/>
    <col min="1281" max="1281" width="93.5859375" customWidth="1"/>
    <col min="1537" max="1537" width="93.5859375" customWidth="1"/>
    <col min="1793" max="1793" width="93.5859375" customWidth="1"/>
    <col min="2049" max="2049" width="93.5859375" customWidth="1"/>
    <col min="2305" max="2305" width="93.5859375" customWidth="1"/>
    <col min="2561" max="2561" width="93.5859375" customWidth="1"/>
    <col min="2817" max="2817" width="93.5859375" customWidth="1"/>
    <col min="3073" max="3073" width="93.5859375" customWidth="1"/>
    <col min="3329" max="3329" width="93.5859375" customWidth="1"/>
    <col min="3585" max="3585" width="93.5859375" customWidth="1"/>
    <col min="3841" max="3841" width="93.5859375" customWidth="1"/>
    <col min="4097" max="4097" width="93.5859375" customWidth="1"/>
    <col min="4353" max="4353" width="93.5859375" customWidth="1"/>
    <col min="4609" max="4609" width="93.5859375" customWidth="1"/>
    <col min="4865" max="4865" width="93.5859375" customWidth="1"/>
    <col min="5121" max="5121" width="93.5859375" customWidth="1"/>
    <col min="5377" max="5377" width="93.5859375" customWidth="1"/>
    <col min="5633" max="5633" width="93.5859375" customWidth="1"/>
    <col min="5889" max="5889" width="93.5859375" customWidth="1"/>
    <col min="6145" max="6145" width="93.5859375" customWidth="1"/>
    <col min="6401" max="6401" width="93.5859375" customWidth="1"/>
    <col min="6657" max="6657" width="93.5859375" customWidth="1"/>
    <col min="6913" max="6913" width="93.5859375" customWidth="1"/>
    <col min="7169" max="7169" width="93.5859375" customWidth="1"/>
    <col min="7425" max="7425" width="93.5859375" customWidth="1"/>
    <col min="7681" max="7681" width="93.5859375" customWidth="1"/>
    <col min="7937" max="7937" width="93.5859375" customWidth="1"/>
    <col min="8193" max="8193" width="93.5859375" customWidth="1"/>
    <col min="8449" max="8449" width="93.5859375" customWidth="1"/>
    <col min="8705" max="8705" width="93.5859375" customWidth="1"/>
    <col min="8961" max="8961" width="93.5859375" customWidth="1"/>
    <col min="9217" max="9217" width="93.5859375" customWidth="1"/>
    <col min="9473" max="9473" width="93.5859375" customWidth="1"/>
    <col min="9729" max="9729" width="93.5859375" customWidth="1"/>
    <col min="9985" max="9985" width="93.5859375" customWidth="1"/>
    <col min="10241" max="10241" width="93.5859375" customWidth="1"/>
    <col min="10497" max="10497" width="93.5859375" customWidth="1"/>
    <col min="10753" max="10753" width="93.5859375" customWidth="1"/>
    <col min="11009" max="11009" width="93.5859375" customWidth="1"/>
    <col min="11265" max="11265" width="93.5859375" customWidth="1"/>
    <col min="11521" max="11521" width="93.5859375" customWidth="1"/>
    <col min="11777" max="11777" width="93.5859375" customWidth="1"/>
    <col min="12033" max="12033" width="93.5859375" customWidth="1"/>
    <col min="12289" max="12289" width="93.5859375" customWidth="1"/>
    <col min="12545" max="12545" width="93.5859375" customWidth="1"/>
    <col min="12801" max="12801" width="93.5859375" customWidth="1"/>
    <col min="13057" max="13057" width="93.5859375" customWidth="1"/>
    <col min="13313" max="13313" width="93.5859375" customWidth="1"/>
    <col min="13569" max="13569" width="93.5859375" customWidth="1"/>
    <col min="13825" max="13825" width="93.5859375" customWidth="1"/>
    <col min="14081" max="14081" width="93.5859375" customWidth="1"/>
    <col min="14337" max="14337" width="93.5859375" customWidth="1"/>
    <col min="14593" max="14593" width="93.5859375" customWidth="1"/>
    <col min="14849" max="14849" width="93.5859375" customWidth="1"/>
    <col min="15105" max="15105" width="93.5859375" customWidth="1"/>
    <col min="15361" max="15361" width="93.5859375" customWidth="1"/>
    <col min="15617" max="15617" width="93.5859375" customWidth="1"/>
    <col min="15873" max="15873" width="93.5859375" customWidth="1"/>
    <col min="16129" max="16129" width="93.5859375" customWidth="1"/>
  </cols>
  <sheetData>
    <row r="1" spans="1:1" ht="36.75" customHeight="1">
      <c r="A1" s="174" t="s">
        <v>239</v>
      </c>
    </row>
    <row r="2" spans="1:1" ht="36.75" customHeight="1">
      <c r="A2" s="162"/>
    </row>
    <row r="3" spans="1:1" ht="18" customHeight="1">
      <c r="A3" s="163"/>
    </row>
    <row r="4" spans="1:1" ht="36.75" customHeight="1">
      <c r="A4" s="163" t="s">
        <v>240</v>
      </c>
    </row>
    <row r="5" spans="1:1" ht="36.75" customHeight="1">
      <c r="A5" s="175"/>
    </row>
    <row r="6" spans="1:1" ht="60.75" customHeight="1">
      <c r="A6" s="164" t="s">
        <v>241</v>
      </c>
    </row>
    <row r="7" spans="1:1" ht="36.75" customHeight="1">
      <c r="A7" s="163" t="s">
        <v>242</v>
      </c>
    </row>
    <row r="8" spans="1:1" ht="36.75" customHeight="1">
      <c r="A8" s="163"/>
    </row>
    <row r="9" spans="1:1" ht="36.75" customHeight="1">
      <c r="A9" s="163"/>
    </row>
    <row r="10" spans="1:1" ht="36.75" customHeight="1">
      <c r="A10" s="163" t="s">
        <v>155</v>
      </c>
    </row>
    <row r="11" spans="1:1" ht="36.75" customHeight="1">
      <c r="A11" s="165" t="s">
        <v>245</v>
      </c>
    </row>
    <row r="12" spans="1:1" ht="36.75" customHeight="1">
      <c r="A12" s="163"/>
    </row>
    <row r="13" spans="1:1" ht="36.75" customHeight="1">
      <c r="A13" s="163"/>
    </row>
    <row r="14" spans="1:1" ht="36.75" customHeight="1">
      <c r="A14" s="163" t="s">
        <v>243</v>
      </c>
    </row>
    <row r="15" spans="1:1" ht="36.75" customHeight="1">
      <c r="A15" s="163" t="s">
        <v>244</v>
      </c>
    </row>
    <row r="16" spans="1:1" ht="36.75" customHeight="1">
      <c r="A16" s="163"/>
    </row>
    <row r="17" spans="1:1" ht="36.75" customHeight="1">
      <c r="A17" s="166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0"/>
  <sheetViews>
    <sheetView topLeftCell="A27" workbookViewId="0">
      <selection activeCell="I49" sqref="I49"/>
    </sheetView>
  </sheetViews>
  <sheetFormatPr defaultRowHeight="14.25"/>
  <cols>
    <col min="1" max="1" width="11.73046875" style="158" customWidth="1"/>
    <col min="2" max="256" width="9.16796875" style="158"/>
    <col min="257" max="257" width="11.73046875" style="158" customWidth="1"/>
    <col min="258" max="512" width="9.16796875" style="158"/>
    <col min="513" max="513" width="11.73046875" style="158" customWidth="1"/>
    <col min="514" max="768" width="9.16796875" style="158"/>
    <col min="769" max="769" width="11.73046875" style="158" customWidth="1"/>
    <col min="770" max="1024" width="9.16796875" style="158"/>
    <col min="1025" max="1025" width="11.73046875" style="158" customWidth="1"/>
    <col min="1026" max="1280" width="9.16796875" style="158"/>
    <col min="1281" max="1281" width="11.73046875" style="158" customWidth="1"/>
    <col min="1282" max="1536" width="9.16796875" style="158"/>
    <col min="1537" max="1537" width="11.73046875" style="158" customWidth="1"/>
    <col min="1538" max="1792" width="9.16796875" style="158"/>
    <col min="1793" max="1793" width="11.73046875" style="158" customWidth="1"/>
    <col min="1794" max="2048" width="9.16796875" style="158"/>
    <col min="2049" max="2049" width="11.73046875" style="158" customWidth="1"/>
    <col min="2050" max="2304" width="9.16796875" style="158"/>
    <col min="2305" max="2305" width="11.73046875" style="158" customWidth="1"/>
    <col min="2306" max="2560" width="9.16796875" style="158"/>
    <col min="2561" max="2561" width="11.73046875" style="158" customWidth="1"/>
    <col min="2562" max="2816" width="9.16796875" style="158"/>
    <col min="2817" max="2817" width="11.73046875" style="158" customWidth="1"/>
    <col min="2818" max="3072" width="9.16796875" style="158"/>
    <col min="3073" max="3073" width="11.73046875" style="158" customWidth="1"/>
    <col min="3074" max="3328" width="9.16796875" style="158"/>
    <col min="3329" max="3329" width="11.73046875" style="158" customWidth="1"/>
    <col min="3330" max="3584" width="9.16796875" style="158"/>
    <col min="3585" max="3585" width="11.73046875" style="158" customWidth="1"/>
    <col min="3586" max="3840" width="9.16796875" style="158"/>
    <col min="3841" max="3841" width="11.73046875" style="158" customWidth="1"/>
    <col min="3842" max="4096" width="9.16796875" style="158"/>
    <col min="4097" max="4097" width="11.73046875" style="158" customWidth="1"/>
    <col min="4098" max="4352" width="9.16796875" style="158"/>
    <col min="4353" max="4353" width="11.73046875" style="158" customWidth="1"/>
    <col min="4354" max="4608" width="9.16796875" style="158"/>
    <col min="4609" max="4609" width="11.73046875" style="158" customWidth="1"/>
    <col min="4610" max="4864" width="9.16796875" style="158"/>
    <col min="4865" max="4865" width="11.73046875" style="158" customWidth="1"/>
    <col min="4866" max="5120" width="9.16796875" style="158"/>
    <col min="5121" max="5121" width="11.73046875" style="158" customWidth="1"/>
    <col min="5122" max="5376" width="9.16796875" style="158"/>
    <col min="5377" max="5377" width="11.73046875" style="158" customWidth="1"/>
    <col min="5378" max="5632" width="9.16796875" style="158"/>
    <col min="5633" max="5633" width="11.73046875" style="158" customWidth="1"/>
    <col min="5634" max="5888" width="9.16796875" style="158"/>
    <col min="5889" max="5889" width="11.73046875" style="158" customWidth="1"/>
    <col min="5890" max="6144" width="9.16796875" style="158"/>
    <col min="6145" max="6145" width="11.73046875" style="158" customWidth="1"/>
    <col min="6146" max="6400" width="9.16796875" style="158"/>
    <col min="6401" max="6401" width="11.73046875" style="158" customWidth="1"/>
    <col min="6402" max="6656" width="9.16796875" style="158"/>
    <col min="6657" max="6657" width="11.73046875" style="158" customWidth="1"/>
    <col min="6658" max="6912" width="9.16796875" style="158"/>
    <col min="6913" max="6913" width="11.73046875" style="158" customWidth="1"/>
    <col min="6914" max="7168" width="9.16796875" style="158"/>
    <col min="7169" max="7169" width="11.73046875" style="158" customWidth="1"/>
    <col min="7170" max="7424" width="9.16796875" style="158"/>
    <col min="7425" max="7425" width="11.73046875" style="158" customWidth="1"/>
    <col min="7426" max="7680" width="9.16796875" style="158"/>
    <col min="7681" max="7681" width="11.73046875" style="158" customWidth="1"/>
    <col min="7682" max="7936" width="9.16796875" style="158"/>
    <col min="7937" max="7937" width="11.73046875" style="158" customWidth="1"/>
    <col min="7938" max="8192" width="9.16796875" style="158"/>
    <col min="8193" max="8193" width="11.73046875" style="158" customWidth="1"/>
    <col min="8194" max="8448" width="9.16796875" style="158"/>
    <col min="8449" max="8449" width="11.73046875" style="158" customWidth="1"/>
    <col min="8450" max="8704" width="9.16796875" style="158"/>
    <col min="8705" max="8705" width="11.73046875" style="158" customWidth="1"/>
    <col min="8706" max="8960" width="9.16796875" style="158"/>
    <col min="8961" max="8961" width="11.73046875" style="158" customWidth="1"/>
    <col min="8962" max="9216" width="9.16796875" style="158"/>
    <col min="9217" max="9217" width="11.73046875" style="158" customWidth="1"/>
    <col min="9218" max="9472" width="9.16796875" style="158"/>
    <col min="9473" max="9473" width="11.73046875" style="158" customWidth="1"/>
    <col min="9474" max="9728" width="9.16796875" style="158"/>
    <col min="9729" max="9729" width="11.73046875" style="158" customWidth="1"/>
    <col min="9730" max="9984" width="9.16796875" style="158"/>
    <col min="9985" max="9985" width="11.73046875" style="158" customWidth="1"/>
    <col min="9986" max="10240" width="9.16796875" style="158"/>
    <col min="10241" max="10241" width="11.73046875" style="158" customWidth="1"/>
    <col min="10242" max="10496" width="9.16796875" style="158"/>
    <col min="10497" max="10497" width="11.73046875" style="158" customWidth="1"/>
    <col min="10498" max="10752" width="9.16796875" style="158"/>
    <col min="10753" max="10753" width="11.73046875" style="158" customWidth="1"/>
    <col min="10754" max="11008" width="9.16796875" style="158"/>
    <col min="11009" max="11009" width="11.73046875" style="158" customWidth="1"/>
    <col min="11010" max="11264" width="9.16796875" style="158"/>
    <col min="11265" max="11265" width="11.73046875" style="158" customWidth="1"/>
    <col min="11266" max="11520" width="9.16796875" style="158"/>
    <col min="11521" max="11521" width="11.73046875" style="158" customWidth="1"/>
    <col min="11522" max="11776" width="9.16796875" style="158"/>
    <col min="11777" max="11777" width="11.73046875" style="158" customWidth="1"/>
    <col min="11778" max="12032" width="9.16796875" style="158"/>
    <col min="12033" max="12033" width="11.73046875" style="158" customWidth="1"/>
    <col min="12034" max="12288" width="9.16796875" style="158"/>
    <col min="12289" max="12289" width="11.73046875" style="158" customWidth="1"/>
    <col min="12290" max="12544" width="9.16796875" style="158"/>
    <col min="12545" max="12545" width="11.73046875" style="158" customWidth="1"/>
    <col min="12546" max="12800" width="9.16796875" style="158"/>
    <col min="12801" max="12801" width="11.73046875" style="158" customWidth="1"/>
    <col min="12802" max="13056" width="9.16796875" style="158"/>
    <col min="13057" max="13057" width="11.73046875" style="158" customWidth="1"/>
    <col min="13058" max="13312" width="9.16796875" style="158"/>
    <col min="13313" max="13313" width="11.73046875" style="158" customWidth="1"/>
    <col min="13314" max="13568" width="9.16796875" style="158"/>
    <col min="13569" max="13569" width="11.73046875" style="158" customWidth="1"/>
    <col min="13570" max="13824" width="9.16796875" style="158"/>
    <col min="13825" max="13825" width="11.73046875" style="158" customWidth="1"/>
    <col min="13826" max="14080" width="9.16796875" style="158"/>
    <col min="14081" max="14081" width="11.73046875" style="158" customWidth="1"/>
    <col min="14082" max="14336" width="9.16796875" style="158"/>
    <col min="14337" max="14337" width="11.73046875" style="158" customWidth="1"/>
    <col min="14338" max="14592" width="9.16796875" style="158"/>
    <col min="14593" max="14593" width="11.73046875" style="158" customWidth="1"/>
    <col min="14594" max="14848" width="9.16796875" style="158"/>
    <col min="14849" max="14849" width="11.73046875" style="158" customWidth="1"/>
    <col min="14850" max="15104" width="9.16796875" style="158"/>
    <col min="15105" max="15105" width="11.73046875" style="158" customWidth="1"/>
    <col min="15106" max="15360" width="9.16796875" style="158"/>
    <col min="15361" max="15361" width="11.73046875" style="158" customWidth="1"/>
    <col min="15362" max="15616" width="9.16796875" style="158"/>
    <col min="15617" max="15617" width="11.73046875" style="158" customWidth="1"/>
    <col min="15618" max="15872" width="9.16796875" style="158"/>
    <col min="15873" max="15873" width="11.73046875" style="158" customWidth="1"/>
    <col min="15874" max="16128" width="9.16796875" style="158"/>
    <col min="16129" max="16129" width="11.73046875" style="158" customWidth="1"/>
    <col min="16130" max="16384" width="9.16796875" style="158"/>
  </cols>
  <sheetData>
    <row r="1" spans="1:9">
      <c r="A1" s="364"/>
      <c r="B1" s="364"/>
      <c r="C1" s="364"/>
      <c r="D1" s="364"/>
      <c r="E1" s="364"/>
      <c r="F1" s="364"/>
      <c r="G1" s="364"/>
      <c r="H1" s="364"/>
      <c r="I1" s="364"/>
    </row>
    <row r="2" spans="1:9">
      <c r="A2" s="159"/>
      <c r="B2" s="159"/>
      <c r="C2" s="159"/>
      <c r="D2" s="159"/>
      <c r="E2" s="159"/>
      <c r="F2" s="159"/>
      <c r="G2" s="159"/>
      <c r="H2" s="159"/>
      <c r="I2" s="159"/>
    </row>
    <row r="3" spans="1:9">
      <c r="A3" s="159"/>
      <c r="B3" s="160"/>
      <c r="C3" s="160"/>
      <c r="D3" s="160"/>
      <c r="E3" s="160"/>
      <c r="F3" s="160"/>
      <c r="G3" s="160"/>
      <c r="H3" s="160"/>
      <c r="I3" s="160"/>
    </row>
    <row r="4" spans="1:9">
      <c r="A4" s="365" t="s">
        <v>5</v>
      </c>
      <c r="B4" s="365"/>
      <c r="C4" s="365"/>
      <c r="D4" s="365"/>
      <c r="E4" s="365"/>
      <c r="F4" s="365"/>
      <c r="G4" s="365"/>
      <c r="H4" s="365"/>
      <c r="I4" s="365"/>
    </row>
    <row r="5" spans="1:9">
      <c r="A5" s="161"/>
      <c r="B5" s="161"/>
      <c r="C5" s="161"/>
      <c r="D5" s="161"/>
      <c r="E5" s="161"/>
      <c r="F5" s="161"/>
      <c r="G5" s="161"/>
      <c r="H5" s="161"/>
      <c r="I5" s="161"/>
    </row>
    <row r="6" spans="1:9">
      <c r="A6" s="161"/>
      <c r="B6" s="161"/>
      <c r="C6" s="161"/>
      <c r="D6" s="161"/>
      <c r="E6" s="161"/>
      <c r="F6" s="161"/>
      <c r="G6" s="161"/>
      <c r="H6" s="161"/>
      <c r="I6" s="161"/>
    </row>
    <row r="7" spans="1:9">
      <c r="A7" s="159"/>
      <c r="B7" s="160"/>
      <c r="C7" s="160"/>
      <c r="D7" s="160"/>
      <c r="E7" s="160"/>
      <c r="F7" s="160"/>
      <c r="G7" s="160"/>
      <c r="H7" s="160"/>
      <c r="I7" s="160"/>
    </row>
    <row r="8" spans="1:9">
      <c r="A8" s="159"/>
      <c r="B8" s="160"/>
      <c r="C8" s="160"/>
      <c r="D8" s="160"/>
      <c r="E8" s="160"/>
      <c r="F8" s="160"/>
      <c r="G8" s="160"/>
      <c r="H8" s="160"/>
      <c r="I8" s="160"/>
    </row>
    <row r="9" spans="1:9">
      <c r="A9" s="159"/>
      <c r="B9" s="160"/>
      <c r="C9" s="160"/>
      <c r="D9" s="160"/>
      <c r="E9" s="160"/>
      <c r="F9" s="160"/>
      <c r="G9" s="160"/>
      <c r="H9" s="160"/>
      <c r="I9" s="160"/>
    </row>
    <row r="10" spans="1:9">
      <c r="A10" s="159" t="s">
        <v>318</v>
      </c>
      <c r="B10" s="159"/>
      <c r="C10" s="159"/>
      <c r="D10" s="159"/>
      <c r="E10" s="159"/>
      <c r="F10" s="159"/>
      <c r="G10" s="160"/>
      <c r="H10" s="160"/>
      <c r="I10" s="160"/>
    </row>
    <row r="11" spans="1:9">
      <c r="A11" s="159"/>
      <c r="B11" s="159"/>
      <c r="C11" s="159"/>
      <c r="D11" s="159"/>
      <c r="E11" s="159"/>
      <c r="F11" s="159"/>
      <c r="G11" s="160"/>
      <c r="H11" s="160"/>
      <c r="I11" s="160"/>
    </row>
    <row r="12" spans="1:9">
      <c r="A12" s="159"/>
      <c r="B12" s="159"/>
      <c r="C12" s="159"/>
      <c r="D12" s="159"/>
      <c r="E12" s="159"/>
      <c r="F12" s="159"/>
      <c r="G12" s="160"/>
      <c r="H12" s="160"/>
      <c r="I12" s="160"/>
    </row>
    <row r="13" spans="1:9">
      <c r="A13" s="159" t="s">
        <v>217</v>
      </c>
      <c r="B13" s="159"/>
      <c r="C13" s="159"/>
      <c r="D13" s="159"/>
      <c r="E13" s="159"/>
      <c r="F13" s="159"/>
      <c r="G13" s="160"/>
      <c r="H13" s="160"/>
      <c r="I13" s="160"/>
    </row>
    <row r="14" spans="1:9">
      <c r="A14" s="160" t="s">
        <v>246</v>
      </c>
      <c r="B14" s="159"/>
      <c r="C14" s="159"/>
      <c r="D14" s="159"/>
      <c r="E14" s="159"/>
      <c r="F14" s="159"/>
      <c r="G14" s="160"/>
      <c r="H14" s="160"/>
      <c r="I14" s="160"/>
    </row>
    <row r="15" spans="1:9">
      <c r="A15" s="160" t="s">
        <v>247</v>
      </c>
      <c r="B15" s="160"/>
      <c r="C15" s="160"/>
      <c r="D15" s="160"/>
      <c r="E15" s="160"/>
      <c r="F15" s="160"/>
      <c r="G15" s="160"/>
      <c r="H15" s="160"/>
      <c r="I15" s="160"/>
    </row>
    <row r="16" spans="1:9">
      <c r="A16" s="160" t="s">
        <v>248</v>
      </c>
      <c r="B16" s="160"/>
      <c r="C16" s="160"/>
      <c r="D16" s="160"/>
      <c r="E16" s="160"/>
      <c r="F16" s="160"/>
      <c r="G16" s="160"/>
      <c r="H16" s="160"/>
      <c r="I16" s="160"/>
    </row>
    <row r="17" spans="1:13">
      <c r="A17" s="160"/>
      <c r="B17" s="160"/>
      <c r="C17" s="160"/>
      <c r="D17" s="160"/>
      <c r="E17" s="160"/>
      <c r="F17" s="160"/>
      <c r="G17" s="160"/>
      <c r="H17" s="160"/>
      <c r="I17" s="160"/>
    </row>
    <row r="18" spans="1:13">
      <c r="A18" s="160"/>
      <c r="B18" s="160"/>
      <c r="C18" s="160"/>
      <c r="D18" s="160"/>
      <c r="E18" s="160"/>
      <c r="F18" s="160"/>
      <c r="G18" s="160"/>
      <c r="H18" s="160"/>
      <c r="I18" s="160"/>
    </row>
    <row r="19" spans="1:13">
      <c r="A19" s="159" t="s">
        <v>218</v>
      </c>
      <c r="B19" s="160"/>
      <c r="C19" s="160"/>
      <c r="D19" s="160"/>
      <c r="E19" s="160"/>
      <c r="F19" s="160"/>
      <c r="G19" s="160"/>
      <c r="H19" s="160"/>
      <c r="I19" s="160"/>
    </row>
    <row r="20" spans="1:13">
      <c r="A20" s="160" t="s">
        <v>249</v>
      </c>
      <c r="B20" s="160"/>
      <c r="C20" s="160"/>
      <c r="D20" s="160"/>
      <c r="E20" s="160"/>
      <c r="F20" s="160"/>
      <c r="G20" s="160"/>
      <c r="H20" s="160"/>
      <c r="I20" s="160"/>
    </row>
    <row r="21" spans="1:13">
      <c r="A21" s="160"/>
      <c r="B21" s="160"/>
      <c r="C21" s="160"/>
      <c r="D21" s="160"/>
      <c r="E21" s="160"/>
      <c r="F21" s="160"/>
      <c r="G21" s="160"/>
      <c r="H21" s="160"/>
      <c r="I21" s="160"/>
    </row>
    <row r="22" spans="1:13">
      <c r="A22" s="160"/>
      <c r="B22" s="160"/>
      <c r="C22" s="160"/>
      <c r="D22" s="160"/>
      <c r="E22" s="160"/>
      <c r="F22" s="160"/>
      <c r="G22" s="160"/>
      <c r="H22" s="160"/>
      <c r="I22" s="160"/>
    </row>
    <row r="23" spans="1:13">
      <c r="A23" s="159" t="s">
        <v>1</v>
      </c>
      <c r="B23" s="159"/>
      <c r="C23" s="159"/>
      <c r="D23" s="159"/>
      <c r="E23" s="159"/>
      <c r="F23" s="159"/>
      <c r="G23" s="159"/>
      <c r="H23" s="159"/>
      <c r="I23" s="159"/>
      <c r="J23" s="111"/>
      <c r="K23" s="111"/>
      <c r="L23" s="111"/>
      <c r="M23" s="111"/>
    </row>
    <row r="24" spans="1:13">
      <c r="A24" s="160" t="s">
        <v>219</v>
      </c>
      <c r="B24" s="160"/>
      <c r="C24" s="160"/>
      <c r="D24" s="160"/>
      <c r="E24" s="160"/>
      <c r="F24" s="160"/>
      <c r="G24" s="160"/>
      <c r="H24" s="160"/>
      <c r="I24" s="160"/>
    </row>
    <row r="25" spans="1:13">
      <c r="A25" s="160" t="s">
        <v>220</v>
      </c>
      <c r="B25" s="160"/>
      <c r="C25" s="160"/>
      <c r="D25" s="160"/>
      <c r="E25" s="160"/>
      <c r="F25" s="160"/>
      <c r="G25" s="160"/>
      <c r="H25" s="160"/>
      <c r="I25" s="160"/>
    </row>
    <row r="26" spans="1:13">
      <c r="A26" s="160"/>
      <c r="B26" s="160"/>
      <c r="C26" s="160"/>
      <c r="D26" s="160"/>
      <c r="E26" s="160"/>
      <c r="F26" s="160"/>
      <c r="G26" s="160"/>
      <c r="H26" s="160"/>
      <c r="I26" s="160"/>
    </row>
    <row r="27" spans="1:13">
      <c r="A27" s="160"/>
      <c r="B27" s="160"/>
      <c r="C27" s="160"/>
      <c r="D27" s="160"/>
      <c r="E27" s="160"/>
      <c r="F27" s="160"/>
      <c r="G27" s="160"/>
      <c r="H27" s="160"/>
      <c r="I27" s="160"/>
    </row>
    <row r="28" spans="1:13">
      <c r="A28" s="159" t="s">
        <v>221</v>
      </c>
      <c r="B28" s="160"/>
      <c r="C28" s="160"/>
      <c r="D28" s="160"/>
      <c r="E28" s="160"/>
      <c r="F28" s="160"/>
      <c r="G28" s="160"/>
      <c r="H28" s="160"/>
      <c r="I28" s="160"/>
    </row>
    <row r="29" spans="1:13">
      <c r="A29" s="160" t="s">
        <v>222</v>
      </c>
      <c r="B29" s="160"/>
      <c r="C29" s="160"/>
      <c r="D29" s="160"/>
      <c r="E29" s="160"/>
      <c r="F29" s="160"/>
      <c r="G29" s="160"/>
      <c r="H29" s="160"/>
      <c r="I29" s="160"/>
    </row>
    <row r="30" spans="1:13">
      <c r="A30" s="160" t="s">
        <v>223</v>
      </c>
      <c r="B30" s="160"/>
      <c r="C30" s="160"/>
      <c r="D30" s="160"/>
      <c r="E30" s="160"/>
      <c r="F30" s="160"/>
      <c r="G30" s="160"/>
      <c r="H30" s="160"/>
      <c r="I30" s="160"/>
    </row>
    <row r="31" spans="1:13">
      <c r="A31" s="160"/>
      <c r="B31" s="160"/>
      <c r="C31" s="160"/>
      <c r="D31" s="160"/>
      <c r="E31" s="160"/>
      <c r="F31" s="160"/>
      <c r="G31" s="160"/>
      <c r="H31" s="160"/>
      <c r="I31" s="160"/>
    </row>
    <row r="32" spans="1:13">
      <c r="A32" s="159"/>
      <c r="B32" s="159"/>
      <c r="C32" s="160"/>
      <c r="D32" s="160"/>
      <c r="E32" s="160"/>
      <c r="F32" s="160"/>
      <c r="G32" s="160"/>
      <c r="H32" s="160"/>
      <c r="I32" s="160"/>
    </row>
    <row r="33" spans="1:9">
      <c r="A33" s="159" t="s">
        <v>224</v>
      </c>
      <c r="B33" s="159"/>
      <c r="C33" s="159"/>
      <c r="D33" s="160"/>
      <c r="E33" s="160"/>
      <c r="F33" s="160"/>
      <c r="G33" s="160"/>
      <c r="H33" s="160"/>
      <c r="I33" s="160"/>
    </row>
    <row r="34" spans="1:9">
      <c r="A34" s="160" t="s">
        <v>225</v>
      </c>
      <c r="B34" s="160"/>
      <c r="C34" s="160"/>
      <c r="D34" s="160"/>
      <c r="E34" s="160"/>
      <c r="F34" s="160"/>
      <c r="G34" s="160"/>
      <c r="H34" s="160"/>
      <c r="I34" s="160"/>
    </row>
    <row r="35" spans="1:9">
      <c r="A35" s="160"/>
      <c r="B35" s="160"/>
      <c r="C35" s="160"/>
      <c r="D35" s="160"/>
      <c r="E35" s="160"/>
      <c r="F35" s="160"/>
      <c r="G35" s="160"/>
      <c r="H35" s="160"/>
      <c r="I35" s="160"/>
    </row>
    <row r="36" spans="1:9">
      <c r="A36" s="160"/>
      <c r="B36" s="160"/>
      <c r="C36" s="160"/>
      <c r="D36" s="160"/>
      <c r="E36" s="160"/>
      <c r="F36" s="160"/>
      <c r="G36" s="160"/>
      <c r="H36" s="160"/>
      <c r="I36" s="160"/>
    </row>
    <row r="37" spans="1:9">
      <c r="A37" s="159" t="s">
        <v>226</v>
      </c>
      <c r="B37" s="159"/>
      <c r="C37" s="159"/>
      <c r="D37" s="160"/>
      <c r="E37" s="160"/>
      <c r="F37" s="160"/>
      <c r="G37" s="160"/>
      <c r="H37" s="160"/>
      <c r="I37" s="160"/>
    </row>
    <row r="38" spans="1:9">
      <c r="A38" s="160" t="s">
        <v>225</v>
      </c>
      <c r="B38" s="160"/>
      <c r="C38" s="160"/>
      <c r="D38" s="160"/>
      <c r="E38" s="160"/>
      <c r="F38" s="160"/>
      <c r="G38" s="160"/>
      <c r="H38" s="160"/>
      <c r="I38" s="160"/>
    </row>
    <row r="39" spans="1:9">
      <c r="A39" s="160"/>
      <c r="B39" s="160"/>
      <c r="C39" s="160"/>
      <c r="D39" s="160"/>
      <c r="E39" s="160"/>
      <c r="F39" s="160"/>
      <c r="G39" s="160"/>
      <c r="H39" s="160"/>
      <c r="I39" s="160"/>
    </row>
    <row r="40" spans="1:9">
      <c r="A40" s="160"/>
      <c r="B40" s="160"/>
      <c r="C40" s="160"/>
      <c r="D40" s="160"/>
      <c r="E40" s="160"/>
      <c r="F40" s="160"/>
      <c r="G40" s="160"/>
      <c r="H40" s="160"/>
      <c r="I40" s="160"/>
    </row>
    <row r="41" spans="1:9">
      <c r="A41" s="159"/>
      <c r="B41" s="159"/>
      <c r="C41" s="160"/>
      <c r="D41" s="160"/>
      <c r="E41" s="160"/>
      <c r="F41" s="160"/>
      <c r="G41" s="160"/>
      <c r="H41" s="160"/>
      <c r="I41" s="160"/>
    </row>
    <row r="42" spans="1:9">
      <c r="A42" s="160"/>
      <c r="B42" s="160"/>
      <c r="C42" s="160"/>
      <c r="D42" s="160"/>
      <c r="E42" s="160"/>
      <c r="F42" s="160"/>
      <c r="G42" s="160"/>
      <c r="H42" s="160"/>
      <c r="I42" s="160"/>
    </row>
    <row r="43" spans="1:9">
      <c r="A43" s="160"/>
      <c r="B43" s="160"/>
      <c r="C43" s="160"/>
      <c r="D43" s="160"/>
      <c r="E43" s="160"/>
      <c r="F43" s="160"/>
      <c r="G43" s="160"/>
      <c r="H43" s="160"/>
      <c r="I43" s="160"/>
    </row>
    <row r="44" spans="1:9">
      <c r="A44" s="160"/>
      <c r="B44" s="160"/>
      <c r="C44" s="160"/>
      <c r="D44" s="160"/>
      <c r="E44" s="160"/>
      <c r="F44" s="160"/>
      <c r="G44" s="160"/>
      <c r="H44" s="160"/>
      <c r="I44" s="160"/>
    </row>
    <row r="45" spans="1:9">
      <c r="A45" s="160"/>
      <c r="B45" s="160"/>
      <c r="C45" s="160"/>
      <c r="D45" s="160"/>
      <c r="E45" s="160"/>
      <c r="F45" s="160"/>
      <c r="G45" s="160"/>
      <c r="H45" s="160"/>
      <c r="I45" s="160"/>
    </row>
    <row r="46" spans="1:9">
      <c r="A46" s="160"/>
      <c r="B46" s="160"/>
      <c r="C46" s="160"/>
      <c r="D46" s="160"/>
      <c r="E46" s="160"/>
      <c r="F46" s="160"/>
      <c r="G46" s="160"/>
      <c r="H46" s="160"/>
      <c r="I46" s="160"/>
    </row>
    <row r="47" spans="1:9">
      <c r="A47" s="159"/>
      <c r="B47" s="159"/>
      <c r="C47" s="160"/>
      <c r="D47" s="160"/>
      <c r="E47" s="160"/>
      <c r="F47" s="160"/>
      <c r="G47" s="160"/>
      <c r="H47" s="160"/>
      <c r="I47" s="160"/>
    </row>
    <row r="48" spans="1:9">
      <c r="A48" s="160"/>
      <c r="B48" s="160"/>
      <c r="C48" s="160"/>
      <c r="D48" s="160"/>
      <c r="E48" s="160"/>
      <c r="F48" s="160"/>
      <c r="G48" s="160"/>
      <c r="H48" s="160"/>
      <c r="I48" s="160"/>
    </row>
    <row r="49" spans="1:9">
      <c r="A49" s="160"/>
      <c r="B49" s="160"/>
      <c r="C49" s="160"/>
      <c r="D49" s="160"/>
      <c r="E49" s="160"/>
      <c r="F49" s="160"/>
      <c r="G49" s="160"/>
      <c r="H49" s="160"/>
      <c r="I49" s="160"/>
    </row>
    <row r="50" spans="1:9">
      <c r="A50" s="160"/>
      <c r="B50" s="160"/>
      <c r="C50" s="160"/>
      <c r="D50" s="160"/>
      <c r="E50" s="160"/>
      <c r="F50" s="160"/>
      <c r="G50" s="160"/>
      <c r="H50" s="160"/>
      <c r="I50" s="160"/>
    </row>
  </sheetData>
  <mergeCells count="2">
    <mergeCell ref="A1:I1"/>
    <mergeCell ref="A4:I4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H41"/>
  <sheetViews>
    <sheetView view="pageBreakPreview" zoomScale="60" zoomScaleNormal="100" workbookViewId="0">
      <selection activeCell="F48" sqref="F48"/>
    </sheetView>
  </sheetViews>
  <sheetFormatPr defaultColWidth="8.8984375" defaultRowHeight="13.5"/>
  <cols>
    <col min="1" max="3" width="8.8984375" style="31"/>
    <col min="4" max="4" width="8.359375" style="31" customWidth="1"/>
    <col min="5" max="5" width="8.8984375" style="31"/>
    <col min="6" max="6" width="8.76171875" style="31" customWidth="1"/>
    <col min="7" max="7" width="8.8984375" style="31"/>
    <col min="8" max="8" width="24.00390625" style="31" customWidth="1"/>
    <col min="9" max="16384" width="8.8984375" style="31"/>
  </cols>
  <sheetData>
    <row r="2" spans="1:8" ht="18">
      <c r="A2" s="30" t="s">
        <v>65</v>
      </c>
      <c r="H2" s="32" t="s">
        <v>66</v>
      </c>
    </row>
    <row r="4" spans="1:8" ht="17.100000000000001" customHeight="1">
      <c r="A4" s="33" t="s">
        <v>73</v>
      </c>
      <c r="B4" s="33"/>
      <c r="C4" s="33"/>
      <c r="D4" s="33"/>
      <c r="E4" s="33"/>
      <c r="F4" s="33"/>
      <c r="G4" s="33"/>
      <c r="H4" s="33">
        <v>1</v>
      </c>
    </row>
    <row r="5" spans="1:8" ht="17.100000000000001" customHeight="1">
      <c r="A5" s="33"/>
      <c r="B5" s="33"/>
      <c r="C5" s="33"/>
      <c r="D5" s="33"/>
      <c r="E5" s="33"/>
      <c r="F5" s="33"/>
      <c r="G5" s="33"/>
      <c r="H5" s="33"/>
    </row>
    <row r="6" spans="1:8" ht="17.100000000000001" customHeight="1">
      <c r="A6" s="33" t="s">
        <v>67</v>
      </c>
      <c r="B6" s="33"/>
      <c r="C6" s="33"/>
      <c r="D6" s="33"/>
      <c r="E6" s="33"/>
      <c r="F6" s="33"/>
      <c r="G6" s="33"/>
      <c r="H6" s="33">
        <v>2</v>
      </c>
    </row>
    <row r="7" spans="1:8" ht="17.100000000000001" customHeight="1">
      <c r="A7" s="33"/>
      <c r="B7" s="33"/>
      <c r="C7" s="33"/>
      <c r="D7" s="33"/>
      <c r="E7" s="33"/>
      <c r="F7" s="33"/>
      <c r="G7" s="33"/>
      <c r="H7" s="33"/>
    </row>
    <row r="8" spans="1:8" ht="17.100000000000001" customHeight="1">
      <c r="A8" s="33" t="s">
        <v>68</v>
      </c>
      <c r="B8" s="33"/>
      <c r="C8" s="33"/>
      <c r="D8" s="33"/>
      <c r="E8" s="33"/>
      <c r="F8" s="33"/>
      <c r="G8" s="33"/>
      <c r="H8" s="33">
        <v>3</v>
      </c>
    </row>
    <row r="9" spans="1:8" ht="17.100000000000001" customHeight="1">
      <c r="A9" s="33"/>
      <c r="B9" s="33"/>
      <c r="C9" s="33"/>
      <c r="D9" s="33"/>
      <c r="E9" s="33"/>
      <c r="F9" s="33"/>
      <c r="G9" s="33"/>
      <c r="H9" s="33"/>
    </row>
    <row r="10" spans="1:8" ht="17.100000000000001" customHeight="1">
      <c r="A10" s="33" t="s">
        <v>69</v>
      </c>
      <c r="B10" s="33"/>
      <c r="C10" s="33"/>
      <c r="D10" s="33"/>
      <c r="E10" s="33"/>
      <c r="F10" s="33"/>
      <c r="G10" s="33"/>
      <c r="H10" s="33">
        <v>4</v>
      </c>
    </row>
    <row r="11" spans="1:8" ht="17.100000000000001" customHeight="1">
      <c r="A11" s="33"/>
      <c r="B11" s="33"/>
      <c r="C11" s="33"/>
      <c r="D11" s="33"/>
      <c r="E11" s="33"/>
      <c r="F11" s="33"/>
      <c r="G11" s="33"/>
      <c r="H11" s="33"/>
    </row>
    <row r="12" spans="1:8" ht="17.100000000000001" customHeight="1">
      <c r="A12" s="33" t="s">
        <v>70</v>
      </c>
      <c r="B12" s="33"/>
      <c r="C12" s="33"/>
      <c r="D12" s="33"/>
      <c r="E12" s="33"/>
      <c r="F12" s="33"/>
      <c r="G12" s="33"/>
      <c r="H12" s="33">
        <v>5</v>
      </c>
    </row>
    <row r="13" spans="1:8" ht="17.100000000000001" customHeight="1">
      <c r="A13" s="33"/>
      <c r="B13" s="33"/>
      <c r="C13" s="33"/>
      <c r="D13" s="33"/>
      <c r="E13" s="33"/>
      <c r="F13" s="33"/>
      <c r="G13" s="33"/>
      <c r="H13" s="33"/>
    </row>
    <row r="14" spans="1:8" ht="17.100000000000001" customHeight="1">
      <c r="A14" s="35" t="s">
        <v>45</v>
      </c>
      <c r="B14" s="33"/>
      <c r="C14" s="33"/>
      <c r="D14" s="33"/>
      <c r="E14" s="33"/>
      <c r="F14" s="33"/>
      <c r="G14" s="33"/>
      <c r="H14" s="33">
        <v>6</v>
      </c>
    </row>
    <row r="15" spans="1:8" ht="17.100000000000001" customHeight="1">
      <c r="A15" s="35"/>
      <c r="B15" s="33"/>
      <c r="C15" s="33"/>
      <c r="D15" s="33"/>
      <c r="E15" s="33"/>
      <c r="F15" s="33"/>
      <c r="G15" s="33"/>
      <c r="H15" s="34"/>
    </row>
    <row r="16" spans="1:8" ht="17.100000000000001" customHeight="1">
      <c r="A16" s="35" t="s">
        <v>47</v>
      </c>
      <c r="B16" s="33"/>
      <c r="C16" s="33"/>
      <c r="D16" s="33"/>
      <c r="E16" s="33"/>
      <c r="F16" s="33"/>
      <c r="G16" s="33"/>
      <c r="H16" s="34" t="s">
        <v>137</v>
      </c>
    </row>
    <row r="17" spans="1:8" ht="17.100000000000001" customHeight="1">
      <c r="A17" s="35"/>
      <c r="B17" s="33"/>
      <c r="C17" s="33"/>
      <c r="D17" s="33"/>
      <c r="E17" s="33"/>
      <c r="F17" s="33"/>
      <c r="G17" s="33"/>
      <c r="H17" s="36"/>
    </row>
    <row r="18" spans="1:8" ht="17.100000000000001" customHeight="1">
      <c r="A18" s="35" t="s">
        <v>114</v>
      </c>
      <c r="B18" s="33"/>
      <c r="C18" s="33"/>
      <c r="D18" s="33"/>
      <c r="E18" s="33"/>
      <c r="F18" s="33"/>
      <c r="G18" s="33"/>
      <c r="H18" s="36">
        <v>8</v>
      </c>
    </row>
    <row r="19" spans="1:8" ht="17.100000000000001" customHeight="1">
      <c r="A19" s="35"/>
      <c r="B19" s="33"/>
      <c r="C19" s="33"/>
      <c r="D19" s="33"/>
      <c r="E19" s="33"/>
      <c r="F19" s="33"/>
      <c r="G19" s="33"/>
      <c r="H19" s="33"/>
    </row>
    <row r="20" spans="1:8" ht="17.100000000000001" customHeight="1">
      <c r="A20" s="35" t="s">
        <v>115</v>
      </c>
      <c r="B20" s="33"/>
      <c r="C20" s="33"/>
      <c r="D20" s="33"/>
      <c r="E20" s="33"/>
      <c r="F20" s="33"/>
      <c r="G20" s="33"/>
      <c r="H20" s="33">
        <v>9</v>
      </c>
    </row>
    <row r="21" spans="1:8" ht="17.100000000000001" customHeight="1">
      <c r="A21" s="35"/>
      <c r="B21" s="33"/>
      <c r="C21" s="33"/>
      <c r="D21" s="33"/>
      <c r="E21" s="33"/>
      <c r="F21" s="33"/>
      <c r="G21" s="33"/>
      <c r="H21" s="33"/>
    </row>
    <row r="22" spans="1:8" ht="17.100000000000001" customHeight="1">
      <c r="A22" s="35" t="s">
        <v>71</v>
      </c>
      <c r="B22" s="33"/>
      <c r="C22" s="33"/>
      <c r="D22" s="33"/>
      <c r="E22" s="33"/>
      <c r="F22" s="33"/>
      <c r="G22" s="33"/>
      <c r="H22" s="33">
        <v>10</v>
      </c>
    </row>
    <row r="23" spans="1:8" ht="18">
      <c r="A23" s="35"/>
      <c r="B23" s="35"/>
      <c r="C23" s="33"/>
      <c r="D23" s="33"/>
      <c r="E23" s="33"/>
      <c r="F23" s="33"/>
      <c r="G23" s="33"/>
      <c r="H23" s="33"/>
    </row>
    <row r="24" spans="1:8" ht="18">
      <c r="A24" s="35" t="s">
        <v>116</v>
      </c>
      <c r="B24" s="33"/>
      <c r="C24" s="33"/>
      <c r="D24" s="33"/>
      <c r="E24" s="33"/>
      <c r="F24" s="33"/>
      <c r="G24" s="33"/>
      <c r="H24" s="33">
        <v>11</v>
      </c>
    </row>
    <row r="25" spans="1:8" ht="18">
      <c r="A25" s="35"/>
      <c r="B25" s="33"/>
      <c r="C25" s="33"/>
      <c r="D25" s="33"/>
      <c r="E25" s="33"/>
      <c r="F25" s="33"/>
      <c r="G25" s="33"/>
      <c r="H25" s="33"/>
    </row>
    <row r="26" spans="1:8" ht="18">
      <c r="A26" s="35" t="s">
        <v>72</v>
      </c>
      <c r="B26" s="33"/>
      <c r="C26" s="33"/>
      <c r="D26" s="33"/>
      <c r="E26" s="33"/>
      <c r="F26" s="33"/>
      <c r="G26" s="33"/>
      <c r="H26" s="33">
        <v>12</v>
      </c>
    </row>
    <row r="27" spans="1:8" ht="18">
      <c r="A27" s="35"/>
      <c r="B27" s="33"/>
      <c r="C27" s="33"/>
      <c r="D27" s="33"/>
      <c r="E27" s="33"/>
      <c r="F27" s="33"/>
      <c r="G27" s="33"/>
      <c r="H27" s="33"/>
    </row>
    <row r="28" spans="1:8" ht="18">
      <c r="A28" s="35" t="s">
        <v>134</v>
      </c>
      <c r="B28" s="33"/>
      <c r="C28" s="33"/>
      <c r="D28" s="33"/>
      <c r="E28" s="33"/>
      <c r="F28" s="33"/>
      <c r="G28" s="33"/>
      <c r="H28" s="33">
        <v>13</v>
      </c>
    </row>
    <row r="29" spans="1:8" ht="18">
      <c r="A29" s="35"/>
      <c r="B29" s="33"/>
      <c r="C29" s="33"/>
      <c r="D29" s="33"/>
      <c r="E29" s="33"/>
      <c r="F29" s="33"/>
      <c r="G29" s="33"/>
      <c r="H29" s="33"/>
    </row>
    <row r="30" spans="1:8" ht="18">
      <c r="A30" s="35" t="s">
        <v>138</v>
      </c>
      <c r="B30" s="33"/>
      <c r="C30" s="33"/>
      <c r="D30" s="33"/>
      <c r="E30" s="33"/>
      <c r="F30" s="33"/>
      <c r="G30" s="33"/>
      <c r="H30" s="33">
        <v>14</v>
      </c>
    </row>
    <row r="31" spans="1:8" ht="18">
      <c r="A31" s="35"/>
      <c r="B31" s="33"/>
      <c r="C31" s="33"/>
      <c r="D31" s="33"/>
      <c r="E31" s="33"/>
      <c r="F31" s="33"/>
      <c r="G31" s="33"/>
      <c r="H31" s="33"/>
    </row>
    <row r="32" spans="1:8" ht="18">
      <c r="A32" s="35" t="s">
        <v>131</v>
      </c>
      <c r="B32" s="33"/>
      <c r="C32" s="33"/>
      <c r="D32" s="33"/>
      <c r="E32" s="33"/>
      <c r="F32" s="33"/>
      <c r="G32" s="33"/>
      <c r="H32" s="33">
        <v>15</v>
      </c>
    </row>
    <row r="33" spans="1:8" ht="18">
      <c r="A33" s="35"/>
      <c r="B33" s="33"/>
      <c r="C33" s="33"/>
      <c r="D33" s="33"/>
      <c r="E33" s="33"/>
      <c r="F33" s="33"/>
      <c r="G33" s="33"/>
      <c r="H33" s="33"/>
    </row>
    <row r="34" spans="1:8" ht="18">
      <c r="A34" s="35"/>
      <c r="B34" s="33"/>
      <c r="C34" s="33"/>
      <c r="D34" s="33"/>
      <c r="E34" s="33"/>
      <c r="F34" s="33"/>
      <c r="G34" s="33"/>
      <c r="H34" s="33"/>
    </row>
    <row r="35" spans="1:8" ht="18">
      <c r="A35" s="35"/>
      <c r="B35" s="33"/>
      <c r="C35" s="33"/>
      <c r="D35" s="33"/>
      <c r="E35" s="33"/>
      <c r="F35" s="33"/>
      <c r="G35" s="33"/>
      <c r="H35" s="33"/>
    </row>
    <row r="36" spans="1:8" ht="18">
      <c r="A36" s="35"/>
      <c r="B36" s="33"/>
      <c r="C36" s="33"/>
      <c r="D36" s="33"/>
      <c r="E36" s="33"/>
      <c r="F36" s="33"/>
      <c r="G36" s="33"/>
      <c r="H36" s="33"/>
    </row>
    <row r="37" spans="1:8" ht="18">
      <c r="A37" s="35"/>
      <c r="B37" s="33"/>
      <c r="C37" s="33"/>
      <c r="D37" s="33"/>
      <c r="E37" s="33"/>
      <c r="F37" s="33"/>
      <c r="G37" s="33"/>
      <c r="H37" s="33"/>
    </row>
    <row r="38" spans="1:8" ht="18">
      <c r="A38" s="35"/>
      <c r="B38" s="33"/>
      <c r="C38" s="33"/>
      <c r="D38" s="33"/>
      <c r="E38" s="33"/>
      <c r="F38" s="33"/>
      <c r="G38" s="33"/>
      <c r="H38" s="33"/>
    </row>
    <row r="39" spans="1:8" ht="18">
      <c r="A39" s="35"/>
      <c r="B39" s="33"/>
      <c r="C39" s="33"/>
      <c r="D39" s="33"/>
      <c r="E39" s="33"/>
      <c r="F39" s="33"/>
      <c r="G39" s="33"/>
      <c r="H39" s="33"/>
    </row>
    <row r="40" spans="1:8" ht="18">
      <c r="A40" s="35"/>
      <c r="B40" s="33"/>
      <c r="C40" s="33"/>
      <c r="D40" s="33"/>
      <c r="E40" s="33"/>
      <c r="F40" s="33"/>
      <c r="G40" s="33"/>
      <c r="H40" s="33"/>
    </row>
    <row r="41" spans="1:8" ht="18">
      <c r="A41" s="33"/>
      <c r="B41" s="33"/>
      <c r="C41" s="33"/>
      <c r="D41" s="33"/>
      <c r="E41" s="33"/>
      <c r="F41" s="33"/>
      <c r="G41" s="33"/>
      <c r="H41" s="33"/>
    </row>
  </sheetData>
  <pageMargins left="0.78740157480314998" right="0.78740157480314998" top="1.25984251968504" bottom="0.98425196850393704" header="0.511811023622047" footer="0.511811023622047"/>
  <pageSetup paperSize="9" scale="92" firstPageNumber="2" orientation="portrait" r:id="rId1"/>
  <headerFooter>
    <firstFooter>&amp;R&amp;P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4"/>
  <sheetViews>
    <sheetView view="pageBreakPreview" zoomScale="90" zoomScaleNormal="100" zoomScaleSheetLayoutView="90" workbookViewId="0">
      <selection activeCell="H12" sqref="H12:M12"/>
    </sheetView>
  </sheetViews>
  <sheetFormatPr defaultColWidth="9.16796875" defaultRowHeight="14.25"/>
  <cols>
    <col min="1" max="1" width="9.16796875" style="14"/>
    <col min="2" max="3" width="9.16796875" style="14" customWidth="1"/>
    <col min="4" max="6" width="9.16796875" style="14"/>
    <col min="7" max="9" width="9.16796875" style="14" customWidth="1"/>
    <col min="10" max="10" width="8.8984375" style="14" customWidth="1"/>
    <col min="11" max="13" width="9.16796875" style="14" customWidth="1"/>
    <col min="14" max="16384" width="9.16796875" style="14"/>
  </cols>
  <sheetData>
    <row r="1" spans="1:13" ht="21">
      <c r="A1" s="367" t="s">
        <v>4</v>
      </c>
      <c r="B1" s="367"/>
      <c r="C1" s="367"/>
      <c r="D1" s="367"/>
      <c r="E1" s="367"/>
      <c r="F1" s="367"/>
      <c r="G1" s="367"/>
      <c r="H1" s="367"/>
      <c r="I1" s="367"/>
      <c r="J1" s="367"/>
      <c r="K1" s="367"/>
      <c r="L1" s="367"/>
      <c r="M1" s="367"/>
    </row>
    <row r="2" spans="1:13">
      <c r="A2" s="1"/>
    </row>
    <row r="3" spans="1:13">
      <c r="A3" s="1"/>
    </row>
    <row r="4" spans="1:13">
      <c r="A4" s="1"/>
    </row>
    <row r="5" spans="1:13">
      <c r="A5" s="1"/>
    </row>
    <row r="6" spans="1:13" ht="15" thickBot="1">
      <c r="A6" s="20">
        <v>1</v>
      </c>
      <c r="B6" s="8" t="s">
        <v>145</v>
      </c>
      <c r="C6" s="11"/>
      <c r="D6" s="11"/>
      <c r="E6" s="11"/>
      <c r="F6" s="11"/>
      <c r="G6" s="11"/>
      <c r="H6" s="91" t="s">
        <v>242</v>
      </c>
      <c r="I6" s="91"/>
      <c r="J6" s="91"/>
      <c r="K6" s="91"/>
      <c r="L6" s="91"/>
      <c r="M6" s="23"/>
    </row>
    <row r="7" spans="1:13">
      <c r="A7" s="20"/>
      <c r="B7" s="11"/>
      <c r="C7" s="11"/>
      <c r="D7" s="11"/>
      <c r="E7" s="11"/>
      <c r="F7" s="11"/>
      <c r="G7" s="11"/>
      <c r="H7" s="8"/>
      <c r="I7" s="8"/>
      <c r="J7" s="8"/>
      <c r="K7" s="8"/>
      <c r="L7" s="8"/>
      <c r="M7" s="9"/>
    </row>
    <row r="8" spans="1:13">
      <c r="A8" s="20"/>
      <c r="B8" s="11"/>
      <c r="C8" s="11"/>
      <c r="D8" s="11"/>
      <c r="E8" s="11"/>
      <c r="F8" s="11"/>
      <c r="G8" s="11"/>
      <c r="H8" s="8"/>
      <c r="I8" s="8"/>
      <c r="J8" s="8"/>
      <c r="K8" s="8"/>
      <c r="L8" s="8"/>
      <c r="M8" s="9"/>
    </row>
    <row r="9" spans="1:13" ht="15" thickBot="1">
      <c r="A9" s="20">
        <v>2</v>
      </c>
      <c r="B9" s="8" t="s">
        <v>142</v>
      </c>
      <c r="C9" s="11"/>
      <c r="D9" s="11"/>
      <c r="E9" s="11"/>
      <c r="F9" s="11"/>
      <c r="G9" s="11"/>
      <c r="H9" s="91" t="s">
        <v>250</v>
      </c>
      <c r="I9" s="91"/>
      <c r="J9" s="91"/>
      <c r="K9" s="91"/>
      <c r="L9" s="91"/>
      <c r="M9" s="23"/>
    </row>
    <row r="10" spans="1:13">
      <c r="A10" s="20"/>
      <c r="B10" s="11"/>
      <c r="C10" s="11"/>
      <c r="D10" s="11"/>
      <c r="E10" s="11"/>
      <c r="F10" s="11"/>
      <c r="G10" s="11"/>
      <c r="H10" s="8"/>
      <c r="I10" s="8"/>
      <c r="J10" s="8"/>
      <c r="K10" s="8"/>
      <c r="L10" s="8"/>
      <c r="M10" s="9"/>
    </row>
    <row r="11" spans="1:13">
      <c r="A11" s="20"/>
      <c r="B11" s="11"/>
      <c r="C11" s="11"/>
      <c r="D11" s="11"/>
      <c r="E11" s="11"/>
      <c r="F11" s="11"/>
      <c r="G11" s="11"/>
      <c r="H11" s="8"/>
      <c r="I11" s="8"/>
      <c r="J11" s="8"/>
      <c r="K11" s="8"/>
      <c r="L11" s="8"/>
      <c r="M11" s="9"/>
    </row>
    <row r="12" spans="1:13" ht="33.75" customHeight="1" thickBot="1">
      <c r="A12" s="20" t="s">
        <v>140</v>
      </c>
      <c r="B12" s="8" t="s">
        <v>148</v>
      </c>
      <c r="C12" s="11"/>
      <c r="D12" s="11"/>
      <c r="E12" s="11"/>
      <c r="F12" s="11"/>
      <c r="G12" s="11"/>
      <c r="H12" s="368" t="s">
        <v>251</v>
      </c>
      <c r="I12" s="368"/>
      <c r="J12" s="368"/>
      <c r="K12" s="368"/>
      <c r="L12" s="368"/>
      <c r="M12" s="368"/>
    </row>
    <row r="13" spans="1:13">
      <c r="A13" s="20"/>
      <c r="B13" s="11"/>
      <c r="C13" s="11"/>
      <c r="D13" s="11"/>
      <c r="E13" s="11"/>
      <c r="F13" s="11"/>
      <c r="G13" s="11"/>
      <c r="H13" s="8"/>
      <c r="I13" s="8"/>
      <c r="J13" s="8"/>
      <c r="K13" s="8"/>
      <c r="L13" s="8"/>
      <c r="M13" s="9"/>
    </row>
    <row r="14" spans="1:13" ht="15" thickBot="1">
      <c r="A14" s="20" t="s">
        <v>141</v>
      </c>
      <c r="B14" s="8" t="s">
        <v>147</v>
      </c>
      <c r="C14" s="11"/>
      <c r="D14" s="11"/>
      <c r="E14" s="11"/>
      <c r="F14" s="11"/>
      <c r="G14" s="11"/>
      <c r="H14" s="176" t="s">
        <v>252</v>
      </c>
      <c r="I14" s="91"/>
      <c r="J14" s="91"/>
      <c r="K14" s="91"/>
      <c r="L14" s="91"/>
      <c r="M14" s="23"/>
    </row>
    <row r="15" spans="1:13">
      <c r="A15" s="20"/>
      <c r="B15" s="11"/>
      <c r="C15" s="11"/>
      <c r="D15" s="11"/>
      <c r="E15" s="11"/>
      <c r="F15" s="11"/>
      <c r="G15" s="11"/>
      <c r="H15" s="8"/>
      <c r="I15" s="8"/>
      <c r="J15" s="8"/>
      <c r="K15" s="8"/>
      <c r="L15" s="8"/>
      <c r="M15" s="9"/>
    </row>
    <row r="16" spans="1:13">
      <c r="A16" s="20"/>
      <c r="B16" s="11"/>
      <c r="C16" s="11"/>
      <c r="D16" s="11"/>
      <c r="E16" s="11"/>
      <c r="F16" s="11"/>
      <c r="G16" s="11"/>
      <c r="H16" s="8"/>
      <c r="I16" s="8"/>
      <c r="J16" s="8"/>
      <c r="K16" s="8"/>
      <c r="L16" s="8"/>
      <c r="M16" s="9"/>
    </row>
    <row r="17" spans="1:13" ht="15" thickBot="1">
      <c r="A17" s="20">
        <v>4</v>
      </c>
      <c r="B17" s="8" t="s">
        <v>149</v>
      </c>
      <c r="C17" s="11"/>
      <c r="D17" s="11"/>
      <c r="E17" s="11"/>
      <c r="F17" s="11"/>
      <c r="G17" s="11"/>
      <c r="H17" s="91" t="s">
        <v>254</v>
      </c>
      <c r="I17" s="91"/>
      <c r="J17" s="91"/>
      <c r="K17" s="91"/>
      <c r="L17" s="91"/>
      <c r="M17" s="23"/>
    </row>
    <row r="18" spans="1:13">
      <c r="A18" s="20"/>
      <c r="B18" s="11"/>
      <c r="C18" s="11"/>
      <c r="D18" s="11"/>
      <c r="E18" s="11"/>
      <c r="F18" s="11"/>
      <c r="G18" s="11"/>
      <c r="H18" s="8"/>
      <c r="I18" s="8"/>
      <c r="J18" s="8"/>
      <c r="K18" s="8"/>
      <c r="L18" s="8"/>
      <c r="M18" s="9"/>
    </row>
    <row r="19" spans="1:13" ht="15" thickBot="1">
      <c r="A19" s="20"/>
      <c r="B19" s="11"/>
      <c r="C19" s="11"/>
      <c r="D19" s="11"/>
      <c r="E19" s="11"/>
      <c r="F19" s="11"/>
      <c r="G19" s="11"/>
      <c r="H19" s="9"/>
      <c r="I19" s="177"/>
      <c r="J19" s="8"/>
      <c r="K19" s="8"/>
      <c r="L19" s="8"/>
      <c r="M19" s="9"/>
    </row>
    <row r="20" spans="1:13" ht="15" thickBot="1">
      <c r="A20" s="20" t="s">
        <v>143</v>
      </c>
      <c r="B20" s="8" t="s">
        <v>150</v>
      </c>
      <c r="C20" s="11"/>
      <c r="D20" s="11"/>
      <c r="E20" s="11"/>
      <c r="F20" s="11"/>
      <c r="G20" s="11"/>
      <c r="H20" s="178" t="s">
        <v>260</v>
      </c>
      <c r="I20" s="9"/>
      <c r="J20" s="9"/>
      <c r="K20" s="91"/>
      <c r="L20" s="91"/>
      <c r="M20" s="23"/>
    </row>
    <row r="21" spans="1:13">
      <c r="A21" s="20"/>
      <c r="B21" s="11"/>
      <c r="C21" s="11"/>
      <c r="D21" s="11"/>
      <c r="E21" s="11"/>
      <c r="F21" s="11"/>
      <c r="G21" s="11"/>
      <c r="H21" s="8"/>
      <c r="I21" s="8"/>
      <c r="J21" s="8"/>
      <c r="K21" s="8"/>
      <c r="L21" s="8"/>
      <c r="M21" s="9"/>
    </row>
    <row r="22" spans="1:13" ht="15" thickBot="1">
      <c r="A22" s="20" t="s">
        <v>144</v>
      </c>
      <c r="B22" s="8" t="s">
        <v>146</v>
      </c>
      <c r="C22" s="11"/>
      <c r="D22" s="11"/>
      <c r="E22" s="11"/>
      <c r="F22" s="11"/>
      <c r="G22" s="11"/>
      <c r="H22" s="91"/>
      <c r="I22" s="91"/>
      <c r="J22" s="91"/>
      <c r="K22" s="91"/>
      <c r="L22" s="91"/>
      <c r="M22" s="23"/>
    </row>
    <row r="23" spans="1:13">
      <c r="A23" s="20"/>
      <c r="B23" s="11"/>
      <c r="C23" s="11"/>
      <c r="D23" s="11"/>
      <c r="E23" s="11"/>
      <c r="F23" s="11"/>
      <c r="G23" s="11"/>
      <c r="H23" s="8"/>
      <c r="I23" s="8"/>
      <c r="J23" s="8"/>
      <c r="K23" s="8"/>
      <c r="L23" s="8"/>
      <c r="M23" s="9"/>
    </row>
    <row r="24" spans="1:13">
      <c r="A24" s="20"/>
      <c r="B24" s="11"/>
      <c r="C24" s="11"/>
      <c r="D24" s="11"/>
      <c r="E24" s="11"/>
      <c r="F24" s="11"/>
      <c r="G24" s="11"/>
      <c r="H24" s="8"/>
      <c r="I24" s="8"/>
      <c r="J24" s="8"/>
      <c r="K24" s="8"/>
      <c r="L24" s="8"/>
      <c r="M24" s="9"/>
    </row>
    <row r="25" spans="1:13" ht="15" thickBot="1">
      <c r="A25" s="20">
        <v>6</v>
      </c>
      <c r="B25" s="8" t="s">
        <v>151</v>
      </c>
      <c r="C25" s="11"/>
      <c r="D25" s="11"/>
      <c r="E25" s="11"/>
      <c r="F25" s="11"/>
      <c r="G25" s="11"/>
      <c r="H25" s="179" t="s">
        <v>255</v>
      </c>
      <c r="I25" s="91"/>
      <c r="J25" s="9"/>
      <c r="K25" s="91"/>
      <c r="L25" s="91"/>
      <c r="M25" s="23"/>
    </row>
    <row r="26" spans="1:13">
      <c r="A26" s="20"/>
      <c r="B26" s="11"/>
      <c r="C26" s="11"/>
      <c r="D26" s="11"/>
      <c r="E26" s="11"/>
      <c r="F26" s="11"/>
      <c r="G26" s="11"/>
      <c r="H26" s="8"/>
      <c r="I26" s="8"/>
      <c r="J26" s="8"/>
      <c r="K26" s="8"/>
      <c r="L26" s="8"/>
      <c r="M26" s="9"/>
    </row>
    <row r="27" spans="1:13">
      <c r="A27" s="20"/>
      <c r="B27" s="11"/>
      <c r="C27" s="11"/>
      <c r="D27" s="11"/>
      <c r="E27" s="11"/>
      <c r="F27" s="11"/>
      <c r="G27" s="11"/>
      <c r="H27" s="8"/>
      <c r="I27" s="8"/>
      <c r="J27" s="8"/>
      <c r="K27" s="8"/>
      <c r="L27" s="8"/>
      <c r="M27" s="9"/>
    </row>
    <row r="28" spans="1:13" ht="15" thickBot="1">
      <c r="A28" s="20">
        <v>7</v>
      </c>
      <c r="B28" s="8" t="s">
        <v>152</v>
      </c>
      <c r="C28" s="11"/>
      <c r="D28" s="11"/>
      <c r="E28" s="11"/>
      <c r="F28" s="11"/>
      <c r="G28" s="11"/>
      <c r="H28" s="91" t="s">
        <v>256</v>
      </c>
      <c r="I28" s="91"/>
      <c r="J28" s="91"/>
      <c r="K28" s="91"/>
      <c r="L28" s="91"/>
      <c r="M28" s="23"/>
    </row>
    <row r="29" spans="1:13">
      <c r="A29" s="20"/>
      <c r="B29" s="11"/>
      <c r="C29" s="11"/>
      <c r="D29" s="11"/>
      <c r="E29" s="11"/>
      <c r="F29" s="11"/>
      <c r="G29" s="11"/>
      <c r="H29" s="8"/>
      <c r="I29" s="8"/>
      <c r="J29" s="8"/>
      <c r="K29" s="8"/>
      <c r="L29" s="8"/>
      <c r="M29" s="9"/>
    </row>
    <row r="30" spans="1:13">
      <c r="A30" s="20"/>
      <c r="B30" s="11"/>
      <c r="C30" s="11"/>
      <c r="D30" s="11"/>
      <c r="E30" s="11"/>
      <c r="F30" s="11"/>
      <c r="G30" s="11"/>
      <c r="H30" s="8"/>
      <c r="I30" s="8"/>
      <c r="J30" s="8"/>
      <c r="K30" s="8"/>
      <c r="L30" s="8"/>
      <c r="M30" s="9"/>
    </row>
    <row r="31" spans="1:13" ht="15" thickBot="1">
      <c r="A31" s="20">
        <v>8</v>
      </c>
      <c r="B31" s="8" t="s">
        <v>153</v>
      </c>
      <c r="C31" s="11"/>
      <c r="D31" s="11"/>
      <c r="E31" s="11"/>
      <c r="F31" s="11"/>
      <c r="G31" s="11"/>
      <c r="H31" s="180" t="s">
        <v>261</v>
      </c>
      <c r="I31" s="91"/>
      <c r="J31" s="91"/>
      <c r="K31" s="91"/>
      <c r="L31" s="91"/>
      <c r="M31" s="23"/>
    </row>
    <row r="32" spans="1:13">
      <c r="A32" s="20"/>
      <c r="B32" s="11"/>
      <c r="C32" s="11"/>
      <c r="D32" s="11"/>
      <c r="E32" s="11"/>
      <c r="F32" s="11"/>
      <c r="G32" s="11"/>
      <c r="H32" s="8"/>
      <c r="I32" s="8"/>
      <c r="J32" s="8"/>
      <c r="K32" s="8"/>
      <c r="L32" s="8"/>
      <c r="M32" s="9"/>
    </row>
    <row r="33" spans="1:13">
      <c r="A33" s="20"/>
      <c r="B33" s="11"/>
      <c r="C33" s="11"/>
      <c r="D33" s="11"/>
      <c r="E33" s="11"/>
      <c r="F33" s="11"/>
      <c r="G33" s="11"/>
      <c r="H33" s="8"/>
      <c r="I33" s="8"/>
      <c r="J33" s="8"/>
      <c r="K33" s="8"/>
      <c r="L33" s="8"/>
      <c r="M33" s="9"/>
    </row>
    <row r="34" spans="1:13">
      <c r="A34" s="20">
        <v>9</v>
      </c>
      <c r="B34" s="8" t="s">
        <v>154</v>
      </c>
      <c r="C34" s="11"/>
      <c r="D34" s="11"/>
      <c r="E34" s="11"/>
      <c r="F34" s="11"/>
      <c r="G34" s="11"/>
      <c r="H34" s="182" t="s">
        <v>253</v>
      </c>
      <c r="I34" s="182"/>
      <c r="J34" s="183"/>
      <c r="K34" s="182"/>
      <c r="L34" s="182"/>
      <c r="M34" s="183"/>
    </row>
    <row r="35" spans="1:13">
      <c r="A35" s="20"/>
      <c r="B35" s="11"/>
      <c r="C35" s="11"/>
      <c r="D35" s="11"/>
      <c r="E35" s="11"/>
      <c r="F35" s="11"/>
      <c r="G35" s="11"/>
      <c r="H35" s="8"/>
      <c r="I35" s="8"/>
      <c r="J35" s="8"/>
      <c r="K35" s="8"/>
      <c r="L35" s="8"/>
      <c r="M35" s="9"/>
    </row>
    <row r="36" spans="1:13">
      <c r="A36" s="20"/>
      <c r="B36" s="11"/>
      <c r="C36" s="11"/>
      <c r="D36" s="11"/>
      <c r="E36" s="11"/>
      <c r="F36" s="11"/>
      <c r="G36" s="11"/>
      <c r="H36" s="8"/>
      <c r="I36" s="8"/>
      <c r="J36" s="8"/>
      <c r="K36" s="8"/>
      <c r="L36" s="8"/>
      <c r="M36" s="9"/>
    </row>
    <row r="37" spans="1:13" ht="15" thickBot="1">
      <c r="A37" s="20">
        <v>10</v>
      </c>
      <c r="B37" s="8" t="s">
        <v>155</v>
      </c>
      <c r="C37" s="11"/>
      <c r="D37" s="11"/>
      <c r="E37" s="11"/>
      <c r="F37" s="11"/>
      <c r="G37" s="11"/>
      <c r="H37" s="91"/>
      <c r="I37" s="91"/>
      <c r="J37" s="91" t="s">
        <v>245</v>
      </c>
      <c r="K37" s="91"/>
      <c r="L37" s="91"/>
      <c r="M37" s="23"/>
    </row>
    <row r="38" spans="1:13">
      <c r="A38" s="20"/>
      <c r="B38" s="11"/>
      <c r="C38" s="11"/>
      <c r="D38" s="11"/>
      <c r="E38" s="11"/>
      <c r="F38" s="11"/>
      <c r="G38" s="11"/>
      <c r="H38" s="8"/>
      <c r="I38" s="8"/>
      <c r="J38" s="8"/>
      <c r="K38" s="8"/>
      <c r="L38" s="8"/>
      <c r="M38" s="9"/>
    </row>
    <row r="39" spans="1:13">
      <c r="A39" s="20"/>
      <c r="B39" s="11"/>
      <c r="C39" s="11"/>
      <c r="D39" s="11"/>
      <c r="E39" s="11"/>
      <c r="F39" s="11"/>
      <c r="G39" s="11"/>
      <c r="H39" s="8"/>
      <c r="I39" s="8"/>
      <c r="J39" s="8"/>
      <c r="K39" s="8"/>
      <c r="L39" s="8"/>
      <c r="M39" s="9"/>
    </row>
    <row r="40" spans="1:13">
      <c r="A40" s="20">
        <v>11</v>
      </c>
      <c r="B40" s="8" t="s">
        <v>156</v>
      </c>
      <c r="C40" s="11"/>
      <c r="D40" s="11"/>
      <c r="E40" s="11"/>
      <c r="F40" s="11"/>
      <c r="G40" s="11"/>
      <c r="H40" s="182" t="s">
        <v>244</v>
      </c>
      <c r="I40" s="183"/>
      <c r="J40" s="182"/>
      <c r="K40" s="182"/>
      <c r="L40" s="182"/>
      <c r="M40" s="183"/>
    </row>
    <row r="41" spans="1:13">
      <c r="A41" s="20"/>
      <c r="B41" s="11"/>
      <c r="C41" s="11"/>
      <c r="D41" s="11"/>
      <c r="E41" s="11"/>
      <c r="F41" s="11"/>
      <c r="G41" s="11"/>
      <c r="H41" s="8"/>
      <c r="I41" s="8"/>
      <c r="J41" s="8"/>
      <c r="K41" s="8"/>
      <c r="L41" s="8"/>
      <c r="M41" s="9"/>
    </row>
    <row r="42" spans="1:13">
      <c r="A42" s="20"/>
      <c r="B42" s="11"/>
      <c r="C42" s="11"/>
      <c r="D42" s="11"/>
      <c r="E42" s="11"/>
      <c r="F42" s="11"/>
      <c r="G42" s="11"/>
      <c r="H42" s="181" t="s">
        <v>257</v>
      </c>
      <c r="I42" s="8"/>
      <c r="J42" s="8"/>
      <c r="K42" s="8"/>
      <c r="L42" s="8"/>
      <c r="M42" s="9"/>
    </row>
    <row r="43" spans="1:13" ht="15" thickBot="1">
      <c r="A43" s="20">
        <v>12</v>
      </c>
      <c r="B43" s="8" t="s">
        <v>157</v>
      </c>
      <c r="C43" s="11"/>
      <c r="D43" s="11"/>
      <c r="E43" s="11"/>
      <c r="F43" s="11"/>
      <c r="G43" s="11"/>
      <c r="H43" s="91" t="s">
        <v>258</v>
      </c>
      <c r="I43" s="91"/>
      <c r="J43" s="91"/>
      <c r="K43" s="91"/>
      <c r="L43" s="91"/>
      <c r="M43" s="23"/>
    </row>
    <row r="44" spans="1:13">
      <c r="A44" s="19"/>
      <c r="B44" s="11"/>
      <c r="C44" s="11"/>
      <c r="D44" s="11"/>
      <c r="E44" s="11"/>
      <c r="F44" s="11"/>
      <c r="G44" s="11"/>
      <c r="H44" s="8" t="s">
        <v>259</v>
      </c>
      <c r="I44" s="11"/>
      <c r="J44" s="11"/>
      <c r="K44" s="11"/>
      <c r="L44" s="11"/>
    </row>
    <row r="45" spans="1:13">
      <c r="A45" s="366"/>
      <c r="B45" s="366"/>
      <c r="C45" s="366"/>
      <c r="D45" s="366"/>
      <c r="E45" s="366"/>
      <c r="F45" s="366"/>
      <c r="G45" s="366"/>
      <c r="H45" s="366"/>
      <c r="I45" s="366"/>
      <c r="J45" s="366"/>
      <c r="K45" s="366"/>
      <c r="L45" s="11"/>
    </row>
    <row r="46" spans="1:13">
      <c r="A46" s="19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spans="1:13">
      <c r="A47" s="19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spans="1:13">
      <c r="A48" s="2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spans="1:12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spans="1:12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spans="1:12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spans="1:12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spans="1:12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spans="1:12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</sheetData>
  <mergeCells count="3">
    <mergeCell ref="A45:K45"/>
    <mergeCell ref="A1:M1"/>
    <mergeCell ref="H12:M12"/>
  </mergeCells>
  <phoneticPr fontId="0" type="noConversion"/>
  <hyperlinks>
    <hyperlink ref="H14" r:id="rId1" xr:uid="{00000000-0004-0000-0300-000000000000}"/>
  </hyperlinks>
  <pageMargins left="0.75" right="0.75" top="1" bottom="1" header="0.5" footer="0.5"/>
  <pageSetup scale="76" orientation="portrait" r:id="rId2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2:L82"/>
  <sheetViews>
    <sheetView view="pageBreakPreview" zoomScale="80" zoomScaleNormal="71" zoomScaleSheetLayoutView="80" workbookViewId="0">
      <selection activeCell="C1" sqref="C1"/>
    </sheetView>
  </sheetViews>
  <sheetFormatPr defaultRowHeight="12.75"/>
  <cols>
    <col min="2" max="2" width="5.66015625" customWidth="1"/>
    <col min="3" max="3" width="87.3828125" customWidth="1"/>
    <col min="4" max="4" width="17.2578125" bestFit="1" customWidth="1"/>
    <col min="5" max="5" width="9.3046875" hidden="1" customWidth="1"/>
    <col min="6" max="6" width="9.03515625" hidden="1" customWidth="1"/>
    <col min="7" max="7" width="9.3046875" hidden="1" customWidth="1"/>
    <col min="8" max="8" width="9.70703125" hidden="1" customWidth="1"/>
    <col min="9" max="9" width="9.4375" hidden="1" customWidth="1"/>
    <col min="10" max="10" width="49.7578125" customWidth="1"/>
  </cols>
  <sheetData>
    <row r="2" spans="2:12" ht="13.5" thickBot="1"/>
    <row r="3" spans="2:12" s="15" customFormat="1" ht="21" customHeight="1" thickBot="1">
      <c r="B3" s="77"/>
      <c r="C3" s="78"/>
      <c r="D3" s="78"/>
      <c r="E3" s="78"/>
      <c r="F3" s="78"/>
      <c r="G3" s="78"/>
      <c r="H3" s="78"/>
      <c r="I3" s="78"/>
      <c r="J3" s="79"/>
    </row>
    <row r="4" spans="2:12" s="15" customFormat="1" ht="20.25">
      <c r="B4" s="38"/>
      <c r="C4" s="184" t="s">
        <v>2</v>
      </c>
      <c r="D4" s="184"/>
      <c r="E4" s="184"/>
      <c r="F4" s="184"/>
      <c r="G4" s="184"/>
      <c r="H4" s="184"/>
      <c r="I4" s="184"/>
      <c r="J4" s="81" t="s">
        <v>262</v>
      </c>
    </row>
    <row r="5" spans="2:12" s="15" customFormat="1" ht="20.25">
      <c r="B5" s="39"/>
      <c r="C5" s="6" t="s">
        <v>263</v>
      </c>
      <c r="D5" s="6"/>
      <c r="E5" s="6"/>
      <c r="F5" s="6"/>
      <c r="G5" s="6"/>
      <c r="H5" s="6"/>
      <c r="I5" s="6"/>
      <c r="J5" s="56" t="s">
        <v>117</v>
      </c>
    </row>
    <row r="6" spans="2:12" s="15" customFormat="1" ht="20.25">
      <c r="B6" s="39"/>
      <c r="C6" s="6" t="s">
        <v>264</v>
      </c>
      <c r="D6" s="6"/>
      <c r="E6" s="6"/>
      <c r="F6" s="6"/>
      <c r="G6" s="6"/>
      <c r="H6" s="6"/>
      <c r="I6" s="6"/>
      <c r="J6" s="185"/>
    </row>
    <row r="7" spans="2:12" s="15" customFormat="1" ht="37.5">
      <c r="B7" s="39"/>
      <c r="C7" s="6" t="s">
        <v>266</v>
      </c>
      <c r="D7" s="6"/>
      <c r="E7" s="6"/>
      <c r="F7" s="6"/>
      <c r="G7" s="6"/>
      <c r="H7" s="6"/>
      <c r="I7" s="6"/>
      <c r="J7" s="186" t="s">
        <v>265</v>
      </c>
      <c r="K7" s="187"/>
      <c r="L7" s="187"/>
    </row>
    <row r="8" spans="2:12" s="15" customFormat="1" ht="20.25">
      <c r="B8" s="40"/>
      <c r="C8" s="6" t="s">
        <v>267</v>
      </c>
      <c r="D8" s="6"/>
      <c r="E8" s="5"/>
      <c r="F8" s="5"/>
      <c r="G8" s="5"/>
      <c r="H8" s="5"/>
      <c r="I8" s="5"/>
      <c r="J8" s="185"/>
    </row>
    <row r="9" spans="2:12" s="15" customFormat="1" ht="21" thickBot="1">
      <c r="B9" s="82"/>
      <c r="C9" s="17"/>
      <c r="D9" s="17"/>
      <c r="E9" s="17"/>
      <c r="F9" s="17"/>
      <c r="G9" s="17"/>
      <c r="H9" s="17"/>
      <c r="I9" s="17"/>
      <c r="J9" s="83" t="s">
        <v>268</v>
      </c>
    </row>
    <row r="10" spans="2:12" s="15" customFormat="1" ht="21" thickBot="1">
      <c r="B10" s="80"/>
      <c r="C10" s="18"/>
      <c r="D10" s="188" t="s">
        <v>245</v>
      </c>
      <c r="E10" s="18">
        <v>2014</v>
      </c>
      <c r="F10" s="18">
        <v>2013</v>
      </c>
      <c r="G10" s="18">
        <v>2012</v>
      </c>
      <c r="H10" s="18">
        <v>2011</v>
      </c>
      <c r="I10" s="18">
        <v>2010</v>
      </c>
      <c r="J10" s="41" t="s">
        <v>0</v>
      </c>
    </row>
    <row r="11" spans="2:12" ht="20.25">
      <c r="B11" s="73">
        <v>1</v>
      </c>
      <c r="C11" s="37" t="s">
        <v>74</v>
      </c>
      <c r="D11" s="37"/>
      <c r="E11" s="4"/>
      <c r="F11" s="4"/>
      <c r="G11" s="4"/>
      <c r="H11" s="4"/>
      <c r="I11" s="4"/>
      <c r="J11" s="74"/>
    </row>
    <row r="12" spans="2:12" ht="20.25">
      <c r="B12" s="75"/>
      <c r="C12" s="5" t="s">
        <v>78</v>
      </c>
      <c r="D12" s="95"/>
      <c r="E12" s="369"/>
      <c r="F12" s="369"/>
      <c r="G12" s="369"/>
      <c r="H12" s="369"/>
      <c r="I12" s="370"/>
      <c r="J12" s="72"/>
    </row>
    <row r="13" spans="2:12" ht="20.25">
      <c r="B13" s="75"/>
      <c r="C13" s="5" t="s">
        <v>79</v>
      </c>
      <c r="D13" s="95"/>
      <c r="E13" s="369"/>
      <c r="F13" s="369"/>
      <c r="G13" s="369"/>
      <c r="H13" s="369"/>
      <c r="I13" s="370"/>
      <c r="J13" s="72"/>
    </row>
    <row r="14" spans="2:12" ht="20.25">
      <c r="B14" s="75"/>
      <c r="C14" s="5" t="s">
        <v>75</v>
      </c>
      <c r="D14" s="5"/>
      <c r="E14" s="5"/>
      <c r="F14" s="5"/>
      <c r="G14" s="5"/>
      <c r="H14" s="5"/>
      <c r="I14" s="5"/>
      <c r="J14" s="72"/>
    </row>
    <row r="15" spans="2:12" ht="20.25">
      <c r="B15" s="75"/>
      <c r="C15" s="5" t="s">
        <v>76</v>
      </c>
      <c r="D15" s="5"/>
      <c r="E15" s="5"/>
      <c r="F15" s="5"/>
      <c r="G15" s="5"/>
      <c r="H15" s="5"/>
      <c r="I15" s="5"/>
      <c r="J15" s="72"/>
    </row>
    <row r="16" spans="2:12" ht="20.25">
      <c r="B16" s="75"/>
      <c r="C16" s="5" t="s">
        <v>77</v>
      </c>
      <c r="D16" s="5"/>
      <c r="E16" s="5"/>
      <c r="F16" s="5"/>
      <c r="G16" s="5"/>
      <c r="H16" s="5"/>
      <c r="I16" s="5"/>
      <c r="J16" s="72"/>
    </row>
    <row r="17" spans="2:10" ht="20.25">
      <c r="B17" s="75"/>
      <c r="C17" s="5" t="s">
        <v>102</v>
      </c>
      <c r="D17" s="5"/>
      <c r="E17" s="5"/>
      <c r="F17" s="5"/>
      <c r="G17" s="5"/>
      <c r="H17" s="5"/>
      <c r="I17" s="5"/>
      <c r="J17" s="72"/>
    </row>
    <row r="18" spans="2:10" ht="20.25">
      <c r="B18" s="75"/>
      <c r="C18" s="5" t="s">
        <v>106</v>
      </c>
      <c r="D18" s="5"/>
      <c r="E18" s="5"/>
      <c r="F18" s="5"/>
      <c r="G18" s="5"/>
      <c r="H18" s="5"/>
      <c r="I18" s="5"/>
      <c r="J18" s="72"/>
    </row>
    <row r="19" spans="2:10" ht="20.25">
      <c r="B19" s="75"/>
      <c r="C19" s="5" t="s">
        <v>107</v>
      </c>
      <c r="D19" s="5"/>
      <c r="E19" s="5"/>
      <c r="F19" s="5"/>
      <c r="G19" s="5"/>
      <c r="H19" s="5"/>
      <c r="I19" s="5"/>
      <c r="J19" s="72"/>
    </row>
    <row r="20" spans="2:10" ht="20.25">
      <c r="B20" s="75"/>
      <c r="C20" s="5" t="s">
        <v>136</v>
      </c>
      <c r="D20" s="5"/>
      <c r="E20" s="5"/>
      <c r="F20" s="5"/>
      <c r="G20" s="5"/>
      <c r="H20" s="5"/>
      <c r="I20" s="5"/>
      <c r="J20" s="72"/>
    </row>
    <row r="21" spans="2:10" ht="20.25">
      <c r="B21" s="75"/>
      <c r="C21" s="5"/>
      <c r="D21" s="5"/>
      <c r="E21" s="5"/>
      <c r="F21" s="5"/>
      <c r="G21" s="5"/>
      <c r="H21" s="5"/>
      <c r="I21" s="5"/>
      <c r="J21" s="72"/>
    </row>
    <row r="22" spans="2:10" ht="20.25">
      <c r="B22" s="75"/>
      <c r="C22" s="5"/>
      <c r="D22" s="5"/>
      <c r="E22" s="5"/>
      <c r="F22" s="5"/>
      <c r="G22" s="5"/>
      <c r="H22" s="5"/>
      <c r="I22" s="5"/>
      <c r="J22" s="72"/>
    </row>
    <row r="23" spans="2:10" ht="20.25">
      <c r="B23" s="75">
        <v>2</v>
      </c>
      <c r="C23" s="6" t="s">
        <v>1</v>
      </c>
      <c r="D23" s="6"/>
      <c r="E23" s="5"/>
      <c r="F23" s="5"/>
      <c r="G23" s="5"/>
      <c r="H23" s="5"/>
      <c r="I23" s="5"/>
      <c r="J23" s="72"/>
    </row>
    <row r="24" spans="2:10" ht="20.25">
      <c r="B24" s="75"/>
      <c r="C24" s="5" t="s">
        <v>80</v>
      </c>
      <c r="D24" s="5"/>
      <c r="E24" s="5"/>
      <c r="F24" s="5"/>
      <c r="G24" s="5"/>
      <c r="H24" s="5"/>
      <c r="I24" s="5"/>
      <c r="J24" s="76"/>
    </row>
    <row r="25" spans="2:10" ht="20.25">
      <c r="B25" s="75"/>
      <c r="C25" s="5" t="s">
        <v>103</v>
      </c>
      <c r="D25" s="5"/>
      <c r="E25" s="5"/>
      <c r="F25" s="5"/>
      <c r="G25" s="5"/>
      <c r="H25" s="5"/>
      <c r="I25" s="5"/>
      <c r="J25" s="76"/>
    </row>
    <row r="26" spans="2:10" ht="20.25">
      <c r="B26" s="75"/>
      <c r="C26" s="5" t="s">
        <v>104</v>
      </c>
      <c r="D26" s="5"/>
      <c r="E26" s="5"/>
      <c r="F26" s="5"/>
      <c r="G26" s="5"/>
      <c r="H26" s="5"/>
      <c r="I26" s="5"/>
      <c r="J26" s="76"/>
    </row>
    <row r="27" spans="2:10" ht="20.25">
      <c r="B27" s="75"/>
      <c r="C27" s="5" t="s">
        <v>105</v>
      </c>
      <c r="D27" s="5"/>
      <c r="E27" s="5"/>
      <c r="F27" s="5"/>
      <c r="G27" s="5"/>
      <c r="H27" s="5"/>
      <c r="I27" s="5"/>
      <c r="J27" s="76"/>
    </row>
    <row r="28" spans="2:10" ht="20.25">
      <c r="B28" s="75"/>
      <c r="C28" s="5" t="s">
        <v>81</v>
      </c>
      <c r="D28" s="5"/>
      <c r="E28" s="5"/>
      <c r="F28" s="5"/>
      <c r="G28" s="5"/>
      <c r="H28" s="5"/>
      <c r="I28" s="5"/>
      <c r="J28" s="76"/>
    </row>
    <row r="29" spans="2:10" ht="20.25">
      <c r="B29" s="75"/>
      <c r="C29" s="5" t="s">
        <v>139</v>
      </c>
      <c r="D29" s="5"/>
      <c r="E29" s="5"/>
      <c r="F29" s="5"/>
      <c r="G29" s="5"/>
      <c r="H29" s="5"/>
      <c r="I29" s="5"/>
      <c r="J29" s="76"/>
    </row>
    <row r="30" spans="2:10" ht="20.25">
      <c r="B30" s="75"/>
      <c r="C30" s="5" t="s">
        <v>82</v>
      </c>
      <c r="D30" s="5"/>
      <c r="E30" s="5"/>
      <c r="F30" s="5"/>
      <c r="G30" s="5"/>
      <c r="H30" s="5"/>
      <c r="I30" s="5"/>
      <c r="J30" s="72"/>
    </row>
    <row r="31" spans="2:10" ht="20.25">
      <c r="B31" s="75"/>
      <c r="C31" s="5" t="s">
        <v>83</v>
      </c>
      <c r="D31" s="5"/>
      <c r="E31" s="5"/>
      <c r="F31" s="5"/>
      <c r="G31" s="5"/>
      <c r="H31" s="5"/>
      <c r="I31" s="5"/>
      <c r="J31" s="72"/>
    </row>
    <row r="32" spans="2:10" ht="20.25">
      <c r="B32" s="75"/>
      <c r="C32" s="5" t="s">
        <v>84</v>
      </c>
      <c r="D32" s="5"/>
      <c r="E32" s="5"/>
      <c r="F32" s="5"/>
      <c r="G32" s="5"/>
      <c r="H32" s="5"/>
      <c r="I32" s="5"/>
      <c r="J32" s="72"/>
    </row>
    <row r="33" spans="2:10" ht="20.25">
      <c r="B33" s="75"/>
      <c r="C33" s="5" t="s">
        <v>85</v>
      </c>
      <c r="D33" s="5"/>
      <c r="E33" s="5"/>
      <c r="F33" s="5"/>
      <c r="G33" s="5"/>
      <c r="H33" s="5"/>
      <c r="I33" s="5"/>
      <c r="J33" s="72"/>
    </row>
    <row r="34" spans="2:10" ht="20.25">
      <c r="B34" s="75"/>
      <c r="C34" s="5"/>
      <c r="D34" s="5"/>
      <c r="E34" s="5"/>
      <c r="F34" s="5"/>
      <c r="G34" s="5"/>
      <c r="H34" s="5"/>
      <c r="I34" s="5"/>
      <c r="J34" s="72"/>
    </row>
    <row r="35" spans="2:10" ht="20.25">
      <c r="B35" s="75"/>
      <c r="C35" s="5"/>
      <c r="D35" s="5"/>
      <c r="E35" s="5"/>
      <c r="F35" s="5"/>
      <c r="G35" s="5"/>
      <c r="H35" s="5"/>
      <c r="I35" s="5"/>
      <c r="J35" s="72"/>
    </row>
    <row r="36" spans="2:10" ht="20.25">
      <c r="B36" s="75">
        <v>3</v>
      </c>
      <c r="C36" s="6" t="s">
        <v>86</v>
      </c>
      <c r="D36" s="6"/>
      <c r="E36" s="5"/>
      <c r="F36" s="5"/>
      <c r="G36" s="5"/>
      <c r="H36" s="5"/>
      <c r="I36" s="5"/>
      <c r="J36" s="72"/>
    </row>
    <row r="37" spans="2:10" ht="20.25">
      <c r="B37" s="75"/>
      <c r="C37" s="5" t="s">
        <v>87</v>
      </c>
      <c r="D37" s="5"/>
      <c r="E37" s="5"/>
      <c r="F37" s="5"/>
      <c r="G37" s="5"/>
      <c r="H37" s="5"/>
      <c r="I37" s="5"/>
      <c r="J37" s="72"/>
    </row>
    <row r="38" spans="2:10" ht="20.25">
      <c r="B38" s="75"/>
      <c r="C38" s="5" t="s">
        <v>88</v>
      </c>
      <c r="D38" s="5"/>
      <c r="E38" s="5"/>
      <c r="F38" s="5"/>
      <c r="G38" s="5"/>
      <c r="H38" s="5"/>
      <c r="I38" s="5"/>
      <c r="J38" s="72"/>
    </row>
    <row r="39" spans="2:10" ht="20.25">
      <c r="B39" s="75"/>
      <c r="C39" s="5" t="s">
        <v>89</v>
      </c>
      <c r="D39" s="5"/>
      <c r="E39" s="5"/>
      <c r="F39" s="5"/>
      <c r="G39" s="5"/>
      <c r="H39" s="5"/>
      <c r="I39" s="5"/>
      <c r="J39" s="72"/>
    </row>
    <row r="40" spans="2:10" ht="20.25">
      <c r="B40" s="75"/>
      <c r="C40" s="5" t="s">
        <v>92</v>
      </c>
      <c r="D40" s="5"/>
      <c r="E40" s="5"/>
      <c r="F40" s="5"/>
      <c r="G40" s="5"/>
      <c r="H40" s="5"/>
      <c r="I40" s="5"/>
      <c r="J40" s="72"/>
    </row>
    <row r="41" spans="2:10" ht="20.25">
      <c r="B41" s="75"/>
      <c r="C41" s="5" t="s">
        <v>83</v>
      </c>
      <c r="D41" s="5"/>
      <c r="E41" s="5"/>
      <c r="F41" s="5"/>
      <c r="G41" s="5"/>
      <c r="H41" s="5"/>
      <c r="I41" s="5"/>
      <c r="J41" s="72"/>
    </row>
    <row r="42" spans="2:10" ht="20.25">
      <c r="B42" s="75"/>
      <c r="C42" s="5" t="s">
        <v>84</v>
      </c>
      <c r="D42" s="5"/>
      <c r="E42" s="5"/>
      <c r="F42" s="5"/>
      <c r="G42" s="5"/>
      <c r="H42" s="5"/>
      <c r="I42" s="5"/>
      <c r="J42" s="72"/>
    </row>
    <row r="43" spans="2:10" ht="20.25">
      <c r="B43" s="75"/>
      <c r="C43" s="5" t="s">
        <v>85</v>
      </c>
      <c r="D43" s="5"/>
      <c r="E43" s="5"/>
      <c r="F43" s="5"/>
      <c r="G43" s="5"/>
      <c r="H43" s="5"/>
      <c r="I43" s="5"/>
      <c r="J43" s="72"/>
    </row>
    <row r="44" spans="2:10" ht="20.25">
      <c r="B44" s="75"/>
      <c r="C44" s="5" t="s">
        <v>119</v>
      </c>
      <c r="D44" s="5"/>
      <c r="E44" s="5"/>
      <c r="F44" s="5"/>
      <c r="G44" s="5"/>
      <c r="H44" s="5"/>
      <c r="I44" s="5"/>
      <c r="J44" s="72"/>
    </row>
    <row r="45" spans="2:10" ht="20.25">
      <c r="B45" s="75"/>
      <c r="C45" s="5" t="s">
        <v>120</v>
      </c>
      <c r="D45" s="5"/>
      <c r="E45" s="5"/>
      <c r="F45" s="5"/>
      <c r="G45" s="5"/>
      <c r="H45" s="5"/>
      <c r="I45" s="5"/>
      <c r="J45" s="72"/>
    </row>
    <row r="46" spans="2:10" ht="20.25">
      <c r="B46" s="75"/>
      <c r="C46" s="5" t="s">
        <v>121</v>
      </c>
      <c r="D46" s="5"/>
      <c r="E46" s="5"/>
      <c r="F46" s="5"/>
      <c r="G46" s="5"/>
      <c r="H46" s="5"/>
      <c r="I46" s="5"/>
      <c r="J46" s="72"/>
    </row>
    <row r="47" spans="2:10" ht="20.25">
      <c r="B47" s="75"/>
      <c r="C47" s="5" t="s">
        <v>122</v>
      </c>
      <c r="D47" s="5"/>
      <c r="E47" s="5"/>
      <c r="F47" s="5"/>
      <c r="G47" s="5"/>
      <c r="H47" s="5"/>
      <c r="I47" s="5"/>
      <c r="J47" s="72"/>
    </row>
    <row r="48" spans="2:10" ht="20.25">
      <c r="B48" s="75"/>
      <c r="C48" s="5"/>
      <c r="D48" s="5"/>
      <c r="E48" s="5"/>
      <c r="F48" s="5"/>
      <c r="G48" s="5"/>
      <c r="H48" s="5"/>
      <c r="I48" s="5"/>
      <c r="J48" s="72"/>
    </row>
    <row r="49" spans="2:10" ht="20.25">
      <c r="B49" s="75"/>
      <c r="C49" s="5"/>
      <c r="D49" s="5"/>
      <c r="E49" s="5"/>
      <c r="F49" s="5"/>
      <c r="G49" s="5"/>
      <c r="H49" s="5"/>
      <c r="I49" s="5"/>
      <c r="J49" s="72"/>
    </row>
    <row r="50" spans="2:10" ht="20.25">
      <c r="B50" s="75">
        <v>4</v>
      </c>
      <c r="C50" s="6" t="s">
        <v>90</v>
      </c>
      <c r="D50" s="6"/>
      <c r="E50" s="5"/>
      <c r="F50" s="5"/>
      <c r="G50" s="5"/>
      <c r="H50" s="5"/>
      <c r="I50" s="5"/>
      <c r="J50" s="72"/>
    </row>
    <row r="51" spans="2:10" ht="20.25">
      <c r="B51" s="75"/>
      <c r="C51" s="5" t="s">
        <v>91</v>
      </c>
      <c r="D51" s="5"/>
      <c r="E51" s="5"/>
      <c r="F51" s="5"/>
      <c r="G51" s="5"/>
      <c r="H51" s="5"/>
      <c r="I51" s="5"/>
      <c r="J51" s="72"/>
    </row>
    <row r="52" spans="2:10" ht="20.25">
      <c r="B52" s="75"/>
      <c r="C52" s="5" t="s">
        <v>93</v>
      </c>
      <c r="D52" s="5"/>
      <c r="E52" s="5"/>
      <c r="F52" s="5"/>
      <c r="G52" s="5"/>
      <c r="H52" s="5"/>
      <c r="I52" s="5"/>
      <c r="J52" s="72"/>
    </row>
    <row r="53" spans="2:10" ht="20.25">
      <c r="B53" s="75"/>
      <c r="C53" s="5" t="s">
        <v>94</v>
      </c>
      <c r="D53" s="5"/>
      <c r="E53" s="5"/>
      <c r="F53" s="5"/>
      <c r="G53" s="5"/>
      <c r="H53" s="5"/>
      <c r="I53" s="5"/>
      <c r="J53" s="72"/>
    </row>
    <row r="54" spans="2:10" ht="20.25">
      <c r="B54" s="75"/>
      <c r="C54" s="5" t="s">
        <v>95</v>
      </c>
      <c r="D54" s="5"/>
      <c r="E54" s="5"/>
      <c r="F54" s="5"/>
      <c r="G54" s="5"/>
      <c r="H54" s="5"/>
      <c r="I54" s="5"/>
      <c r="J54" s="72"/>
    </row>
    <row r="55" spans="2:10" ht="20.25">
      <c r="B55" s="75"/>
      <c r="C55" s="5" t="s">
        <v>96</v>
      </c>
      <c r="D55" s="5"/>
      <c r="E55" s="5"/>
      <c r="F55" s="5"/>
      <c r="G55" s="5"/>
      <c r="H55" s="5"/>
      <c r="I55" s="5"/>
      <c r="J55" s="72"/>
    </row>
    <row r="56" spans="2:10" ht="20.25">
      <c r="B56" s="75"/>
      <c r="C56" s="5" t="s">
        <v>100</v>
      </c>
      <c r="D56" s="5"/>
      <c r="E56" s="5"/>
      <c r="F56" s="5"/>
      <c r="G56" s="5"/>
      <c r="H56" s="5"/>
      <c r="I56" s="5"/>
      <c r="J56" s="72"/>
    </row>
    <row r="57" spans="2:10" ht="20.25">
      <c r="B57" s="75"/>
      <c r="C57" s="5" t="s">
        <v>98</v>
      </c>
      <c r="D57" s="5"/>
      <c r="E57" s="5"/>
      <c r="F57" s="5"/>
      <c r="G57" s="5"/>
      <c r="H57" s="5"/>
      <c r="I57" s="5"/>
      <c r="J57" s="72"/>
    </row>
    <row r="58" spans="2:10" ht="20.25">
      <c r="B58" s="75"/>
      <c r="C58" s="5" t="s">
        <v>99</v>
      </c>
      <c r="D58" s="5"/>
      <c r="E58" s="5"/>
      <c r="F58" s="5"/>
      <c r="G58" s="5"/>
      <c r="H58" s="5"/>
      <c r="I58" s="5"/>
      <c r="J58" s="72"/>
    </row>
    <row r="59" spans="2:10" ht="20.25">
      <c r="B59" s="75"/>
      <c r="C59" s="5" t="s">
        <v>97</v>
      </c>
      <c r="D59" s="5"/>
      <c r="E59" s="5"/>
      <c r="F59" s="5"/>
      <c r="G59" s="5"/>
      <c r="H59" s="5"/>
      <c r="I59" s="5"/>
      <c r="J59" s="72"/>
    </row>
    <row r="60" spans="2:10" ht="20.25">
      <c r="B60" s="75"/>
      <c r="C60" s="5" t="s">
        <v>83</v>
      </c>
      <c r="D60" s="5"/>
      <c r="E60" s="5"/>
      <c r="F60" s="5"/>
      <c r="G60" s="5"/>
      <c r="H60" s="5"/>
      <c r="I60" s="5"/>
      <c r="J60" s="72"/>
    </row>
    <row r="61" spans="2:10" ht="20.25">
      <c r="B61" s="75"/>
      <c r="C61" s="5" t="s">
        <v>84</v>
      </c>
      <c r="D61" s="5"/>
      <c r="E61" s="5"/>
      <c r="F61" s="13"/>
      <c r="G61" s="5"/>
      <c r="H61" s="5"/>
      <c r="I61" s="5"/>
      <c r="J61" s="72"/>
    </row>
    <row r="62" spans="2:10" ht="20.25">
      <c r="B62" s="75"/>
      <c r="C62" s="5" t="s">
        <v>85</v>
      </c>
      <c r="D62" s="5"/>
      <c r="E62" s="5"/>
      <c r="F62" s="5"/>
      <c r="G62" s="5"/>
      <c r="H62" s="5"/>
      <c r="I62" s="5"/>
      <c r="J62" s="72"/>
    </row>
    <row r="63" spans="2:10" ht="20.25">
      <c r="B63" s="75"/>
      <c r="C63" s="5"/>
      <c r="D63" s="5"/>
      <c r="E63" s="5"/>
      <c r="F63" s="5"/>
      <c r="G63" s="5"/>
      <c r="H63" s="5"/>
      <c r="I63" s="5"/>
      <c r="J63" s="72"/>
    </row>
    <row r="64" spans="2:10" ht="20.25">
      <c r="B64" s="75"/>
      <c r="C64" s="5"/>
      <c r="D64" s="5"/>
      <c r="E64" s="5"/>
      <c r="F64" s="5"/>
      <c r="G64" s="5"/>
      <c r="H64" s="5"/>
      <c r="I64" s="5"/>
      <c r="J64" s="72"/>
    </row>
    <row r="65" spans="2:10" ht="20.25">
      <c r="B65" s="75">
        <v>5</v>
      </c>
      <c r="C65" s="6" t="s">
        <v>101</v>
      </c>
      <c r="D65" s="6"/>
      <c r="E65" s="5"/>
      <c r="F65" s="5"/>
      <c r="G65" s="5"/>
      <c r="H65" s="5"/>
      <c r="I65" s="5"/>
      <c r="J65" s="72"/>
    </row>
    <row r="66" spans="2:10" ht="20.25">
      <c r="B66" s="75"/>
      <c r="C66" s="5" t="s">
        <v>108</v>
      </c>
      <c r="D66" s="5"/>
      <c r="E66" s="5"/>
      <c r="F66" s="5"/>
      <c r="G66" s="5"/>
      <c r="H66" s="5"/>
      <c r="I66" s="5"/>
      <c r="J66" s="72"/>
    </row>
    <row r="67" spans="2:10" ht="20.25">
      <c r="B67" s="75"/>
      <c r="C67" s="5" t="s">
        <v>118</v>
      </c>
      <c r="D67" s="5"/>
      <c r="E67" s="5"/>
      <c r="F67" s="5"/>
      <c r="G67" s="5"/>
      <c r="H67" s="5"/>
      <c r="I67" s="5"/>
      <c r="J67" s="72"/>
    </row>
    <row r="68" spans="2:10" ht="20.25">
      <c r="B68" s="75"/>
      <c r="C68" s="5" t="s">
        <v>109</v>
      </c>
      <c r="D68" s="5"/>
      <c r="E68" s="5"/>
      <c r="F68" s="5"/>
      <c r="G68" s="5"/>
      <c r="H68" s="5"/>
      <c r="I68" s="5"/>
      <c r="J68" s="72"/>
    </row>
    <row r="69" spans="2:10" ht="20.25">
      <c r="B69" s="75"/>
      <c r="C69" s="5" t="s">
        <v>112</v>
      </c>
      <c r="D69" s="5"/>
      <c r="E69" s="5"/>
      <c r="F69" s="5"/>
      <c r="G69" s="5"/>
      <c r="H69" s="5"/>
      <c r="I69" s="5"/>
      <c r="J69" s="72"/>
    </row>
    <row r="70" spans="2:10" ht="20.25">
      <c r="B70" s="75"/>
      <c r="C70" s="5" t="s">
        <v>113</v>
      </c>
      <c r="D70" s="5"/>
      <c r="E70" s="5"/>
      <c r="F70" s="5"/>
      <c r="G70" s="5"/>
      <c r="H70" s="5"/>
      <c r="I70" s="5"/>
      <c r="J70" s="72"/>
    </row>
    <row r="71" spans="2:10" ht="20.25">
      <c r="B71" s="75"/>
      <c r="C71" s="5" t="s">
        <v>110</v>
      </c>
      <c r="D71" s="5"/>
      <c r="E71" s="5"/>
      <c r="F71" s="5"/>
      <c r="G71" s="5"/>
      <c r="H71" s="5"/>
      <c r="I71" s="5"/>
      <c r="J71" s="72"/>
    </row>
    <row r="72" spans="2:10" ht="20.25">
      <c r="B72" s="75"/>
      <c r="C72" s="5" t="s">
        <v>111</v>
      </c>
      <c r="D72" s="5"/>
      <c r="E72" s="5"/>
      <c r="F72" s="5"/>
      <c r="G72" s="5"/>
      <c r="H72" s="5"/>
      <c r="I72" s="5"/>
      <c r="J72" s="72"/>
    </row>
    <row r="73" spans="2:10" ht="20.25">
      <c r="B73" s="75"/>
      <c r="C73" s="5"/>
      <c r="D73" s="5"/>
      <c r="E73" s="5"/>
      <c r="F73" s="5"/>
      <c r="G73" s="5"/>
      <c r="H73" s="5"/>
      <c r="I73" s="5"/>
      <c r="J73" s="72"/>
    </row>
    <row r="74" spans="2:10" ht="18">
      <c r="B74" s="2"/>
      <c r="C74" s="2"/>
      <c r="D74" s="2"/>
      <c r="E74" s="2"/>
      <c r="F74" s="2"/>
      <c r="G74" s="2"/>
      <c r="H74" s="2"/>
      <c r="I74" s="2"/>
      <c r="J74" s="2"/>
    </row>
    <row r="75" spans="2:10" ht="18">
      <c r="B75" s="2"/>
      <c r="C75" s="2"/>
      <c r="D75" s="2"/>
      <c r="E75" s="2"/>
      <c r="F75" s="2"/>
      <c r="G75" s="2"/>
      <c r="H75" s="2"/>
      <c r="I75" s="2"/>
      <c r="J75" s="2"/>
    </row>
    <row r="76" spans="2:10" ht="18">
      <c r="B76" s="2"/>
      <c r="C76" s="2"/>
      <c r="D76" s="2"/>
      <c r="E76" s="2"/>
      <c r="F76" s="2"/>
      <c r="G76" s="2"/>
      <c r="H76" s="2"/>
      <c r="I76" s="2"/>
      <c r="J76" s="2"/>
    </row>
    <row r="77" spans="2:10" ht="18">
      <c r="B77" s="2"/>
      <c r="C77" s="2"/>
      <c r="D77" s="2"/>
      <c r="E77" s="2"/>
      <c r="F77" s="2"/>
      <c r="G77" s="2"/>
      <c r="H77" s="2"/>
      <c r="I77" s="2"/>
      <c r="J77" s="2"/>
    </row>
    <row r="78" spans="2:10" ht="18">
      <c r="B78" s="2"/>
      <c r="C78" s="2"/>
      <c r="D78" s="2"/>
      <c r="E78" s="2"/>
      <c r="F78" s="2"/>
      <c r="G78" s="2"/>
      <c r="H78" s="2"/>
      <c r="I78" s="2"/>
      <c r="J78" s="2"/>
    </row>
    <row r="79" spans="2:10" ht="18">
      <c r="B79" s="2"/>
      <c r="C79" s="2"/>
      <c r="D79" s="2"/>
      <c r="E79" s="2"/>
      <c r="F79" s="2"/>
      <c r="G79" s="2"/>
      <c r="H79" s="2"/>
      <c r="I79" s="2"/>
      <c r="J79" s="2"/>
    </row>
    <row r="80" spans="2:10" ht="18">
      <c r="B80" s="2"/>
      <c r="C80" s="2"/>
      <c r="D80" s="2"/>
      <c r="E80" s="2"/>
      <c r="F80" s="2"/>
      <c r="G80" s="2"/>
      <c r="H80" s="2"/>
      <c r="I80" s="2"/>
      <c r="J80" s="2"/>
    </row>
    <row r="81" spans="2:10" ht="18">
      <c r="B81" s="2"/>
      <c r="C81" s="2"/>
      <c r="D81" s="2"/>
      <c r="E81" s="2"/>
      <c r="F81" s="2"/>
      <c r="G81" s="2"/>
      <c r="H81" s="2"/>
      <c r="I81" s="2"/>
      <c r="J81" s="2"/>
    </row>
    <row r="82" spans="2:10" ht="18">
      <c r="B82" s="2"/>
      <c r="C82" s="2"/>
      <c r="D82" s="2"/>
      <c r="E82" s="2"/>
      <c r="F82" s="2"/>
      <c r="G82" s="2"/>
      <c r="H82" s="2"/>
      <c r="I82" s="2"/>
      <c r="J82" s="2"/>
    </row>
  </sheetData>
  <mergeCells count="2">
    <mergeCell ref="E12:I12"/>
    <mergeCell ref="E13:I13"/>
  </mergeCells>
  <phoneticPr fontId="0" type="noConversion"/>
  <pageMargins left="0.7" right="0.7" top="0.75" bottom="0.75" header="0.3" footer="0.3"/>
  <pageSetup paperSize="9" scale="51" orientation="portrait" r:id="rId1"/>
  <headerFooter alignWithMargins="0"/>
  <rowBreaks count="1" manualBreakCount="1">
    <brk id="57" max="9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2:D22"/>
  <sheetViews>
    <sheetView view="pageBreakPreview" topLeftCell="B1" zoomScaleNormal="100" zoomScaleSheetLayoutView="100" workbookViewId="0">
      <selection activeCell="C10" sqref="C10"/>
    </sheetView>
  </sheetViews>
  <sheetFormatPr defaultRowHeight="12.75"/>
  <cols>
    <col min="2" max="2" width="58.25390625" bestFit="1" customWidth="1"/>
    <col min="3" max="3" width="21.98046875" customWidth="1"/>
    <col min="4" max="4" width="1.6171875" customWidth="1"/>
  </cols>
  <sheetData>
    <row r="2" spans="2:4" ht="18">
      <c r="B2" s="371" t="s">
        <v>9</v>
      </c>
      <c r="C2" s="371"/>
      <c r="D2" s="171"/>
    </row>
    <row r="4" spans="2:4" ht="14.25">
      <c r="B4" s="9"/>
      <c r="C4" s="12" t="s">
        <v>245</v>
      </c>
      <c r="D4" s="12"/>
    </row>
    <row r="5" spans="2:4" ht="14.25">
      <c r="B5" s="9"/>
      <c r="C5" s="12" t="s">
        <v>10</v>
      </c>
      <c r="D5" s="12"/>
    </row>
    <row r="6" spans="2:4" ht="15" thickBot="1">
      <c r="B6" s="8" t="s">
        <v>8</v>
      </c>
      <c r="C6" s="29"/>
      <c r="D6" s="9"/>
    </row>
    <row r="7" spans="2:4" ht="15" thickTop="1">
      <c r="B7" s="8"/>
      <c r="C7" s="9"/>
      <c r="D7" s="9"/>
    </row>
    <row r="8" spans="2:4" ht="14.25">
      <c r="B8" s="8" t="s">
        <v>16</v>
      </c>
      <c r="C8" s="9"/>
      <c r="D8" s="9"/>
    </row>
    <row r="9" spans="2:4" ht="15" thickBot="1">
      <c r="B9" s="9" t="s">
        <v>14</v>
      </c>
      <c r="C9" s="29"/>
      <c r="D9" s="9"/>
    </row>
    <row r="10" spans="2:4" ht="15" thickTop="1">
      <c r="B10" s="9" t="s">
        <v>11</v>
      </c>
      <c r="C10" s="9"/>
      <c r="D10" s="9"/>
    </row>
    <row r="11" spans="2:4" ht="14.25">
      <c r="B11" s="9" t="s">
        <v>12</v>
      </c>
      <c r="C11" s="9"/>
      <c r="D11" s="9"/>
    </row>
    <row r="12" spans="2:4" ht="15" thickBot="1">
      <c r="B12" s="9" t="s">
        <v>13</v>
      </c>
      <c r="C12" s="23"/>
      <c r="D12" s="9"/>
    </row>
    <row r="13" spans="2:4" ht="15" thickBot="1">
      <c r="B13" s="9"/>
      <c r="C13" s="29"/>
      <c r="D13" s="9"/>
    </row>
    <row r="14" spans="2:4" ht="15" thickTop="1">
      <c r="B14" s="9"/>
      <c r="C14" s="9"/>
      <c r="D14" s="9"/>
    </row>
    <row r="15" spans="2:4" ht="14.25">
      <c r="B15" s="8" t="s">
        <v>15</v>
      </c>
      <c r="C15" s="9"/>
      <c r="D15" s="9"/>
    </row>
    <row r="16" spans="2:4" ht="15" thickBot="1">
      <c r="B16" s="9" t="s">
        <v>14</v>
      </c>
      <c r="C16" s="29"/>
      <c r="D16" s="9"/>
    </row>
    <row r="17" spans="2:4" ht="15.75" thickTop="1" thickBot="1">
      <c r="B17" s="9" t="s">
        <v>11</v>
      </c>
      <c r="C17" s="29"/>
      <c r="D17" s="9"/>
    </row>
    <row r="18" spans="2:4" ht="15.75" thickTop="1" thickBot="1">
      <c r="B18" s="9" t="s">
        <v>12</v>
      </c>
      <c r="C18" s="29"/>
      <c r="D18" s="9"/>
    </row>
    <row r="19" spans="2:4" ht="15.75" thickTop="1" thickBot="1">
      <c r="B19" s="9" t="s">
        <v>13</v>
      </c>
      <c r="C19" s="29"/>
      <c r="D19" s="9"/>
    </row>
    <row r="20" spans="2:4" ht="15" thickTop="1">
      <c r="B20" s="9"/>
      <c r="C20" s="9"/>
      <c r="D20" s="9"/>
    </row>
    <row r="21" spans="2:4" ht="14.25">
      <c r="B21" s="9"/>
      <c r="C21" s="9"/>
      <c r="D21" s="9"/>
    </row>
    <row r="22" spans="2:4" ht="14.25">
      <c r="B22" s="9"/>
      <c r="C22" s="9"/>
      <c r="D22" s="9"/>
    </row>
  </sheetData>
  <mergeCells count="1">
    <mergeCell ref="B2:C2"/>
  </mergeCells>
  <pageMargins left="0.70866141732283472" right="0.70866141732283472" top="0.74803149606299213" bottom="0.74803149606299213" header="0.31496062992125984" footer="0.31496062992125984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Z110"/>
  <sheetViews>
    <sheetView view="pageBreakPreview" zoomScale="80" zoomScaleNormal="77" zoomScaleSheetLayoutView="80" workbookViewId="0">
      <selection activeCell="H3" sqref="H3"/>
    </sheetView>
  </sheetViews>
  <sheetFormatPr defaultRowHeight="12.75"/>
  <cols>
    <col min="2" max="2" width="6.3359375" customWidth="1"/>
    <col min="3" max="3" width="18.47265625" customWidth="1"/>
    <col min="4" max="4" width="18.33984375" customWidth="1"/>
    <col min="5" max="5" width="19.1484375" customWidth="1"/>
    <col min="6" max="6" width="20.765625" customWidth="1"/>
    <col min="7" max="7" width="21.44140625" customWidth="1"/>
    <col min="8" max="8" width="18.87890625" customWidth="1"/>
    <col min="9" max="9" width="14.5625" customWidth="1"/>
    <col min="10" max="10" width="14.6953125" customWidth="1"/>
    <col min="11" max="11" width="18.609375" customWidth="1"/>
    <col min="12" max="12" width="19.55078125" customWidth="1"/>
    <col min="13" max="14" width="16.5859375" customWidth="1"/>
    <col min="15" max="15" width="13.078125" customWidth="1"/>
    <col min="16" max="16" width="15.640625" customWidth="1"/>
    <col min="17" max="17" width="18.87890625" customWidth="1"/>
    <col min="18" max="20" width="14.6953125" customWidth="1"/>
    <col min="21" max="21" width="18.87890625" customWidth="1"/>
    <col min="22" max="24" width="15.640625" customWidth="1"/>
    <col min="25" max="25" width="13.88671875" customWidth="1"/>
    <col min="26" max="26" width="19.1484375" customWidth="1"/>
  </cols>
  <sheetData>
    <row r="1" spans="2:26" s="7" customFormat="1" ht="20.25">
      <c r="B1"/>
      <c r="C1"/>
      <c r="D1"/>
      <c r="E1"/>
      <c r="F1"/>
      <c r="G1"/>
      <c r="H1"/>
      <c r="I1"/>
    </row>
    <row r="2" spans="2:26" ht="25.5">
      <c r="D2" s="22" t="s">
        <v>38</v>
      </c>
      <c r="H2" s="22">
        <v>2023</v>
      </c>
    </row>
    <row r="3" spans="2:26" ht="13.5" thickBot="1"/>
    <row r="4" spans="2:26" s="9" customFormat="1" ht="18" customHeight="1">
      <c r="B4" s="372" t="s">
        <v>17</v>
      </c>
      <c r="C4" s="374" t="s">
        <v>33</v>
      </c>
      <c r="D4" s="375"/>
      <c r="E4" s="375"/>
      <c r="F4" s="375"/>
      <c r="G4" s="375"/>
      <c r="H4" s="375"/>
      <c r="I4" s="375"/>
      <c r="J4" s="376"/>
      <c r="K4" s="374" t="s">
        <v>43</v>
      </c>
      <c r="L4" s="375"/>
      <c r="M4" s="375"/>
      <c r="N4" s="375"/>
      <c r="O4" s="375"/>
      <c r="P4" s="375"/>
      <c r="Q4" s="375"/>
      <c r="R4" s="375"/>
      <c r="S4" s="375"/>
      <c r="T4" s="375"/>
      <c r="U4" s="376"/>
      <c r="V4" s="374" t="s">
        <v>34</v>
      </c>
      <c r="W4" s="375"/>
      <c r="X4" s="375"/>
      <c r="Y4" s="375"/>
      <c r="Z4" s="376"/>
    </row>
    <row r="5" spans="2:26" s="9" customFormat="1" ht="18" customHeight="1">
      <c r="B5" s="373"/>
      <c r="C5" s="377" t="s">
        <v>21</v>
      </c>
      <c r="D5" s="379" t="s">
        <v>18</v>
      </c>
      <c r="E5" s="379" t="s">
        <v>19</v>
      </c>
      <c r="F5" s="379" t="s">
        <v>20</v>
      </c>
      <c r="G5" s="379" t="s">
        <v>22</v>
      </c>
      <c r="H5" s="379" t="s">
        <v>7</v>
      </c>
      <c r="I5" s="379" t="s">
        <v>23</v>
      </c>
      <c r="J5" s="383" t="s">
        <v>32</v>
      </c>
      <c r="K5" s="377" t="s">
        <v>24</v>
      </c>
      <c r="L5" s="385" t="s">
        <v>127</v>
      </c>
      <c r="M5" s="385"/>
      <c r="N5" s="170"/>
      <c r="O5" s="386" t="s">
        <v>128</v>
      </c>
      <c r="P5" s="387"/>
      <c r="Q5" s="387"/>
      <c r="R5" s="387"/>
      <c r="S5" s="388"/>
      <c r="T5" s="389" t="s">
        <v>129</v>
      </c>
      <c r="U5" s="383" t="s">
        <v>31</v>
      </c>
      <c r="V5" s="377" t="s">
        <v>35</v>
      </c>
      <c r="W5" s="379" t="s">
        <v>123</v>
      </c>
      <c r="X5" s="379" t="s">
        <v>124</v>
      </c>
      <c r="Y5" s="379" t="s">
        <v>36</v>
      </c>
      <c r="Z5" s="381" t="s">
        <v>130</v>
      </c>
    </row>
    <row r="6" spans="2:26" s="9" customFormat="1" ht="18" customHeight="1">
      <c r="B6" s="373"/>
      <c r="C6" s="378"/>
      <c r="D6" s="380"/>
      <c r="E6" s="380"/>
      <c r="F6" s="380"/>
      <c r="G6" s="380"/>
      <c r="H6" s="380"/>
      <c r="I6" s="380"/>
      <c r="J6" s="384"/>
      <c r="K6" s="378"/>
      <c r="L6" s="97" t="s">
        <v>25</v>
      </c>
      <c r="M6" s="97" t="s">
        <v>26</v>
      </c>
      <c r="N6" s="97" t="s">
        <v>230</v>
      </c>
      <c r="O6" s="97" t="s">
        <v>27</v>
      </c>
      <c r="P6" s="97" t="s">
        <v>28</v>
      </c>
      <c r="Q6" s="97" t="s">
        <v>29</v>
      </c>
      <c r="R6" s="97" t="s">
        <v>30</v>
      </c>
      <c r="S6" s="97" t="s">
        <v>135</v>
      </c>
      <c r="T6" s="390"/>
      <c r="U6" s="384"/>
      <c r="V6" s="378"/>
      <c r="W6" s="380"/>
      <c r="X6" s="380"/>
      <c r="Y6" s="380"/>
      <c r="Z6" s="382"/>
    </row>
    <row r="7" spans="2:26" s="9" customFormat="1" ht="24" customHeight="1">
      <c r="B7" s="58">
        <v>1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>
        <f>K7+L7+M7</f>
        <v>0</v>
      </c>
      <c r="O7" s="58"/>
      <c r="P7" s="58"/>
      <c r="Q7" s="58"/>
      <c r="R7" s="58"/>
      <c r="S7" s="58"/>
      <c r="T7" s="96"/>
      <c r="U7" s="58"/>
      <c r="V7" s="58">
        <f>8%*N7</f>
        <v>0</v>
      </c>
      <c r="W7" s="58">
        <f>5%*N7</f>
        <v>0</v>
      </c>
      <c r="X7" s="58"/>
      <c r="Y7" s="58">
        <f>2.5%*N7</f>
        <v>0</v>
      </c>
      <c r="Z7" s="98"/>
    </row>
    <row r="8" spans="2:26" s="9" customFormat="1" ht="18" customHeight="1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>
        <f t="shared" ref="N8:N71" si="0">K8+L8+M8</f>
        <v>0</v>
      </c>
      <c r="O8" s="58"/>
      <c r="P8" s="58"/>
      <c r="Q8" s="58"/>
      <c r="R8" s="58"/>
      <c r="S8" s="58"/>
      <c r="T8" s="96"/>
      <c r="U8" s="58"/>
      <c r="V8" s="58">
        <f t="shared" ref="V8:V71" si="1">8%*N8</f>
        <v>0</v>
      </c>
      <c r="W8" s="58">
        <f t="shared" ref="W8:W71" si="2">5%*N8</f>
        <v>0</v>
      </c>
      <c r="X8" s="58"/>
      <c r="Y8" s="58">
        <f t="shared" ref="Y8:Y71" si="3">2.5%*N8</f>
        <v>0</v>
      </c>
      <c r="Z8" s="98"/>
    </row>
    <row r="9" spans="2:26" s="9" customFormat="1" ht="18" customHeight="1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>
        <f t="shared" si="0"/>
        <v>0</v>
      </c>
      <c r="O9" s="58"/>
      <c r="P9" s="58"/>
      <c r="Q9" s="58"/>
      <c r="R9" s="58"/>
      <c r="S9" s="58"/>
      <c r="T9" s="96"/>
      <c r="U9" s="58"/>
      <c r="V9" s="58">
        <f t="shared" si="1"/>
        <v>0</v>
      </c>
      <c r="W9" s="58">
        <f t="shared" si="2"/>
        <v>0</v>
      </c>
      <c r="X9" s="58"/>
      <c r="Y9" s="58">
        <f t="shared" si="3"/>
        <v>0</v>
      </c>
      <c r="Z9" s="98"/>
    </row>
    <row r="10" spans="2:26" s="9" customFormat="1" ht="18" customHeight="1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>
        <f t="shared" si="0"/>
        <v>0</v>
      </c>
      <c r="O10" s="58"/>
      <c r="P10" s="58"/>
      <c r="Q10" s="58"/>
      <c r="R10" s="58"/>
      <c r="S10" s="58"/>
      <c r="T10" s="96"/>
      <c r="U10" s="58"/>
      <c r="V10" s="58">
        <f t="shared" si="1"/>
        <v>0</v>
      </c>
      <c r="W10" s="58">
        <f t="shared" si="2"/>
        <v>0</v>
      </c>
      <c r="X10" s="58"/>
      <c r="Y10" s="58">
        <f t="shared" si="3"/>
        <v>0</v>
      </c>
      <c r="Z10" s="98"/>
    </row>
    <row r="11" spans="2:26" s="9" customFormat="1" ht="18" customHeight="1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>
        <f t="shared" si="0"/>
        <v>0</v>
      </c>
      <c r="O11" s="58"/>
      <c r="P11" s="58"/>
      <c r="Q11" s="58"/>
      <c r="R11" s="58"/>
      <c r="S11" s="58"/>
      <c r="T11" s="96"/>
      <c r="U11" s="58"/>
      <c r="V11" s="58">
        <f t="shared" si="1"/>
        <v>0</v>
      </c>
      <c r="W11" s="58">
        <f t="shared" si="2"/>
        <v>0</v>
      </c>
      <c r="X11" s="58"/>
      <c r="Y11" s="58">
        <f t="shared" si="3"/>
        <v>0</v>
      </c>
      <c r="Z11" s="98"/>
    </row>
    <row r="12" spans="2:26" s="9" customFormat="1" ht="18" customHeight="1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>
        <f t="shared" si="0"/>
        <v>0</v>
      </c>
      <c r="O12" s="58"/>
      <c r="P12" s="58"/>
      <c r="Q12" s="58"/>
      <c r="R12" s="58"/>
      <c r="S12" s="58"/>
      <c r="T12" s="96"/>
      <c r="U12" s="58"/>
      <c r="V12" s="58">
        <f t="shared" si="1"/>
        <v>0</v>
      </c>
      <c r="W12" s="58">
        <f t="shared" si="2"/>
        <v>0</v>
      </c>
      <c r="X12" s="58"/>
      <c r="Y12" s="58">
        <f t="shared" si="3"/>
        <v>0</v>
      </c>
      <c r="Z12" s="98"/>
    </row>
    <row r="13" spans="2:26" s="9" customFormat="1" ht="18" customHeight="1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>
        <f t="shared" si="0"/>
        <v>0</v>
      </c>
      <c r="O13" s="58"/>
      <c r="P13" s="58"/>
      <c r="Q13" s="58"/>
      <c r="R13" s="58"/>
      <c r="S13" s="58"/>
      <c r="T13" s="96"/>
      <c r="U13" s="58"/>
      <c r="V13" s="58">
        <f t="shared" si="1"/>
        <v>0</v>
      </c>
      <c r="W13" s="58">
        <f t="shared" si="2"/>
        <v>0</v>
      </c>
      <c r="X13" s="58"/>
      <c r="Y13" s="58">
        <f t="shared" si="3"/>
        <v>0</v>
      </c>
      <c r="Z13" s="98"/>
    </row>
    <row r="14" spans="2:26" s="9" customFormat="1" ht="18" customHeight="1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>
        <f t="shared" si="0"/>
        <v>0</v>
      </c>
      <c r="O14" s="58"/>
      <c r="P14" s="58"/>
      <c r="Q14" s="58"/>
      <c r="R14" s="58"/>
      <c r="S14" s="58"/>
      <c r="T14" s="96"/>
      <c r="U14" s="58"/>
      <c r="V14" s="58">
        <f t="shared" si="1"/>
        <v>0</v>
      </c>
      <c r="W14" s="58">
        <f t="shared" si="2"/>
        <v>0</v>
      </c>
      <c r="X14" s="58"/>
      <c r="Y14" s="58">
        <f t="shared" si="3"/>
        <v>0</v>
      </c>
      <c r="Z14" s="98"/>
    </row>
    <row r="15" spans="2:26" s="9" customFormat="1" ht="18" customHeight="1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>
        <f t="shared" si="0"/>
        <v>0</v>
      </c>
      <c r="O15" s="58"/>
      <c r="P15" s="58"/>
      <c r="Q15" s="58"/>
      <c r="R15" s="58"/>
      <c r="S15" s="58"/>
      <c r="T15" s="96"/>
      <c r="U15" s="58"/>
      <c r="V15" s="58">
        <f t="shared" si="1"/>
        <v>0</v>
      </c>
      <c r="W15" s="58">
        <f t="shared" si="2"/>
        <v>0</v>
      </c>
      <c r="X15" s="58"/>
      <c r="Y15" s="58">
        <f t="shared" si="3"/>
        <v>0</v>
      </c>
      <c r="Z15" s="98"/>
    </row>
    <row r="16" spans="2:26" s="9" customFormat="1" ht="18" customHeight="1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>
        <f t="shared" si="0"/>
        <v>0</v>
      </c>
      <c r="O16" s="58"/>
      <c r="P16" s="58"/>
      <c r="Q16" s="58"/>
      <c r="R16" s="58"/>
      <c r="S16" s="58"/>
      <c r="T16" s="96"/>
      <c r="U16" s="58"/>
      <c r="V16" s="58">
        <f t="shared" si="1"/>
        <v>0</v>
      </c>
      <c r="W16" s="58">
        <f t="shared" si="2"/>
        <v>0</v>
      </c>
      <c r="X16" s="58"/>
      <c r="Y16" s="58">
        <f t="shared" si="3"/>
        <v>0</v>
      </c>
      <c r="Z16" s="98"/>
    </row>
    <row r="17" spans="2:26" s="9" customFormat="1" ht="18" customHeight="1"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>
        <f t="shared" si="0"/>
        <v>0</v>
      </c>
      <c r="O17" s="58"/>
      <c r="P17" s="58"/>
      <c r="Q17" s="58"/>
      <c r="R17" s="58"/>
      <c r="S17" s="58"/>
      <c r="T17" s="96"/>
      <c r="U17" s="58"/>
      <c r="V17" s="58">
        <f t="shared" si="1"/>
        <v>0</v>
      </c>
      <c r="W17" s="58">
        <f t="shared" si="2"/>
        <v>0</v>
      </c>
      <c r="X17" s="58"/>
      <c r="Y17" s="58">
        <f t="shared" si="3"/>
        <v>0</v>
      </c>
      <c r="Z17" s="98"/>
    </row>
    <row r="18" spans="2:26" s="9" customFormat="1" ht="18" customHeight="1"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>
        <f t="shared" si="0"/>
        <v>0</v>
      </c>
      <c r="O18" s="58"/>
      <c r="P18" s="58"/>
      <c r="Q18" s="58"/>
      <c r="R18" s="58"/>
      <c r="S18" s="58"/>
      <c r="T18" s="96"/>
      <c r="U18" s="58"/>
      <c r="V18" s="58">
        <f t="shared" si="1"/>
        <v>0</v>
      </c>
      <c r="W18" s="58">
        <f t="shared" si="2"/>
        <v>0</v>
      </c>
      <c r="X18" s="58"/>
      <c r="Y18" s="58">
        <f t="shared" si="3"/>
        <v>0</v>
      </c>
      <c r="Z18" s="98"/>
    </row>
    <row r="19" spans="2:26" s="9" customFormat="1" ht="18" customHeight="1"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>
        <f t="shared" si="0"/>
        <v>0</v>
      </c>
      <c r="O19" s="58"/>
      <c r="P19" s="58"/>
      <c r="Q19" s="58"/>
      <c r="R19" s="58"/>
      <c r="S19" s="58"/>
      <c r="T19" s="96"/>
      <c r="U19" s="58"/>
      <c r="V19" s="58">
        <f t="shared" si="1"/>
        <v>0</v>
      </c>
      <c r="W19" s="58">
        <f t="shared" si="2"/>
        <v>0</v>
      </c>
      <c r="X19" s="58"/>
      <c r="Y19" s="58">
        <f t="shared" si="3"/>
        <v>0</v>
      </c>
      <c r="Z19" s="98"/>
    </row>
    <row r="20" spans="2:26" s="9" customFormat="1" ht="18" customHeight="1"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>
        <f t="shared" si="0"/>
        <v>0</v>
      </c>
      <c r="O20" s="58"/>
      <c r="P20" s="58"/>
      <c r="Q20" s="58"/>
      <c r="R20" s="58"/>
      <c r="S20" s="58"/>
      <c r="T20" s="96"/>
      <c r="U20" s="58"/>
      <c r="V20" s="58">
        <f t="shared" si="1"/>
        <v>0</v>
      </c>
      <c r="W20" s="58">
        <f t="shared" si="2"/>
        <v>0</v>
      </c>
      <c r="X20" s="58"/>
      <c r="Y20" s="58">
        <f t="shared" si="3"/>
        <v>0</v>
      </c>
      <c r="Z20" s="98"/>
    </row>
    <row r="21" spans="2:26" s="9" customFormat="1" ht="18" customHeight="1"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>
        <f t="shared" si="0"/>
        <v>0</v>
      </c>
      <c r="O21" s="58"/>
      <c r="P21" s="58"/>
      <c r="Q21" s="58"/>
      <c r="R21" s="58"/>
      <c r="S21" s="58"/>
      <c r="T21" s="96"/>
      <c r="U21" s="58"/>
      <c r="V21" s="58">
        <f t="shared" si="1"/>
        <v>0</v>
      </c>
      <c r="W21" s="58">
        <f t="shared" si="2"/>
        <v>0</v>
      </c>
      <c r="X21" s="58"/>
      <c r="Y21" s="58">
        <f t="shared" si="3"/>
        <v>0</v>
      </c>
      <c r="Z21" s="98"/>
    </row>
    <row r="22" spans="2:26" s="9" customFormat="1" ht="18" customHeight="1"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>
        <f t="shared" si="0"/>
        <v>0</v>
      </c>
      <c r="O22" s="58"/>
      <c r="P22" s="58"/>
      <c r="Q22" s="58"/>
      <c r="R22" s="58"/>
      <c r="S22" s="58"/>
      <c r="T22" s="96"/>
      <c r="U22" s="58"/>
      <c r="V22" s="58">
        <f t="shared" si="1"/>
        <v>0</v>
      </c>
      <c r="W22" s="58">
        <f t="shared" si="2"/>
        <v>0</v>
      </c>
      <c r="X22" s="58"/>
      <c r="Y22" s="58">
        <f t="shared" si="3"/>
        <v>0</v>
      </c>
      <c r="Z22" s="98"/>
    </row>
    <row r="23" spans="2:26" s="9" customFormat="1" ht="18" customHeight="1"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>
        <f t="shared" si="0"/>
        <v>0</v>
      </c>
      <c r="O23" s="58"/>
      <c r="P23" s="58"/>
      <c r="Q23" s="58"/>
      <c r="R23" s="58"/>
      <c r="S23" s="58"/>
      <c r="T23" s="96"/>
      <c r="U23" s="58"/>
      <c r="V23" s="58">
        <f t="shared" si="1"/>
        <v>0</v>
      </c>
      <c r="W23" s="58">
        <f t="shared" si="2"/>
        <v>0</v>
      </c>
      <c r="X23" s="58"/>
      <c r="Y23" s="58">
        <f t="shared" si="3"/>
        <v>0</v>
      </c>
      <c r="Z23" s="98"/>
    </row>
    <row r="24" spans="2:26" s="9" customFormat="1" ht="18" customHeight="1"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>
        <f t="shared" si="0"/>
        <v>0</v>
      </c>
      <c r="O24" s="58"/>
      <c r="P24" s="58"/>
      <c r="Q24" s="58"/>
      <c r="R24" s="58"/>
      <c r="S24" s="58"/>
      <c r="T24" s="96"/>
      <c r="U24" s="58"/>
      <c r="V24" s="58">
        <f t="shared" si="1"/>
        <v>0</v>
      </c>
      <c r="W24" s="58">
        <f t="shared" si="2"/>
        <v>0</v>
      </c>
      <c r="X24" s="58"/>
      <c r="Y24" s="58">
        <f t="shared" si="3"/>
        <v>0</v>
      </c>
      <c r="Z24" s="98"/>
    </row>
    <row r="25" spans="2:26" s="9" customFormat="1" ht="18" customHeight="1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>
        <f t="shared" si="0"/>
        <v>0</v>
      </c>
      <c r="O25" s="58"/>
      <c r="P25" s="58"/>
      <c r="Q25" s="58"/>
      <c r="R25" s="58"/>
      <c r="S25" s="58"/>
      <c r="T25" s="96"/>
      <c r="U25" s="58"/>
      <c r="V25" s="58">
        <f t="shared" si="1"/>
        <v>0</v>
      </c>
      <c r="W25" s="58">
        <f t="shared" si="2"/>
        <v>0</v>
      </c>
      <c r="X25" s="58"/>
      <c r="Y25" s="58">
        <f t="shared" si="3"/>
        <v>0</v>
      </c>
      <c r="Z25" s="98"/>
    </row>
    <row r="26" spans="2:26" s="9" customFormat="1" ht="18" customHeight="1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>
        <f t="shared" si="0"/>
        <v>0</v>
      </c>
      <c r="O26" s="58"/>
      <c r="P26" s="58"/>
      <c r="Q26" s="58"/>
      <c r="R26" s="58"/>
      <c r="S26" s="58"/>
      <c r="T26" s="96"/>
      <c r="U26" s="58"/>
      <c r="V26" s="58">
        <f t="shared" si="1"/>
        <v>0</v>
      </c>
      <c r="W26" s="58">
        <f t="shared" si="2"/>
        <v>0</v>
      </c>
      <c r="X26" s="58"/>
      <c r="Y26" s="58">
        <f t="shared" si="3"/>
        <v>0</v>
      </c>
      <c r="Z26" s="98"/>
    </row>
    <row r="27" spans="2:26" s="9" customFormat="1" ht="18" customHeight="1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>
        <f t="shared" si="0"/>
        <v>0</v>
      </c>
      <c r="O27" s="58"/>
      <c r="P27" s="58"/>
      <c r="Q27" s="58"/>
      <c r="R27" s="58"/>
      <c r="S27" s="58"/>
      <c r="T27" s="96"/>
      <c r="U27" s="58"/>
      <c r="V27" s="58">
        <f t="shared" si="1"/>
        <v>0</v>
      </c>
      <c r="W27" s="58">
        <f t="shared" si="2"/>
        <v>0</v>
      </c>
      <c r="X27" s="58"/>
      <c r="Y27" s="58">
        <f t="shared" si="3"/>
        <v>0</v>
      </c>
      <c r="Z27" s="98"/>
    </row>
    <row r="28" spans="2:26" s="9" customFormat="1" ht="18" customHeight="1"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>
        <f t="shared" si="0"/>
        <v>0</v>
      </c>
      <c r="O28" s="58"/>
      <c r="P28" s="58"/>
      <c r="Q28" s="58"/>
      <c r="R28" s="58"/>
      <c r="S28" s="58"/>
      <c r="T28" s="96"/>
      <c r="U28" s="58"/>
      <c r="V28" s="58">
        <f t="shared" si="1"/>
        <v>0</v>
      </c>
      <c r="W28" s="58">
        <f t="shared" si="2"/>
        <v>0</v>
      </c>
      <c r="X28" s="58"/>
      <c r="Y28" s="58">
        <f t="shared" si="3"/>
        <v>0</v>
      </c>
      <c r="Z28" s="98"/>
    </row>
    <row r="29" spans="2:26" s="9" customFormat="1" ht="18" customHeight="1"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>
        <f t="shared" si="0"/>
        <v>0</v>
      </c>
      <c r="O29" s="58"/>
      <c r="P29" s="58"/>
      <c r="Q29" s="58"/>
      <c r="R29" s="58"/>
      <c r="S29" s="58"/>
      <c r="T29" s="96"/>
      <c r="U29" s="58"/>
      <c r="V29" s="58">
        <f t="shared" si="1"/>
        <v>0</v>
      </c>
      <c r="W29" s="58">
        <f t="shared" si="2"/>
        <v>0</v>
      </c>
      <c r="X29" s="58"/>
      <c r="Y29" s="58">
        <f t="shared" si="3"/>
        <v>0</v>
      </c>
      <c r="Z29" s="98"/>
    </row>
    <row r="30" spans="2:26" s="9" customFormat="1" ht="18" customHeight="1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>
        <f t="shared" si="0"/>
        <v>0</v>
      </c>
      <c r="O30" s="58"/>
      <c r="P30" s="58"/>
      <c r="Q30" s="58"/>
      <c r="R30" s="58"/>
      <c r="S30" s="58"/>
      <c r="T30" s="96"/>
      <c r="U30" s="58"/>
      <c r="V30" s="58">
        <f t="shared" si="1"/>
        <v>0</v>
      </c>
      <c r="W30" s="58">
        <f t="shared" si="2"/>
        <v>0</v>
      </c>
      <c r="X30" s="58"/>
      <c r="Y30" s="58">
        <f t="shared" si="3"/>
        <v>0</v>
      </c>
      <c r="Z30" s="98"/>
    </row>
    <row r="31" spans="2:26" s="9" customFormat="1" ht="18" customHeight="1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>
        <f t="shared" si="0"/>
        <v>0</v>
      </c>
      <c r="O31" s="58"/>
      <c r="P31" s="58"/>
      <c r="Q31" s="58"/>
      <c r="R31" s="58"/>
      <c r="S31" s="58"/>
      <c r="T31" s="96"/>
      <c r="U31" s="58"/>
      <c r="V31" s="58">
        <f t="shared" si="1"/>
        <v>0</v>
      </c>
      <c r="W31" s="58">
        <f t="shared" si="2"/>
        <v>0</v>
      </c>
      <c r="X31" s="58"/>
      <c r="Y31" s="58">
        <f t="shared" si="3"/>
        <v>0</v>
      </c>
      <c r="Z31" s="98"/>
    </row>
    <row r="32" spans="2:26" s="9" customFormat="1" ht="18" customHeight="1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>
        <f t="shared" si="0"/>
        <v>0</v>
      </c>
      <c r="O32" s="58"/>
      <c r="P32" s="58"/>
      <c r="Q32" s="58"/>
      <c r="R32" s="58"/>
      <c r="S32" s="58"/>
      <c r="T32" s="96"/>
      <c r="U32" s="58"/>
      <c r="V32" s="58">
        <f t="shared" si="1"/>
        <v>0</v>
      </c>
      <c r="W32" s="58">
        <f t="shared" si="2"/>
        <v>0</v>
      </c>
      <c r="X32" s="58"/>
      <c r="Y32" s="58">
        <f t="shared" si="3"/>
        <v>0</v>
      </c>
      <c r="Z32" s="98"/>
    </row>
    <row r="33" spans="2:26" s="9" customFormat="1" ht="18" customHeight="1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>
        <f t="shared" si="0"/>
        <v>0</v>
      </c>
      <c r="O33" s="58"/>
      <c r="P33" s="58"/>
      <c r="Q33" s="58"/>
      <c r="R33" s="58"/>
      <c r="S33" s="58"/>
      <c r="T33" s="96"/>
      <c r="U33" s="58"/>
      <c r="V33" s="58">
        <f t="shared" si="1"/>
        <v>0</v>
      </c>
      <c r="W33" s="58">
        <f t="shared" si="2"/>
        <v>0</v>
      </c>
      <c r="X33" s="58"/>
      <c r="Y33" s="58">
        <f t="shared" si="3"/>
        <v>0</v>
      </c>
      <c r="Z33" s="98"/>
    </row>
    <row r="34" spans="2:26" s="9" customFormat="1" ht="18" customHeight="1"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>
        <f t="shared" si="0"/>
        <v>0</v>
      </c>
      <c r="O34" s="58"/>
      <c r="P34" s="58"/>
      <c r="Q34" s="58"/>
      <c r="R34" s="58"/>
      <c r="S34" s="58"/>
      <c r="T34" s="96"/>
      <c r="U34" s="58"/>
      <c r="V34" s="58">
        <f t="shared" si="1"/>
        <v>0</v>
      </c>
      <c r="W34" s="58">
        <f t="shared" si="2"/>
        <v>0</v>
      </c>
      <c r="X34" s="58"/>
      <c r="Y34" s="58">
        <f t="shared" si="3"/>
        <v>0</v>
      </c>
      <c r="Z34" s="98"/>
    </row>
    <row r="35" spans="2:26" s="9" customFormat="1" ht="18" customHeight="1"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>
        <f t="shared" si="0"/>
        <v>0</v>
      </c>
      <c r="O35" s="58"/>
      <c r="P35" s="58"/>
      <c r="Q35" s="58"/>
      <c r="R35" s="58"/>
      <c r="S35" s="58"/>
      <c r="T35" s="96"/>
      <c r="U35" s="58"/>
      <c r="V35" s="58">
        <f t="shared" si="1"/>
        <v>0</v>
      </c>
      <c r="W35" s="58">
        <f t="shared" si="2"/>
        <v>0</v>
      </c>
      <c r="X35" s="58"/>
      <c r="Y35" s="58">
        <f t="shared" si="3"/>
        <v>0</v>
      </c>
      <c r="Z35" s="98"/>
    </row>
    <row r="36" spans="2:26" s="9" customFormat="1" ht="18" customHeight="1"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>
        <f t="shared" si="0"/>
        <v>0</v>
      </c>
      <c r="O36" s="58"/>
      <c r="P36" s="58"/>
      <c r="Q36" s="58"/>
      <c r="R36" s="58"/>
      <c r="S36" s="58"/>
      <c r="T36" s="96"/>
      <c r="U36" s="58"/>
      <c r="V36" s="58">
        <f t="shared" si="1"/>
        <v>0</v>
      </c>
      <c r="W36" s="58">
        <f t="shared" si="2"/>
        <v>0</v>
      </c>
      <c r="X36" s="58"/>
      <c r="Y36" s="58">
        <f t="shared" si="3"/>
        <v>0</v>
      </c>
      <c r="Z36" s="98"/>
    </row>
    <row r="37" spans="2:26" s="9" customFormat="1" ht="18" customHeight="1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>
        <f t="shared" si="0"/>
        <v>0</v>
      </c>
      <c r="O37" s="58"/>
      <c r="P37" s="58"/>
      <c r="Q37" s="58"/>
      <c r="R37" s="58"/>
      <c r="S37" s="58"/>
      <c r="T37" s="96"/>
      <c r="U37" s="58"/>
      <c r="V37" s="58">
        <f t="shared" si="1"/>
        <v>0</v>
      </c>
      <c r="W37" s="58">
        <f t="shared" si="2"/>
        <v>0</v>
      </c>
      <c r="X37" s="58"/>
      <c r="Y37" s="58">
        <f t="shared" si="3"/>
        <v>0</v>
      </c>
      <c r="Z37" s="98"/>
    </row>
    <row r="38" spans="2:26" s="9" customFormat="1" ht="18" customHeight="1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>
        <f t="shared" si="0"/>
        <v>0</v>
      </c>
      <c r="O38" s="58"/>
      <c r="P38" s="58"/>
      <c r="Q38" s="58"/>
      <c r="R38" s="58"/>
      <c r="S38" s="58"/>
      <c r="T38" s="96"/>
      <c r="U38" s="58"/>
      <c r="V38" s="58">
        <f t="shared" si="1"/>
        <v>0</v>
      </c>
      <c r="W38" s="58">
        <f t="shared" si="2"/>
        <v>0</v>
      </c>
      <c r="X38" s="58"/>
      <c r="Y38" s="58">
        <f t="shared" si="3"/>
        <v>0</v>
      </c>
      <c r="Z38" s="98"/>
    </row>
    <row r="39" spans="2:26" s="9" customFormat="1" ht="18" customHeight="1"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>
        <f t="shared" si="0"/>
        <v>0</v>
      </c>
      <c r="O39" s="58"/>
      <c r="P39" s="58"/>
      <c r="Q39" s="58"/>
      <c r="R39" s="58"/>
      <c r="S39" s="58"/>
      <c r="T39" s="96"/>
      <c r="U39" s="58"/>
      <c r="V39" s="58">
        <f t="shared" si="1"/>
        <v>0</v>
      </c>
      <c r="W39" s="58">
        <f t="shared" si="2"/>
        <v>0</v>
      </c>
      <c r="X39" s="58"/>
      <c r="Y39" s="58">
        <f t="shared" si="3"/>
        <v>0</v>
      </c>
      <c r="Z39" s="98"/>
    </row>
    <row r="40" spans="2:26" s="9" customFormat="1" ht="18" customHeight="1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>
        <f t="shared" si="0"/>
        <v>0</v>
      </c>
      <c r="O40" s="58"/>
      <c r="P40" s="58"/>
      <c r="Q40" s="58"/>
      <c r="R40" s="58"/>
      <c r="S40" s="58"/>
      <c r="T40" s="96"/>
      <c r="U40" s="58"/>
      <c r="V40" s="58">
        <f t="shared" si="1"/>
        <v>0</v>
      </c>
      <c r="W40" s="58">
        <f t="shared" si="2"/>
        <v>0</v>
      </c>
      <c r="X40" s="58"/>
      <c r="Y40" s="58">
        <f t="shared" si="3"/>
        <v>0</v>
      </c>
      <c r="Z40" s="98"/>
    </row>
    <row r="41" spans="2:26" s="9" customFormat="1" ht="18" customHeight="1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>
        <f t="shared" si="0"/>
        <v>0</v>
      </c>
      <c r="O41" s="58"/>
      <c r="P41" s="58"/>
      <c r="Q41" s="58"/>
      <c r="R41" s="58"/>
      <c r="S41" s="58"/>
      <c r="T41" s="96"/>
      <c r="U41" s="58"/>
      <c r="V41" s="58">
        <f t="shared" si="1"/>
        <v>0</v>
      </c>
      <c r="W41" s="58">
        <f t="shared" si="2"/>
        <v>0</v>
      </c>
      <c r="X41" s="58"/>
      <c r="Y41" s="58">
        <f t="shared" si="3"/>
        <v>0</v>
      </c>
      <c r="Z41" s="98"/>
    </row>
    <row r="42" spans="2:26" s="9" customFormat="1" ht="18" customHeight="1"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>
        <f t="shared" si="0"/>
        <v>0</v>
      </c>
      <c r="O42" s="58"/>
      <c r="P42" s="58"/>
      <c r="Q42" s="58"/>
      <c r="R42" s="58"/>
      <c r="S42" s="58"/>
      <c r="T42" s="96"/>
      <c r="U42" s="58"/>
      <c r="V42" s="58">
        <f t="shared" si="1"/>
        <v>0</v>
      </c>
      <c r="W42" s="58">
        <f t="shared" si="2"/>
        <v>0</v>
      </c>
      <c r="X42" s="58"/>
      <c r="Y42" s="58">
        <f t="shared" si="3"/>
        <v>0</v>
      </c>
      <c r="Z42" s="98"/>
    </row>
    <row r="43" spans="2:26" s="9" customFormat="1" ht="18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>
        <f t="shared" si="0"/>
        <v>0</v>
      </c>
      <c r="O43" s="58"/>
      <c r="P43" s="58"/>
      <c r="Q43" s="58"/>
      <c r="R43" s="58"/>
      <c r="S43" s="58"/>
      <c r="T43" s="96"/>
      <c r="U43" s="58"/>
      <c r="V43" s="58">
        <f t="shared" si="1"/>
        <v>0</v>
      </c>
      <c r="W43" s="58">
        <f t="shared" si="2"/>
        <v>0</v>
      </c>
      <c r="X43" s="58"/>
      <c r="Y43" s="58">
        <f t="shared" si="3"/>
        <v>0</v>
      </c>
      <c r="Z43" s="98"/>
    </row>
    <row r="44" spans="2:26" s="9" customFormat="1" ht="18" customHeight="1"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>
        <f t="shared" si="0"/>
        <v>0</v>
      </c>
      <c r="O44" s="58"/>
      <c r="P44" s="58"/>
      <c r="Q44" s="58"/>
      <c r="R44" s="58"/>
      <c r="S44" s="58"/>
      <c r="T44" s="96"/>
      <c r="U44" s="58"/>
      <c r="V44" s="58">
        <f t="shared" si="1"/>
        <v>0</v>
      </c>
      <c r="W44" s="58">
        <f t="shared" si="2"/>
        <v>0</v>
      </c>
      <c r="X44" s="58"/>
      <c r="Y44" s="58">
        <f t="shared" si="3"/>
        <v>0</v>
      </c>
      <c r="Z44" s="98"/>
    </row>
    <row r="45" spans="2:26" s="9" customFormat="1" ht="18" customHeight="1"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>
        <f t="shared" si="0"/>
        <v>0</v>
      </c>
      <c r="O45" s="58"/>
      <c r="P45" s="58"/>
      <c r="Q45" s="58"/>
      <c r="R45" s="58"/>
      <c r="S45" s="58"/>
      <c r="T45" s="96"/>
      <c r="U45" s="58"/>
      <c r="V45" s="58">
        <f t="shared" si="1"/>
        <v>0</v>
      </c>
      <c r="W45" s="58">
        <f t="shared" si="2"/>
        <v>0</v>
      </c>
      <c r="X45" s="58"/>
      <c r="Y45" s="58">
        <f t="shared" si="3"/>
        <v>0</v>
      </c>
      <c r="Z45" s="98"/>
    </row>
    <row r="46" spans="2:26" s="9" customFormat="1" ht="18" customHeight="1"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>
        <f t="shared" si="0"/>
        <v>0</v>
      </c>
      <c r="O46" s="58"/>
      <c r="P46" s="58"/>
      <c r="Q46" s="58"/>
      <c r="R46" s="58"/>
      <c r="S46" s="58"/>
      <c r="T46" s="96"/>
      <c r="U46" s="58"/>
      <c r="V46" s="58">
        <f t="shared" si="1"/>
        <v>0</v>
      </c>
      <c r="W46" s="58">
        <f t="shared" si="2"/>
        <v>0</v>
      </c>
      <c r="X46" s="58"/>
      <c r="Y46" s="58">
        <f t="shared" si="3"/>
        <v>0</v>
      </c>
      <c r="Z46" s="98"/>
    </row>
    <row r="47" spans="2:26" s="9" customFormat="1" ht="18" customHeight="1"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>
        <f t="shared" si="0"/>
        <v>0</v>
      </c>
      <c r="O47" s="58"/>
      <c r="P47" s="58"/>
      <c r="Q47" s="58"/>
      <c r="R47" s="58"/>
      <c r="S47" s="58"/>
      <c r="T47" s="96"/>
      <c r="U47" s="58"/>
      <c r="V47" s="58">
        <f t="shared" si="1"/>
        <v>0</v>
      </c>
      <c r="W47" s="58">
        <f t="shared" si="2"/>
        <v>0</v>
      </c>
      <c r="X47" s="58"/>
      <c r="Y47" s="58">
        <f t="shared" si="3"/>
        <v>0</v>
      </c>
      <c r="Z47" s="98"/>
    </row>
    <row r="48" spans="2:26" s="9" customFormat="1" ht="18" customHeight="1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>
        <f t="shared" si="0"/>
        <v>0</v>
      </c>
      <c r="O48" s="58"/>
      <c r="P48" s="58"/>
      <c r="Q48" s="58"/>
      <c r="R48" s="58"/>
      <c r="S48" s="58"/>
      <c r="T48" s="96"/>
      <c r="U48" s="58"/>
      <c r="V48" s="58">
        <f t="shared" si="1"/>
        <v>0</v>
      </c>
      <c r="W48" s="58">
        <f t="shared" si="2"/>
        <v>0</v>
      </c>
      <c r="X48" s="58"/>
      <c r="Y48" s="58">
        <f t="shared" si="3"/>
        <v>0</v>
      </c>
      <c r="Z48" s="98"/>
    </row>
    <row r="49" spans="2:26" s="9" customFormat="1" ht="18" customHeight="1"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>
        <f t="shared" si="0"/>
        <v>0</v>
      </c>
      <c r="O49" s="58"/>
      <c r="P49" s="58"/>
      <c r="Q49" s="58"/>
      <c r="R49" s="58"/>
      <c r="S49" s="58"/>
      <c r="T49" s="96"/>
      <c r="U49" s="58"/>
      <c r="V49" s="58">
        <f t="shared" si="1"/>
        <v>0</v>
      </c>
      <c r="W49" s="58">
        <f t="shared" si="2"/>
        <v>0</v>
      </c>
      <c r="X49" s="58"/>
      <c r="Y49" s="58">
        <f t="shared" si="3"/>
        <v>0</v>
      </c>
      <c r="Z49" s="98"/>
    </row>
    <row r="50" spans="2:26" s="9" customFormat="1" ht="18" customHeight="1"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>
        <f t="shared" si="0"/>
        <v>0</v>
      </c>
      <c r="O50" s="58"/>
      <c r="P50" s="58"/>
      <c r="Q50" s="58"/>
      <c r="R50" s="58"/>
      <c r="S50" s="58"/>
      <c r="T50" s="96"/>
      <c r="U50" s="58"/>
      <c r="V50" s="58">
        <f t="shared" si="1"/>
        <v>0</v>
      </c>
      <c r="W50" s="58">
        <f t="shared" si="2"/>
        <v>0</v>
      </c>
      <c r="X50" s="58"/>
      <c r="Y50" s="58">
        <f t="shared" si="3"/>
        <v>0</v>
      </c>
      <c r="Z50" s="98"/>
    </row>
    <row r="51" spans="2:26" s="9" customFormat="1" ht="18" customHeight="1"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>
        <f t="shared" si="0"/>
        <v>0</v>
      </c>
      <c r="O51" s="58"/>
      <c r="P51" s="58"/>
      <c r="Q51" s="58"/>
      <c r="R51" s="58"/>
      <c r="S51" s="58"/>
      <c r="T51" s="96"/>
      <c r="U51" s="58"/>
      <c r="V51" s="58">
        <f t="shared" si="1"/>
        <v>0</v>
      </c>
      <c r="W51" s="58">
        <f t="shared" si="2"/>
        <v>0</v>
      </c>
      <c r="X51" s="58"/>
      <c r="Y51" s="58">
        <f t="shared" si="3"/>
        <v>0</v>
      </c>
      <c r="Z51" s="98"/>
    </row>
    <row r="52" spans="2:26" s="9" customFormat="1" ht="18" customHeight="1"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>
        <f t="shared" si="0"/>
        <v>0</v>
      </c>
      <c r="O52" s="58"/>
      <c r="P52" s="58"/>
      <c r="Q52" s="58"/>
      <c r="R52" s="58"/>
      <c r="S52" s="58"/>
      <c r="T52" s="96"/>
      <c r="U52" s="58"/>
      <c r="V52" s="58">
        <f t="shared" si="1"/>
        <v>0</v>
      </c>
      <c r="W52" s="58">
        <f t="shared" si="2"/>
        <v>0</v>
      </c>
      <c r="X52" s="58"/>
      <c r="Y52" s="58">
        <f t="shared" si="3"/>
        <v>0</v>
      </c>
      <c r="Z52" s="98"/>
    </row>
    <row r="53" spans="2:26" s="9" customFormat="1" ht="18" customHeight="1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>
        <f t="shared" si="0"/>
        <v>0</v>
      </c>
      <c r="O53" s="58"/>
      <c r="P53" s="58"/>
      <c r="Q53" s="58"/>
      <c r="R53" s="58"/>
      <c r="S53" s="58"/>
      <c r="T53" s="96"/>
      <c r="U53" s="58"/>
      <c r="V53" s="58">
        <f t="shared" si="1"/>
        <v>0</v>
      </c>
      <c r="W53" s="58">
        <f t="shared" si="2"/>
        <v>0</v>
      </c>
      <c r="X53" s="58"/>
      <c r="Y53" s="58">
        <f t="shared" si="3"/>
        <v>0</v>
      </c>
      <c r="Z53" s="98"/>
    </row>
    <row r="54" spans="2:26" s="9" customFormat="1" ht="18" customHeight="1"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>
        <f t="shared" si="0"/>
        <v>0</v>
      </c>
      <c r="O54" s="58"/>
      <c r="P54" s="58"/>
      <c r="Q54" s="58"/>
      <c r="R54" s="58"/>
      <c r="S54" s="58"/>
      <c r="T54" s="96"/>
      <c r="U54" s="58"/>
      <c r="V54" s="58">
        <f t="shared" si="1"/>
        <v>0</v>
      </c>
      <c r="W54" s="58">
        <f t="shared" si="2"/>
        <v>0</v>
      </c>
      <c r="X54" s="58"/>
      <c r="Y54" s="58">
        <f t="shared" si="3"/>
        <v>0</v>
      </c>
      <c r="Z54" s="98"/>
    </row>
    <row r="55" spans="2:26" s="9" customFormat="1" ht="18" customHeight="1"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>
        <f t="shared" si="0"/>
        <v>0</v>
      </c>
      <c r="O55" s="58"/>
      <c r="P55" s="58"/>
      <c r="Q55" s="58"/>
      <c r="R55" s="58"/>
      <c r="S55" s="58"/>
      <c r="T55" s="96"/>
      <c r="U55" s="58"/>
      <c r="V55" s="58">
        <f t="shared" si="1"/>
        <v>0</v>
      </c>
      <c r="W55" s="58">
        <f t="shared" si="2"/>
        <v>0</v>
      </c>
      <c r="X55" s="58"/>
      <c r="Y55" s="58">
        <f t="shared" si="3"/>
        <v>0</v>
      </c>
      <c r="Z55" s="98"/>
    </row>
    <row r="56" spans="2:26" s="9" customFormat="1" ht="18" customHeight="1"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>
        <f t="shared" si="0"/>
        <v>0</v>
      </c>
      <c r="O56" s="58"/>
      <c r="P56" s="58"/>
      <c r="Q56" s="58"/>
      <c r="R56" s="58"/>
      <c r="S56" s="58"/>
      <c r="T56" s="96"/>
      <c r="U56" s="58"/>
      <c r="V56" s="58">
        <f t="shared" si="1"/>
        <v>0</v>
      </c>
      <c r="W56" s="58">
        <f t="shared" si="2"/>
        <v>0</v>
      </c>
      <c r="X56" s="58"/>
      <c r="Y56" s="58">
        <f t="shared" si="3"/>
        <v>0</v>
      </c>
      <c r="Z56" s="98"/>
    </row>
    <row r="57" spans="2:26" s="9" customFormat="1" ht="18" customHeight="1"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>
        <f t="shared" si="0"/>
        <v>0</v>
      </c>
      <c r="O57" s="58"/>
      <c r="P57" s="58"/>
      <c r="Q57" s="58"/>
      <c r="R57" s="58"/>
      <c r="S57" s="58"/>
      <c r="T57" s="96"/>
      <c r="U57" s="58"/>
      <c r="V57" s="58">
        <f t="shared" si="1"/>
        <v>0</v>
      </c>
      <c r="W57" s="58">
        <f t="shared" si="2"/>
        <v>0</v>
      </c>
      <c r="X57" s="58"/>
      <c r="Y57" s="58">
        <f t="shared" si="3"/>
        <v>0</v>
      </c>
      <c r="Z57" s="98"/>
    </row>
    <row r="58" spans="2:26" s="9" customFormat="1" ht="18" customHeight="1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>
        <f t="shared" si="0"/>
        <v>0</v>
      </c>
      <c r="O58" s="58"/>
      <c r="P58" s="58"/>
      <c r="Q58" s="58"/>
      <c r="R58" s="58"/>
      <c r="S58" s="58"/>
      <c r="T58" s="96"/>
      <c r="U58" s="58"/>
      <c r="V58" s="58">
        <f t="shared" si="1"/>
        <v>0</v>
      </c>
      <c r="W58" s="58">
        <f t="shared" si="2"/>
        <v>0</v>
      </c>
      <c r="X58" s="58"/>
      <c r="Y58" s="58">
        <f t="shared" si="3"/>
        <v>0</v>
      </c>
      <c r="Z58" s="98"/>
    </row>
    <row r="59" spans="2:26" s="9" customFormat="1" ht="18" customHeight="1"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>
        <f t="shared" si="0"/>
        <v>0</v>
      </c>
      <c r="O59" s="58"/>
      <c r="P59" s="58"/>
      <c r="Q59" s="58"/>
      <c r="R59" s="58"/>
      <c r="S59" s="58"/>
      <c r="T59" s="96"/>
      <c r="U59" s="58"/>
      <c r="V59" s="58">
        <f t="shared" si="1"/>
        <v>0</v>
      </c>
      <c r="W59" s="58">
        <f t="shared" si="2"/>
        <v>0</v>
      </c>
      <c r="X59" s="58"/>
      <c r="Y59" s="58">
        <f t="shared" si="3"/>
        <v>0</v>
      </c>
      <c r="Z59" s="98"/>
    </row>
    <row r="60" spans="2:26" s="9" customFormat="1" ht="18" customHeight="1"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>
        <f t="shared" si="0"/>
        <v>0</v>
      </c>
      <c r="O60" s="58"/>
      <c r="P60" s="58"/>
      <c r="Q60" s="58"/>
      <c r="R60" s="58"/>
      <c r="S60" s="58"/>
      <c r="T60" s="96"/>
      <c r="U60" s="58"/>
      <c r="V60" s="58">
        <f t="shared" si="1"/>
        <v>0</v>
      </c>
      <c r="W60" s="58">
        <f t="shared" si="2"/>
        <v>0</v>
      </c>
      <c r="X60" s="58"/>
      <c r="Y60" s="58">
        <f t="shared" si="3"/>
        <v>0</v>
      </c>
      <c r="Z60" s="98"/>
    </row>
    <row r="61" spans="2:26" s="9" customFormat="1" ht="18" customHeight="1"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>
        <f t="shared" si="0"/>
        <v>0</v>
      </c>
      <c r="O61" s="58"/>
      <c r="P61" s="58"/>
      <c r="Q61" s="58"/>
      <c r="R61" s="58"/>
      <c r="S61" s="58"/>
      <c r="T61" s="96"/>
      <c r="U61" s="58"/>
      <c r="V61" s="58">
        <f t="shared" si="1"/>
        <v>0</v>
      </c>
      <c r="W61" s="58">
        <f t="shared" si="2"/>
        <v>0</v>
      </c>
      <c r="X61" s="58"/>
      <c r="Y61" s="58">
        <f t="shared" si="3"/>
        <v>0</v>
      </c>
      <c r="Z61" s="98"/>
    </row>
    <row r="62" spans="2:26" s="9" customFormat="1" ht="18" customHeight="1"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>
        <f t="shared" si="0"/>
        <v>0</v>
      </c>
      <c r="O62" s="58"/>
      <c r="P62" s="58"/>
      <c r="Q62" s="58"/>
      <c r="R62" s="58"/>
      <c r="S62" s="58"/>
      <c r="T62" s="96"/>
      <c r="U62" s="58"/>
      <c r="V62" s="58">
        <f t="shared" si="1"/>
        <v>0</v>
      </c>
      <c r="W62" s="58">
        <f t="shared" si="2"/>
        <v>0</v>
      </c>
      <c r="X62" s="58"/>
      <c r="Y62" s="58">
        <f t="shared" si="3"/>
        <v>0</v>
      </c>
      <c r="Z62" s="98"/>
    </row>
    <row r="63" spans="2:26" s="9" customFormat="1" ht="19.5" customHeight="1"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>
        <f t="shared" si="0"/>
        <v>0</v>
      </c>
      <c r="O63" s="58"/>
      <c r="P63" s="58"/>
      <c r="Q63" s="58"/>
      <c r="R63" s="58"/>
      <c r="S63" s="58"/>
      <c r="T63" s="96"/>
      <c r="U63" s="58"/>
      <c r="V63" s="58">
        <f t="shared" si="1"/>
        <v>0</v>
      </c>
      <c r="W63" s="58">
        <f t="shared" si="2"/>
        <v>0</v>
      </c>
      <c r="X63" s="58"/>
      <c r="Y63" s="58">
        <f t="shared" si="3"/>
        <v>0</v>
      </c>
      <c r="Z63" s="98"/>
    </row>
    <row r="64" spans="2:26" s="9" customFormat="1" ht="19.5" customHeight="1"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>
        <f t="shared" si="0"/>
        <v>0</v>
      </c>
      <c r="O64" s="58"/>
      <c r="P64" s="58"/>
      <c r="Q64" s="58"/>
      <c r="R64" s="58"/>
      <c r="S64" s="58"/>
      <c r="T64" s="96"/>
      <c r="U64" s="58"/>
      <c r="V64" s="58">
        <f t="shared" si="1"/>
        <v>0</v>
      </c>
      <c r="W64" s="58">
        <f t="shared" si="2"/>
        <v>0</v>
      </c>
      <c r="X64" s="58"/>
      <c r="Y64" s="58">
        <f t="shared" si="3"/>
        <v>0</v>
      </c>
      <c r="Z64" s="98"/>
    </row>
    <row r="65" spans="2:26" s="9" customFormat="1" ht="19.5" customHeight="1"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>
        <f t="shared" si="0"/>
        <v>0</v>
      </c>
      <c r="O65" s="58"/>
      <c r="P65" s="58"/>
      <c r="Q65" s="58"/>
      <c r="R65" s="58"/>
      <c r="S65" s="58"/>
      <c r="T65" s="96"/>
      <c r="U65" s="58"/>
      <c r="V65" s="58">
        <f t="shared" si="1"/>
        <v>0</v>
      </c>
      <c r="W65" s="58">
        <f t="shared" si="2"/>
        <v>0</v>
      </c>
      <c r="X65" s="58"/>
      <c r="Y65" s="58">
        <f t="shared" si="3"/>
        <v>0</v>
      </c>
      <c r="Z65" s="98"/>
    </row>
    <row r="66" spans="2:26" s="9" customFormat="1" ht="19.5" customHeight="1"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>
        <f t="shared" si="0"/>
        <v>0</v>
      </c>
      <c r="O66" s="58"/>
      <c r="P66" s="58"/>
      <c r="Q66" s="58"/>
      <c r="R66" s="58"/>
      <c r="S66" s="58"/>
      <c r="T66" s="96"/>
      <c r="U66" s="58"/>
      <c r="V66" s="58">
        <f t="shared" si="1"/>
        <v>0</v>
      </c>
      <c r="W66" s="58">
        <f t="shared" si="2"/>
        <v>0</v>
      </c>
      <c r="X66" s="58"/>
      <c r="Y66" s="58">
        <f t="shared" si="3"/>
        <v>0</v>
      </c>
      <c r="Z66" s="98"/>
    </row>
    <row r="67" spans="2:26" s="9" customFormat="1" ht="19.5" customHeight="1"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>
        <f t="shared" si="0"/>
        <v>0</v>
      </c>
      <c r="O67" s="58"/>
      <c r="P67" s="58"/>
      <c r="Q67" s="58"/>
      <c r="R67" s="58"/>
      <c r="S67" s="58"/>
      <c r="T67" s="96"/>
      <c r="U67" s="58"/>
      <c r="V67" s="58">
        <f t="shared" si="1"/>
        <v>0</v>
      </c>
      <c r="W67" s="58">
        <f t="shared" si="2"/>
        <v>0</v>
      </c>
      <c r="X67" s="58"/>
      <c r="Y67" s="58">
        <f t="shared" si="3"/>
        <v>0</v>
      </c>
      <c r="Z67" s="98"/>
    </row>
    <row r="68" spans="2:26" s="9" customFormat="1" ht="19.5" customHeight="1"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>
        <f t="shared" si="0"/>
        <v>0</v>
      </c>
      <c r="O68" s="58"/>
      <c r="P68" s="58"/>
      <c r="Q68" s="58"/>
      <c r="R68" s="58"/>
      <c r="S68" s="58"/>
      <c r="T68" s="96"/>
      <c r="U68" s="58"/>
      <c r="V68" s="58">
        <f t="shared" si="1"/>
        <v>0</v>
      </c>
      <c r="W68" s="58">
        <f t="shared" si="2"/>
        <v>0</v>
      </c>
      <c r="X68" s="58"/>
      <c r="Y68" s="58">
        <f t="shared" si="3"/>
        <v>0</v>
      </c>
      <c r="Z68" s="98"/>
    </row>
    <row r="69" spans="2:26" s="9" customFormat="1" ht="19.5" customHeight="1"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>
        <f t="shared" si="0"/>
        <v>0</v>
      </c>
      <c r="O69" s="58"/>
      <c r="P69" s="58"/>
      <c r="Q69" s="58"/>
      <c r="R69" s="58"/>
      <c r="S69" s="58"/>
      <c r="T69" s="96"/>
      <c r="U69" s="58"/>
      <c r="V69" s="58">
        <f t="shared" si="1"/>
        <v>0</v>
      </c>
      <c r="W69" s="58">
        <f t="shared" si="2"/>
        <v>0</v>
      </c>
      <c r="X69" s="58"/>
      <c r="Y69" s="58">
        <f t="shared" si="3"/>
        <v>0</v>
      </c>
      <c r="Z69" s="98"/>
    </row>
    <row r="70" spans="2:26" s="9" customFormat="1" ht="19.5" customHeight="1"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>
        <f t="shared" si="0"/>
        <v>0</v>
      </c>
      <c r="O70" s="58"/>
      <c r="P70" s="58"/>
      <c r="Q70" s="58"/>
      <c r="R70" s="58"/>
      <c r="S70" s="58"/>
      <c r="T70" s="96"/>
      <c r="U70" s="58"/>
      <c r="V70" s="58">
        <f t="shared" si="1"/>
        <v>0</v>
      </c>
      <c r="W70" s="58">
        <f t="shared" si="2"/>
        <v>0</v>
      </c>
      <c r="X70" s="58"/>
      <c r="Y70" s="58">
        <f t="shared" si="3"/>
        <v>0</v>
      </c>
      <c r="Z70" s="98"/>
    </row>
    <row r="71" spans="2:26" s="9" customFormat="1" ht="19.5" customHeight="1"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>
        <f t="shared" si="0"/>
        <v>0</v>
      </c>
      <c r="O71" s="58"/>
      <c r="P71" s="58"/>
      <c r="Q71" s="58"/>
      <c r="R71" s="58"/>
      <c r="S71" s="58"/>
      <c r="T71" s="96"/>
      <c r="U71" s="58"/>
      <c r="V71" s="58">
        <f t="shared" si="1"/>
        <v>0</v>
      </c>
      <c r="W71" s="58">
        <f t="shared" si="2"/>
        <v>0</v>
      </c>
      <c r="X71" s="58"/>
      <c r="Y71" s="58">
        <f t="shared" si="3"/>
        <v>0</v>
      </c>
      <c r="Z71" s="98"/>
    </row>
    <row r="72" spans="2:26" s="9" customFormat="1" ht="19.5" customHeight="1"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>
        <f t="shared" ref="N72:N110" si="4">K72+L72+M72</f>
        <v>0</v>
      </c>
      <c r="O72" s="58"/>
      <c r="P72" s="58"/>
      <c r="Q72" s="58"/>
      <c r="R72" s="58"/>
      <c r="S72" s="58"/>
      <c r="T72" s="96"/>
      <c r="U72" s="58"/>
      <c r="V72" s="58">
        <f t="shared" ref="V72:V110" si="5">8%*N72</f>
        <v>0</v>
      </c>
      <c r="W72" s="58">
        <f t="shared" ref="W72:W110" si="6">5%*N72</f>
        <v>0</v>
      </c>
      <c r="X72" s="58"/>
      <c r="Y72" s="58">
        <f t="shared" ref="Y72:Y110" si="7">2.5%*N72</f>
        <v>0</v>
      </c>
      <c r="Z72" s="98"/>
    </row>
    <row r="73" spans="2:26" s="9" customFormat="1" ht="19.5" customHeight="1"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>
        <f t="shared" si="4"/>
        <v>0</v>
      </c>
      <c r="O73" s="58"/>
      <c r="P73" s="58"/>
      <c r="Q73" s="58"/>
      <c r="R73" s="58"/>
      <c r="S73" s="58"/>
      <c r="T73" s="96"/>
      <c r="U73" s="58"/>
      <c r="V73" s="58">
        <f t="shared" si="5"/>
        <v>0</v>
      </c>
      <c r="W73" s="58">
        <f t="shared" si="6"/>
        <v>0</v>
      </c>
      <c r="X73" s="58"/>
      <c r="Y73" s="58">
        <f t="shared" si="7"/>
        <v>0</v>
      </c>
      <c r="Z73" s="98"/>
    </row>
    <row r="74" spans="2:26" s="9" customFormat="1" ht="19.5" customHeight="1"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>
        <f t="shared" si="4"/>
        <v>0</v>
      </c>
      <c r="O74" s="58"/>
      <c r="P74" s="58"/>
      <c r="Q74" s="58"/>
      <c r="R74" s="58"/>
      <c r="S74" s="58"/>
      <c r="T74" s="96"/>
      <c r="U74" s="58"/>
      <c r="V74" s="58">
        <f t="shared" si="5"/>
        <v>0</v>
      </c>
      <c r="W74" s="58">
        <f t="shared" si="6"/>
        <v>0</v>
      </c>
      <c r="X74" s="58"/>
      <c r="Y74" s="58">
        <f t="shared" si="7"/>
        <v>0</v>
      </c>
      <c r="Z74" s="98"/>
    </row>
    <row r="75" spans="2:26" s="9" customFormat="1" ht="19.5" customHeight="1"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>
        <f t="shared" si="4"/>
        <v>0</v>
      </c>
      <c r="O75" s="58"/>
      <c r="P75" s="58"/>
      <c r="Q75" s="58"/>
      <c r="R75" s="58"/>
      <c r="S75" s="58"/>
      <c r="T75" s="96"/>
      <c r="U75" s="58"/>
      <c r="V75" s="58">
        <f t="shared" si="5"/>
        <v>0</v>
      </c>
      <c r="W75" s="58">
        <f t="shared" si="6"/>
        <v>0</v>
      </c>
      <c r="X75" s="58"/>
      <c r="Y75" s="58">
        <f t="shared" si="7"/>
        <v>0</v>
      </c>
      <c r="Z75" s="98"/>
    </row>
    <row r="76" spans="2:26" s="9" customFormat="1" ht="19.5" customHeight="1"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>
        <f t="shared" si="4"/>
        <v>0</v>
      </c>
      <c r="O76" s="58"/>
      <c r="P76" s="58"/>
      <c r="Q76" s="58"/>
      <c r="R76" s="58"/>
      <c r="S76" s="58"/>
      <c r="T76" s="96"/>
      <c r="U76" s="58"/>
      <c r="V76" s="58">
        <f t="shared" si="5"/>
        <v>0</v>
      </c>
      <c r="W76" s="58">
        <f t="shared" si="6"/>
        <v>0</v>
      </c>
      <c r="X76" s="58"/>
      <c r="Y76" s="58">
        <f t="shared" si="7"/>
        <v>0</v>
      </c>
      <c r="Z76" s="98"/>
    </row>
    <row r="77" spans="2:26" s="9" customFormat="1" ht="19.5" customHeight="1"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>
        <f t="shared" si="4"/>
        <v>0</v>
      </c>
      <c r="O77" s="58"/>
      <c r="P77" s="58"/>
      <c r="Q77" s="58"/>
      <c r="R77" s="58"/>
      <c r="S77" s="58"/>
      <c r="T77" s="96"/>
      <c r="U77" s="58"/>
      <c r="V77" s="58">
        <f t="shared" si="5"/>
        <v>0</v>
      </c>
      <c r="W77" s="58">
        <f t="shared" si="6"/>
        <v>0</v>
      </c>
      <c r="X77" s="58"/>
      <c r="Y77" s="58">
        <f t="shared" si="7"/>
        <v>0</v>
      </c>
      <c r="Z77" s="98"/>
    </row>
    <row r="78" spans="2:26" s="9" customFormat="1" ht="19.5" customHeight="1"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>
        <f t="shared" si="4"/>
        <v>0</v>
      </c>
      <c r="O78" s="58"/>
      <c r="P78" s="58"/>
      <c r="Q78" s="58"/>
      <c r="R78" s="58"/>
      <c r="S78" s="58"/>
      <c r="T78" s="96"/>
      <c r="U78" s="58"/>
      <c r="V78" s="58">
        <f t="shared" si="5"/>
        <v>0</v>
      </c>
      <c r="W78" s="58">
        <f t="shared" si="6"/>
        <v>0</v>
      </c>
      <c r="X78" s="58"/>
      <c r="Y78" s="58">
        <f t="shared" si="7"/>
        <v>0</v>
      </c>
      <c r="Z78" s="98"/>
    </row>
    <row r="79" spans="2:26" s="9" customFormat="1" ht="19.5" customHeight="1"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>
        <f t="shared" si="4"/>
        <v>0</v>
      </c>
      <c r="O79" s="58"/>
      <c r="P79" s="58"/>
      <c r="Q79" s="58"/>
      <c r="R79" s="58"/>
      <c r="S79" s="58"/>
      <c r="T79" s="96"/>
      <c r="U79" s="58"/>
      <c r="V79" s="58">
        <f t="shared" si="5"/>
        <v>0</v>
      </c>
      <c r="W79" s="58">
        <f t="shared" si="6"/>
        <v>0</v>
      </c>
      <c r="X79" s="58"/>
      <c r="Y79" s="58">
        <f t="shared" si="7"/>
        <v>0</v>
      </c>
      <c r="Z79" s="98"/>
    </row>
    <row r="80" spans="2:26" s="9" customFormat="1" ht="19.5" customHeight="1"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>
        <f t="shared" si="4"/>
        <v>0</v>
      </c>
      <c r="O80" s="58"/>
      <c r="P80" s="58"/>
      <c r="Q80" s="58"/>
      <c r="R80" s="58"/>
      <c r="S80" s="58"/>
      <c r="T80" s="96"/>
      <c r="U80" s="58"/>
      <c r="V80" s="58">
        <f t="shared" si="5"/>
        <v>0</v>
      </c>
      <c r="W80" s="58">
        <f t="shared" si="6"/>
        <v>0</v>
      </c>
      <c r="X80" s="58"/>
      <c r="Y80" s="58">
        <f t="shared" si="7"/>
        <v>0</v>
      </c>
      <c r="Z80" s="98"/>
    </row>
    <row r="81" spans="2:26" s="9" customFormat="1" ht="19.5" customHeight="1"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>
        <f t="shared" si="4"/>
        <v>0</v>
      </c>
      <c r="O81" s="58"/>
      <c r="P81" s="58"/>
      <c r="Q81" s="58"/>
      <c r="R81" s="58"/>
      <c r="S81" s="58"/>
      <c r="T81" s="96"/>
      <c r="U81" s="58"/>
      <c r="V81" s="58">
        <f t="shared" si="5"/>
        <v>0</v>
      </c>
      <c r="W81" s="58">
        <f t="shared" si="6"/>
        <v>0</v>
      </c>
      <c r="X81" s="58"/>
      <c r="Y81" s="58">
        <f t="shared" si="7"/>
        <v>0</v>
      </c>
      <c r="Z81" s="98"/>
    </row>
    <row r="82" spans="2:26" s="9" customFormat="1" ht="19.5" customHeight="1"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>
        <f t="shared" si="4"/>
        <v>0</v>
      </c>
      <c r="O82" s="58"/>
      <c r="P82" s="58"/>
      <c r="Q82" s="58"/>
      <c r="R82" s="58"/>
      <c r="S82" s="58"/>
      <c r="T82" s="96"/>
      <c r="U82" s="58"/>
      <c r="V82" s="58">
        <f t="shared" si="5"/>
        <v>0</v>
      </c>
      <c r="W82" s="58">
        <f t="shared" si="6"/>
        <v>0</v>
      </c>
      <c r="X82" s="58"/>
      <c r="Y82" s="58">
        <f t="shared" si="7"/>
        <v>0</v>
      </c>
      <c r="Z82" s="98"/>
    </row>
    <row r="83" spans="2:26" s="9" customFormat="1" ht="19.5" customHeight="1"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>
        <f t="shared" si="4"/>
        <v>0</v>
      </c>
      <c r="O83" s="58"/>
      <c r="P83" s="58"/>
      <c r="Q83" s="58"/>
      <c r="R83" s="58"/>
      <c r="S83" s="58"/>
      <c r="T83" s="96"/>
      <c r="U83" s="58"/>
      <c r="V83" s="58">
        <f t="shared" si="5"/>
        <v>0</v>
      </c>
      <c r="W83" s="58">
        <f t="shared" si="6"/>
        <v>0</v>
      </c>
      <c r="X83" s="58"/>
      <c r="Y83" s="58">
        <f t="shared" si="7"/>
        <v>0</v>
      </c>
      <c r="Z83" s="98"/>
    </row>
    <row r="84" spans="2:26" s="9" customFormat="1" ht="19.5" customHeight="1"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>
        <f t="shared" si="4"/>
        <v>0</v>
      </c>
      <c r="O84" s="58"/>
      <c r="P84" s="58"/>
      <c r="Q84" s="58"/>
      <c r="R84" s="58"/>
      <c r="S84" s="58"/>
      <c r="T84" s="96"/>
      <c r="U84" s="58"/>
      <c r="V84" s="58">
        <f t="shared" si="5"/>
        <v>0</v>
      </c>
      <c r="W84" s="58">
        <f t="shared" si="6"/>
        <v>0</v>
      </c>
      <c r="X84" s="58"/>
      <c r="Y84" s="58">
        <f t="shared" si="7"/>
        <v>0</v>
      </c>
      <c r="Z84" s="98"/>
    </row>
    <row r="85" spans="2:26" s="9" customFormat="1" ht="18" customHeight="1"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>
        <f t="shared" si="4"/>
        <v>0</v>
      </c>
      <c r="O85" s="58"/>
      <c r="P85" s="58"/>
      <c r="Q85" s="58"/>
      <c r="R85" s="58"/>
      <c r="S85" s="58"/>
      <c r="T85" s="96"/>
      <c r="U85" s="58"/>
      <c r="V85" s="58">
        <f t="shared" si="5"/>
        <v>0</v>
      </c>
      <c r="W85" s="58">
        <f t="shared" si="6"/>
        <v>0</v>
      </c>
      <c r="X85" s="58"/>
      <c r="Y85" s="58">
        <f t="shared" si="7"/>
        <v>0</v>
      </c>
      <c r="Z85" s="98"/>
    </row>
    <row r="86" spans="2:26" s="9" customFormat="1" ht="18" customHeight="1"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>
        <f t="shared" si="4"/>
        <v>0</v>
      </c>
      <c r="O86" s="58"/>
      <c r="P86" s="58"/>
      <c r="Q86" s="58"/>
      <c r="R86" s="58"/>
      <c r="S86" s="58"/>
      <c r="T86" s="96"/>
      <c r="U86" s="58"/>
      <c r="V86" s="58">
        <f t="shared" si="5"/>
        <v>0</v>
      </c>
      <c r="W86" s="58">
        <f t="shared" si="6"/>
        <v>0</v>
      </c>
      <c r="X86" s="58"/>
      <c r="Y86" s="58">
        <f t="shared" si="7"/>
        <v>0</v>
      </c>
      <c r="Z86" s="98"/>
    </row>
    <row r="87" spans="2:26" s="9" customFormat="1" ht="18" customHeight="1"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>
        <f t="shared" si="4"/>
        <v>0</v>
      </c>
      <c r="O87" s="58"/>
      <c r="P87" s="58"/>
      <c r="Q87" s="58"/>
      <c r="R87" s="58"/>
      <c r="S87" s="58"/>
      <c r="T87" s="96"/>
      <c r="U87" s="58"/>
      <c r="V87" s="58">
        <f t="shared" si="5"/>
        <v>0</v>
      </c>
      <c r="W87" s="58">
        <f t="shared" si="6"/>
        <v>0</v>
      </c>
      <c r="X87" s="58"/>
      <c r="Y87" s="58">
        <f t="shared" si="7"/>
        <v>0</v>
      </c>
      <c r="Z87" s="98"/>
    </row>
    <row r="88" spans="2:26" s="9" customFormat="1" ht="18" customHeight="1"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>
        <f t="shared" si="4"/>
        <v>0</v>
      </c>
      <c r="O88" s="58"/>
      <c r="P88" s="58"/>
      <c r="Q88" s="58"/>
      <c r="R88" s="58"/>
      <c r="S88" s="58"/>
      <c r="T88" s="96"/>
      <c r="U88" s="58"/>
      <c r="V88" s="58">
        <f t="shared" si="5"/>
        <v>0</v>
      </c>
      <c r="W88" s="58">
        <f t="shared" si="6"/>
        <v>0</v>
      </c>
      <c r="X88" s="58"/>
      <c r="Y88" s="58">
        <f t="shared" si="7"/>
        <v>0</v>
      </c>
      <c r="Z88" s="98"/>
    </row>
    <row r="89" spans="2:26" s="9" customFormat="1" ht="18" customHeight="1"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>
        <f t="shared" si="4"/>
        <v>0</v>
      </c>
      <c r="O89" s="58"/>
      <c r="P89" s="58"/>
      <c r="Q89" s="58"/>
      <c r="R89" s="58"/>
      <c r="S89" s="58"/>
      <c r="T89" s="96"/>
      <c r="U89" s="58"/>
      <c r="V89" s="58">
        <f t="shared" si="5"/>
        <v>0</v>
      </c>
      <c r="W89" s="58">
        <f t="shared" si="6"/>
        <v>0</v>
      </c>
      <c r="X89" s="58"/>
      <c r="Y89" s="58">
        <f t="shared" si="7"/>
        <v>0</v>
      </c>
      <c r="Z89" s="98"/>
    </row>
    <row r="90" spans="2:26" s="9" customFormat="1" ht="18" customHeight="1"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>
        <f t="shared" si="4"/>
        <v>0</v>
      </c>
      <c r="O90" s="58"/>
      <c r="P90" s="58"/>
      <c r="Q90" s="58"/>
      <c r="R90" s="58"/>
      <c r="S90" s="58"/>
      <c r="T90" s="96"/>
      <c r="U90" s="58"/>
      <c r="V90" s="58">
        <f t="shared" si="5"/>
        <v>0</v>
      </c>
      <c r="W90" s="58">
        <f t="shared" si="6"/>
        <v>0</v>
      </c>
      <c r="X90" s="58"/>
      <c r="Y90" s="58">
        <f t="shared" si="7"/>
        <v>0</v>
      </c>
      <c r="Z90" s="98"/>
    </row>
    <row r="91" spans="2:26" s="9" customFormat="1" ht="18" customHeight="1"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>
        <f t="shared" si="4"/>
        <v>0</v>
      </c>
      <c r="O91" s="58"/>
      <c r="P91" s="58"/>
      <c r="Q91" s="58"/>
      <c r="R91" s="58"/>
      <c r="S91" s="58"/>
      <c r="T91" s="96"/>
      <c r="U91" s="58"/>
      <c r="V91" s="58">
        <f t="shared" si="5"/>
        <v>0</v>
      </c>
      <c r="W91" s="58">
        <f t="shared" si="6"/>
        <v>0</v>
      </c>
      <c r="X91" s="58"/>
      <c r="Y91" s="58">
        <f t="shared" si="7"/>
        <v>0</v>
      </c>
      <c r="Z91" s="98"/>
    </row>
    <row r="92" spans="2:26" s="9" customFormat="1" ht="18" customHeight="1"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>
        <f t="shared" si="4"/>
        <v>0</v>
      </c>
      <c r="O92" s="58"/>
      <c r="P92" s="58"/>
      <c r="Q92" s="58"/>
      <c r="R92" s="58"/>
      <c r="S92" s="58"/>
      <c r="T92" s="96"/>
      <c r="U92" s="58"/>
      <c r="V92" s="58">
        <f t="shared" si="5"/>
        <v>0</v>
      </c>
      <c r="W92" s="58">
        <f t="shared" si="6"/>
        <v>0</v>
      </c>
      <c r="X92" s="58"/>
      <c r="Y92" s="58">
        <f t="shared" si="7"/>
        <v>0</v>
      </c>
      <c r="Z92" s="98"/>
    </row>
    <row r="93" spans="2:26" s="9" customFormat="1" ht="18" customHeight="1"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>
        <f t="shared" si="4"/>
        <v>0</v>
      </c>
      <c r="O93" s="58"/>
      <c r="P93" s="58"/>
      <c r="Q93" s="58"/>
      <c r="R93" s="58"/>
      <c r="S93" s="58"/>
      <c r="T93" s="96"/>
      <c r="U93" s="58"/>
      <c r="V93" s="58">
        <f t="shared" si="5"/>
        <v>0</v>
      </c>
      <c r="W93" s="58">
        <f t="shared" si="6"/>
        <v>0</v>
      </c>
      <c r="X93" s="58"/>
      <c r="Y93" s="58">
        <f t="shared" si="7"/>
        <v>0</v>
      </c>
      <c r="Z93" s="98"/>
    </row>
    <row r="94" spans="2:26" s="9" customFormat="1" ht="18" customHeight="1"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>
        <f t="shared" si="4"/>
        <v>0</v>
      </c>
      <c r="O94" s="58"/>
      <c r="P94" s="58"/>
      <c r="Q94" s="58"/>
      <c r="R94" s="58"/>
      <c r="S94" s="58"/>
      <c r="T94" s="96"/>
      <c r="U94" s="58"/>
      <c r="V94" s="58">
        <f t="shared" si="5"/>
        <v>0</v>
      </c>
      <c r="W94" s="58">
        <f t="shared" si="6"/>
        <v>0</v>
      </c>
      <c r="X94" s="58"/>
      <c r="Y94" s="58">
        <f t="shared" si="7"/>
        <v>0</v>
      </c>
      <c r="Z94" s="98"/>
    </row>
    <row r="95" spans="2:26" s="9" customFormat="1" ht="18" customHeight="1"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>
        <f t="shared" si="4"/>
        <v>0</v>
      </c>
      <c r="O95" s="58"/>
      <c r="P95" s="58"/>
      <c r="Q95" s="58"/>
      <c r="R95" s="58"/>
      <c r="S95" s="58"/>
      <c r="T95" s="96"/>
      <c r="U95" s="58"/>
      <c r="V95" s="58">
        <f t="shared" si="5"/>
        <v>0</v>
      </c>
      <c r="W95" s="58">
        <f t="shared" si="6"/>
        <v>0</v>
      </c>
      <c r="X95" s="58"/>
      <c r="Y95" s="58">
        <f t="shared" si="7"/>
        <v>0</v>
      </c>
      <c r="Z95" s="98"/>
    </row>
    <row r="96" spans="2:26" s="9" customFormat="1" ht="18" customHeight="1">
      <c r="B96" s="42"/>
      <c r="C96" s="42"/>
      <c r="D96" s="42"/>
      <c r="E96" s="42"/>
      <c r="F96" s="42"/>
      <c r="G96" s="42"/>
      <c r="H96" s="42"/>
      <c r="I96" s="42"/>
      <c r="J96" s="43"/>
      <c r="K96" s="43"/>
      <c r="L96" s="43"/>
      <c r="M96" s="43"/>
      <c r="N96" s="58">
        <f t="shared" si="4"/>
        <v>0</v>
      </c>
      <c r="O96" s="43"/>
      <c r="P96" s="43"/>
      <c r="Q96" s="43"/>
      <c r="R96" s="43"/>
      <c r="S96" s="43"/>
      <c r="T96" s="43"/>
      <c r="U96" s="43"/>
      <c r="V96" s="58">
        <f t="shared" si="5"/>
        <v>0</v>
      </c>
      <c r="W96" s="58">
        <f t="shared" si="6"/>
        <v>0</v>
      </c>
      <c r="X96" s="43"/>
      <c r="Y96" s="58">
        <f t="shared" si="7"/>
        <v>0</v>
      </c>
      <c r="Z96" s="43"/>
    </row>
    <row r="97" spans="2:26" s="9" customFormat="1" ht="18" customHeight="1">
      <c r="B97" s="42"/>
      <c r="C97" s="42"/>
      <c r="D97" s="42"/>
      <c r="E97" s="42"/>
      <c r="F97" s="42"/>
      <c r="G97" s="42"/>
      <c r="H97" s="42"/>
      <c r="I97" s="42"/>
      <c r="J97" s="43"/>
      <c r="K97" s="43"/>
      <c r="L97" s="43"/>
      <c r="M97" s="43"/>
      <c r="N97" s="58">
        <f t="shared" si="4"/>
        <v>0</v>
      </c>
      <c r="O97" s="43"/>
      <c r="P97" s="43"/>
      <c r="Q97" s="43"/>
      <c r="R97" s="43"/>
      <c r="S97" s="43"/>
      <c r="T97" s="43"/>
      <c r="U97" s="43"/>
      <c r="V97" s="58">
        <f t="shared" si="5"/>
        <v>0</v>
      </c>
      <c r="W97" s="58">
        <f t="shared" si="6"/>
        <v>0</v>
      </c>
      <c r="X97" s="43"/>
      <c r="Y97" s="58">
        <f t="shared" si="7"/>
        <v>0</v>
      </c>
      <c r="Z97" s="43"/>
    </row>
    <row r="98" spans="2:26" s="9" customFormat="1" ht="18" customHeight="1">
      <c r="B98" s="42"/>
      <c r="C98" s="42"/>
      <c r="D98" s="42"/>
      <c r="E98" s="42"/>
      <c r="F98" s="42"/>
      <c r="G98" s="42"/>
      <c r="H98" s="42"/>
      <c r="I98" s="42"/>
      <c r="J98" s="43"/>
      <c r="K98" s="43"/>
      <c r="L98" s="43"/>
      <c r="M98" s="43"/>
      <c r="N98" s="58">
        <f t="shared" si="4"/>
        <v>0</v>
      </c>
      <c r="O98" s="43"/>
      <c r="P98" s="43"/>
      <c r="Q98" s="43"/>
      <c r="R98" s="43"/>
      <c r="S98" s="43"/>
      <c r="T98" s="43"/>
      <c r="U98" s="43"/>
      <c r="V98" s="58">
        <f t="shared" si="5"/>
        <v>0</v>
      </c>
      <c r="W98" s="58">
        <f t="shared" si="6"/>
        <v>0</v>
      </c>
      <c r="X98" s="43"/>
      <c r="Y98" s="58">
        <f t="shared" si="7"/>
        <v>0</v>
      </c>
      <c r="Z98" s="43"/>
    </row>
    <row r="99" spans="2:26" s="9" customFormat="1" ht="18" customHeight="1">
      <c r="B99" s="42"/>
      <c r="C99" s="42"/>
      <c r="D99" s="42"/>
      <c r="E99" s="42"/>
      <c r="F99" s="42"/>
      <c r="G99" s="42"/>
      <c r="H99" s="42"/>
      <c r="I99" s="42"/>
      <c r="J99" s="43"/>
      <c r="K99" s="43"/>
      <c r="L99" s="43"/>
      <c r="M99" s="43"/>
      <c r="N99" s="58">
        <f t="shared" si="4"/>
        <v>0</v>
      </c>
      <c r="O99" s="43"/>
      <c r="P99" s="43"/>
      <c r="Q99" s="43"/>
      <c r="R99" s="43"/>
      <c r="S99" s="43"/>
      <c r="T99" s="43"/>
      <c r="U99" s="43"/>
      <c r="V99" s="58">
        <f t="shared" si="5"/>
        <v>0</v>
      </c>
      <c r="W99" s="58">
        <f t="shared" si="6"/>
        <v>0</v>
      </c>
      <c r="X99" s="43"/>
      <c r="Y99" s="58">
        <f t="shared" si="7"/>
        <v>0</v>
      </c>
      <c r="Z99" s="43"/>
    </row>
    <row r="100" spans="2:26" s="9" customFormat="1" ht="18" customHeight="1">
      <c r="B100" s="42"/>
      <c r="C100" s="42"/>
      <c r="D100" s="42"/>
      <c r="E100" s="42"/>
      <c r="F100" s="42"/>
      <c r="G100" s="42"/>
      <c r="H100" s="42"/>
      <c r="I100" s="42"/>
      <c r="J100" s="43"/>
      <c r="K100" s="43"/>
      <c r="L100" s="43"/>
      <c r="M100" s="43"/>
      <c r="N100" s="58">
        <f t="shared" si="4"/>
        <v>0</v>
      </c>
      <c r="O100" s="43"/>
      <c r="P100" s="43"/>
      <c r="Q100" s="43"/>
      <c r="R100" s="43"/>
      <c r="S100" s="43"/>
      <c r="T100" s="43"/>
      <c r="U100" s="43"/>
      <c r="V100" s="58">
        <f t="shared" si="5"/>
        <v>0</v>
      </c>
      <c r="W100" s="58">
        <f t="shared" si="6"/>
        <v>0</v>
      </c>
      <c r="X100" s="43"/>
      <c r="Y100" s="58">
        <f t="shared" si="7"/>
        <v>0</v>
      </c>
      <c r="Z100" s="43"/>
    </row>
    <row r="101" spans="2:26" s="9" customFormat="1" ht="18" customHeight="1">
      <c r="B101" s="42"/>
      <c r="C101" s="42"/>
      <c r="D101" s="42"/>
      <c r="E101" s="42"/>
      <c r="F101" s="42"/>
      <c r="G101" s="42"/>
      <c r="H101" s="42"/>
      <c r="I101" s="42"/>
      <c r="J101" s="43"/>
      <c r="K101" s="43"/>
      <c r="L101" s="43"/>
      <c r="M101" s="43"/>
      <c r="N101" s="58">
        <f t="shared" si="4"/>
        <v>0</v>
      </c>
      <c r="O101" s="43"/>
      <c r="P101" s="43"/>
      <c r="Q101" s="43"/>
      <c r="R101" s="43"/>
      <c r="S101" s="43"/>
      <c r="T101" s="43"/>
      <c r="U101" s="43"/>
      <c r="V101" s="58">
        <f t="shared" si="5"/>
        <v>0</v>
      </c>
      <c r="W101" s="58">
        <f t="shared" si="6"/>
        <v>0</v>
      </c>
      <c r="X101" s="43"/>
      <c r="Y101" s="58">
        <f t="shared" si="7"/>
        <v>0</v>
      </c>
      <c r="Z101" s="43"/>
    </row>
    <row r="102" spans="2:26" s="9" customFormat="1" ht="18" customHeight="1">
      <c r="B102" s="42"/>
      <c r="C102" s="42"/>
      <c r="D102" s="42"/>
      <c r="E102" s="42"/>
      <c r="F102" s="42"/>
      <c r="G102" s="42"/>
      <c r="H102" s="42"/>
      <c r="I102" s="42"/>
      <c r="J102" s="43"/>
      <c r="K102" s="43"/>
      <c r="L102" s="43"/>
      <c r="M102" s="43"/>
      <c r="N102" s="58">
        <f t="shared" si="4"/>
        <v>0</v>
      </c>
      <c r="O102" s="43"/>
      <c r="P102" s="43"/>
      <c r="Q102" s="43"/>
      <c r="R102" s="43"/>
      <c r="S102" s="43"/>
      <c r="T102" s="43"/>
      <c r="U102" s="43"/>
      <c r="V102" s="58">
        <f t="shared" si="5"/>
        <v>0</v>
      </c>
      <c r="W102" s="58">
        <f t="shared" si="6"/>
        <v>0</v>
      </c>
      <c r="X102" s="43"/>
      <c r="Y102" s="58">
        <f t="shared" si="7"/>
        <v>0</v>
      </c>
      <c r="Z102" s="43"/>
    </row>
    <row r="103" spans="2:26" s="9" customFormat="1" ht="18" customHeight="1">
      <c r="B103" s="42"/>
      <c r="C103" s="42"/>
      <c r="D103" s="42"/>
      <c r="E103" s="42"/>
      <c r="F103" s="42"/>
      <c r="G103" s="42"/>
      <c r="H103" s="42"/>
      <c r="I103" s="42"/>
      <c r="J103" s="43"/>
      <c r="K103" s="43"/>
      <c r="L103" s="43"/>
      <c r="M103" s="43"/>
      <c r="N103" s="58">
        <f t="shared" si="4"/>
        <v>0</v>
      </c>
      <c r="O103" s="43"/>
      <c r="P103" s="43"/>
      <c r="Q103" s="43"/>
      <c r="R103" s="43"/>
      <c r="S103" s="43"/>
      <c r="T103" s="43"/>
      <c r="U103" s="43"/>
      <c r="V103" s="58">
        <f t="shared" si="5"/>
        <v>0</v>
      </c>
      <c r="W103" s="58">
        <f t="shared" si="6"/>
        <v>0</v>
      </c>
      <c r="X103" s="43"/>
      <c r="Y103" s="58">
        <f t="shared" si="7"/>
        <v>0</v>
      </c>
      <c r="Z103" s="43"/>
    </row>
    <row r="104" spans="2:26" s="9" customFormat="1" ht="18" customHeight="1">
      <c r="B104" s="42"/>
      <c r="C104" s="42"/>
      <c r="D104" s="42"/>
      <c r="E104" s="42"/>
      <c r="F104" s="42"/>
      <c r="G104" s="42"/>
      <c r="H104" s="42"/>
      <c r="I104" s="42"/>
      <c r="J104" s="43"/>
      <c r="K104" s="43"/>
      <c r="L104" s="43"/>
      <c r="M104" s="43"/>
      <c r="N104" s="58">
        <f t="shared" si="4"/>
        <v>0</v>
      </c>
      <c r="O104" s="43"/>
      <c r="P104" s="43"/>
      <c r="Q104" s="43"/>
      <c r="R104" s="43"/>
      <c r="S104" s="43"/>
      <c r="T104" s="43"/>
      <c r="U104" s="43"/>
      <c r="V104" s="58">
        <f t="shared" si="5"/>
        <v>0</v>
      </c>
      <c r="W104" s="58">
        <f t="shared" si="6"/>
        <v>0</v>
      </c>
      <c r="X104" s="43"/>
      <c r="Y104" s="58">
        <f t="shared" si="7"/>
        <v>0</v>
      </c>
      <c r="Z104" s="43"/>
    </row>
    <row r="105" spans="2:26" s="9" customFormat="1" ht="18" customHeight="1">
      <c r="B105" s="42"/>
      <c r="C105" s="42"/>
      <c r="D105" s="42"/>
      <c r="E105" s="42"/>
      <c r="F105" s="42"/>
      <c r="G105" s="42"/>
      <c r="H105" s="42"/>
      <c r="I105" s="42"/>
      <c r="J105" s="43"/>
      <c r="K105" s="43"/>
      <c r="L105" s="43"/>
      <c r="M105" s="43"/>
      <c r="N105" s="58">
        <f t="shared" si="4"/>
        <v>0</v>
      </c>
      <c r="O105" s="43"/>
      <c r="P105" s="43"/>
      <c r="Q105" s="43"/>
      <c r="R105" s="43"/>
      <c r="S105" s="43"/>
      <c r="T105" s="43"/>
      <c r="U105" s="43"/>
      <c r="V105" s="58">
        <f t="shared" si="5"/>
        <v>0</v>
      </c>
      <c r="W105" s="58">
        <f t="shared" si="6"/>
        <v>0</v>
      </c>
      <c r="X105" s="43"/>
      <c r="Y105" s="58">
        <f t="shared" si="7"/>
        <v>0</v>
      </c>
      <c r="Z105" s="43"/>
    </row>
    <row r="106" spans="2:26" s="9" customFormat="1" ht="18" customHeight="1">
      <c r="B106" s="42"/>
      <c r="C106" s="42"/>
      <c r="D106" s="42"/>
      <c r="E106" s="42"/>
      <c r="F106" s="42"/>
      <c r="G106" s="42"/>
      <c r="H106" s="42"/>
      <c r="I106" s="42"/>
      <c r="J106" s="43"/>
      <c r="K106" s="43"/>
      <c r="L106" s="43"/>
      <c r="M106" s="43"/>
      <c r="N106" s="58">
        <f t="shared" si="4"/>
        <v>0</v>
      </c>
      <c r="O106" s="43"/>
      <c r="P106" s="43"/>
      <c r="Q106" s="43"/>
      <c r="R106" s="43"/>
      <c r="S106" s="43"/>
      <c r="T106" s="43"/>
      <c r="U106" s="43"/>
      <c r="V106" s="58">
        <f t="shared" si="5"/>
        <v>0</v>
      </c>
      <c r="W106" s="58">
        <f t="shared" si="6"/>
        <v>0</v>
      </c>
      <c r="X106" s="43"/>
      <c r="Y106" s="58">
        <f t="shared" si="7"/>
        <v>0</v>
      </c>
      <c r="Z106" s="43"/>
    </row>
    <row r="107" spans="2:26" ht="14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58">
        <f t="shared" si="4"/>
        <v>0</v>
      </c>
      <c r="O107" s="42"/>
      <c r="P107" s="42"/>
      <c r="Q107" s="42"/>
      <c r="R107" s="42"/>
      <c r="S107" s="42"/>
      <c r="T107" s="42"/>
      <c r="U107" s="42"/>
      <c r="V107" s="58">
        <f t="shared" si="5"/>
        <v>0</v>
      </c>
      <c r="W107" s="58">
        <f t="shared" si="6"/>
        <v>0</v>
      </c>
      <c r="X107" s="42"/>
      <c r="Y107" s="58">
        <f t="shared" si="7"/>
        <v>0</v>
      </c>
      <c r="Z107" s="42"/>
    </row>
    <row r="108" spans="2:26" ht="14.25">
      <c r="N108" s="58">
        <f t="shared" si="4"/>
        <v>0</v>
      </c>
      <c r="V108" s="58">
        <f t="shared" si="5"/>
        <v>0</v>
      </c>
      <c r="W108" s="58">
        <f t="shared" si="6"/>
        <v>0</v>
      </c>
      <c r="Y108" s="58">
        <f t="shared" si="7"/>
        <v>0</v>
      </c>
    </row>
    <row r="109" spans="2:26" ht="14.25">
      <c r="N109" s="58">
        <f t="shared" si="4"/>
        <v>0</v>
      </c>
      <c r="V109" s="58">
        <f t="shared" si="5"/>
        <v>0</v>
      </c>
      <c r="W109" s="58">
        <f t="shared" si="6"/>
        <v>0</v>
      </c>
      <c r="Y109" s="58">
        <f t="shared" si="7"/>
        <v>0</v>
      </c>
    </row>
    <row r="110" spans="2:26" ht="14.25">
      <c r="N110" s="58">
        <f t="shared" si="4"/>
        <v>0</v>
      </c>
      <c r="V110" s="58">
        <f t="shared" si="5"/>
        <v>0</v>
      </c>
      <c r="W110" s="58">
        <f t="shared" si="6"/>
        <v>0</v>
      </c>
      <c r="Y110" s="58">
        <f t="shared" si="7"/>
        <v>0</v>
      </c>
    </row>
  </sheetData>
  <mergeCells count="22">
    <mergeCell ref="Y5:Y6"/>
    <mergeCell ref="T5:T6"/>
    <mergeCell ref="U5:U6"/>
    <mergeCell ref="V5:V6"/>
    <mergeCell ref="W5:W6"/>
    <mergeCell ref="X5:X6"/>
    <mergeCell ref="B4:B6"/>
    <mergeCell ref="C4:J4"/>
    <mergeCell ref="K4:U4"/>
    <mergeCell ref="V4:Z4"/>
    <mergeCell ref="C5:C6"/>
    <mergeCell ref="D5:D6"/>
    <mergeCell ref="E5:E6"/>
    <mergeCell ref="F5:F6"/>
    <mergeCell ref="G5:G6"/>
    <mergeCell ref="H5:H6"/>
    <mergeCell ref="Z5:Z6"/>
    <mergeCell ref="I5:I6"/>
    <mergeCell ref="J5:J6"/>
    <mergeCell ref="K5:K6"/>
    <mergeCell ref="L5:M5"/>
    <mergeCell ref="O5:S5"/>
  </mergeCells>
  <pageMargins left="0.74803149606299213" right="0.74803149606299213" top="0.98425196850393704" bottom="0.98425196850393704" header="0.51181102362204722" footer="0.51181102362204722"/>
  <pageSetup scale="23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Z110"/>
  <sheetViews>
    <sheetView view="pageBreakPreview" zoomScale="80" zoomScaleNormal="77" zoomScaleSheetLayoutView="80" workbookViewId="0">
      <selection activeCell="H3" sqref="H3"/>
    </sheetView>
  </sheetViews>
  <sheetFormatPr defaultRowHeight="12.75"/>
  <cols>
    <col min="2" max="2" width="6.3359375" customWidth="1"/>
    <col min="3" max="3" width="18.47265625" customWidth="1"/>
    <col min="4" max="4" width="18.33984375" customWidth="1"/>
    <col min="5" max="5" width="19.1484375" customWidth="1"/>
    <col min="6" max="6" width="20.765625" customWidth="1"/>
    <col min="7" max="7" width="21.44140625" customWidth="1"/>
    <col min="8" max="8" width="18.87890625" customWidth="1"/>
    <col min="9" max="9" width="14.5625" customWidth="1"/>
    <col min="10" max="10" width="14.6953125" customWidth="1"/>
    <col min="11" max="11" width="18.609375" customWidth="1"/>
    <col min="12" max="12" width="19.55078125" customWidth="1"/>
    <col min="13" max="14" width="16.5859375" customWidth="1"/>
    <col min="15" max="15" width="13.078125" customWidth="1"/>
    <col min="16" max="16" width="15.640625" customWidth="1"/>
    <col min="17" max="17" width="18.87890625" customWidth="1"/>
    <col min="18" max="20" width="14.6953125" customWidth="1"/>
    <col min="21" max="21" width="18.87890625" customWidth="1"/>
    <col min="22" max="24" width="15.640625" customWidth="1"/>
    <col min="25" max="25" width="13.88671875" customWidth="1"/>
    <col min="26" max="26" width="19.1484375" customWidth="1"/>
  </cols>
  <sheetData>
    <row r="1" spans="2:26" s="7" customFormat="1" ht="20.25">
      <c r="B1"/>
      <c r="C1"/>
      <c r="D1"/>
      <c r="E1"/>
      <c r="F1"/>
      <c r="G1"/>
      <c r="H1"/>
      <c r="I1"/>
    </row>
    <row r="2" spans="2:26" ht="25.5">
      <c r="D2" s="22" t="s">
        <v>38</v>
      </c>
      <c r="H2" s="22">
        <v>2024</v>
      </c>
    </row>
    <row r="3" spans="2:26" ht="13.5" thickBot="1"/>
    <row r="4" spans="2:26" s="9" customFormat="1" ht="18" customHeight="1">
      <c r="B4" s="372" t="s">
        <v>17</v>
      </c>
      <c r="C4" s="374" t="s">
        <v>33</v>
      </c>
      <c r="D4" s="375"/>
      <c r="E4" s="375"/>
      <c r="F4" s="375"/>
      <c r="G4" s="375"/>
      <c r="H4" s="375"/>
      <c r="I4" s="375"/>
      <c r="J4" s="376"/>
      <c r="K4" s="374" t="s">
        <v>43</v>
      </c>
      <c r="L4" s="375"/>
      <c r="M4" s="375"/>
      <c r="N4" s="375"/>
      <c r="O4" s="375"/>
      <c r="P4" s="375"/>
      <c r="Q4" s="375"/>
      <c r="R4" s="375"/>
      <c r="S4" s="375"/>
      <c r="T4" s="375"/>
      <c r="U4" s="376"/>
      <c r="V4" s="374" t="s">
        <v>34</v>
      </c>
      <c r="W4" s="375"/>
      <c r="X4" s="375"/>
      <c r="Y4" s="375"/>
      <c r="Z4" s="376"/>
    </row>
    <row r="5" spans="2:26" s="9" customFormat="1" ht="18" customHeight="1">
      <c r="B5" s="373"/>
      <c r="C5" s="377" t="s">
        <v>21</v>
      </c>
      <c r="D5" s="379" t="s">
        <v>18</v>
      </c>
      <c r="E5" s="379" t="s">
        <v>19</v>
      </c>
      <c r="F5" s="379" t="s">
        <v>20</v>
      </c>
      <c r="G5" s="379" t="s">
        <v>22</v>
      </c>
      <c r="H5" s="379" t="s">
        <v>7</v>
      </c>
      <c r="I5" s="379" t="s">
        <v>23</v>
      </c>
      <c r="J5" s="383" t="s">
        <v>32</v>
      </c>
      <c r="K5" s="377" t="s">
        <v>24</v>
      </c>
      <c r="L5" s="385" t="s">
        <v>127</v>
      </c>
      <c r="M5" s="385"/>
      <c r="N5" s="170"/>
      <c r="O5" s="386" t="s">
        <v>128</v>
      </c>
      <c r="P5" s="387"/>
      <c r="Q5" s="387"/>
      <c r="R5" s="387"/>
      <c r="S5" s="388"/>
      <c r="T5" s="389" t="s">
        <v>129</v>
      </c>
      <c r="U5" s="383" t="s">
        <v>31</v>
      </c>
      <c r="V5" s="377" t="s">
        <v>35</v>
      </c>
      <c r="W5" s="379" t="s">
        <v>123</v>
      </c>
      <c r="X5" s="379" t="s">
        <v>124</v>
      </c>
      <c r="Y5" s="379" t="s">
        <v>36</v>
      </c>
      <c r="Z5" s="381" t="s">
        <v>130</v>
      </c>
    </row>
    <row r="6" spans="2:26" s="9" customFormat="1" ht="18" customHeight="1">
      <c r="B6" s="373"/>
      <c r="C6" s="378"/>
      <c r="D6" s="380"/>
      <c r="E6" s="380"/>
      <c r="F6" s="380"/>
      <c r="G6" s="380"/>
      <c r="H6" s="380"/>
      <c r="I6" s="380"/>
      <c r="J6" s="384"/>
      <c r="K6" s="378"/>
      <c r="L6" s="97" t="s">
        <v>25</v>
      </c>
      <c r="M6" s="97" t="s">
        <v>26</v>
      </c>
      <c r="N6" s="97" t="s">
        <v>230</v>
      </c>
      <c r="O6" s="97" t="s">
        <v>27</v>
      </c>
      <c r="P6" s="97" t="s">
        <v>28</v>
      </c>
      <c r="Q6" s="97" t="s">
        <v>29</v>
      </c>
      <c r="R6" s="97" t="s">
        <v>30</v>
      </c>
      <c r="S6" s="97" t="s">
        <v>135</v>
      </c>
      <c r="T6" s="390"/>
      <c r="U6" s="384"/>
      <c r="V6" s="378"/>
      <c r="W6" s="380"/>
      <c r="X6" s="380"/>
      <c r="Y6" s="380"/>
      <c r="Z6" s="382"/>
    </row>
    <row r="7" spans="2:26" s="9" customFormat="1" ht="24" customHeight="1">
      <c r="B7" s="58">
        <v>1</v>
      </c>
      <c r="C7" s="58"/>
      <c r="D7" s="58"/>
      <c r="E7" s="58"/>
      <c r="F7" s="58"/>
      <c r="G7" s="58"/>
      <c r="H7" s="58"/>
      <c r="I7" s="58"/>
      <c r="J7" s="58"/>
      <c r="K7" s="58"/>
      <c r="L7" s="58"/>
      <c r="M7" s="58"/>
      <c r="N7" s="58">
        <f>K7+L7+M7</f>
        <v>0</v>
      </c>
      <c r="O7" s="58"/>
      <c r="P7" s="58"/>
      <c r="Q7" s="58"/>
      <c r="R7" s="58"/>
      <c r="S7" s="58"/>
      <c r="T7" s="96"/>
      <c r="U7" s="58"/>
      <c r="V7" s="58">
        <f>8%*N7</f>
        <v>0</v>
      </c>
      <c r="W7" s="58">
        <f>5%*N7</f>
        <v>0</v>
      </c>
      <c r="X7" s="58"/>
      <c r="Y7" s="58">
        <f>2.5%*N7</f>
        <v>0</v>
      </c>
      <c r="Z7" s="98"/>
    </row>
    <row r="8" spans="2:26" s="9" customFormat="1" ht="18" customHeight="1"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>
        <f t="shared" ref="N8:N71" si="0">K8+L8+M8</f>
        <v>0</v>
      </c>
      <c r="O8" s="58"/>
      <c r="P8" s="58"/>
      <c r="Q8" s="58"/>
      <c r="R8" s="58"/>
      <c r="S8" s="58"/>
      <c r="T8" s="96"/>
      <c r="U8" s="58"/>
      <c r="V8" s="58">
        <f t="shared" ref="V8:V71" si="1">8%*N8</f>
        <v>0</v>
      </c>
      <c r="W8" s="58">
        <f t="shared" ref="W8:W71" si="2">5%*N8</f>
        <v>0</v>
      </c>
      <c r="X8" s="58"/>
      <c r="Y8" s="58">
        <f t="shared" ref="Y8:Y71" si="3">2.5%*N8</f>
        <v>0</v>
      </c>
      <c r="Z8" s="98"/>
    </row>
    <row r="9" spans="2:26" s="9" customFormat="1" ht="18" customHeight="1">
      <c r="B9" s="58"/>
      <c r="C9" s="58"/>
      <c r="D9" s="58"/>
      <c r="E9" s="58"/>
      <c r="F9" s="58"/>
      <c r="G9" s="58"/>
      <c r="H9" s="58"/>
      <c r="I9" s="58"/>
      <c r="J9" s="58"/>
      <c r="K9" s="58"/>
      <c r="L9" s="58"/>
      <c r="M9" s="58"/>
      <c r="N9" s="58">
        <f t="shared" si="0"/>
        <v>0</v>
      </c>
      <c r="O9" s="58"/>
      <c r="P9" s="58"/>
      <c r="Q9" s="58"/>
      <c r="R9" s="58"/>
      <c r="S9" s="58"/>
      <c r="T9" s="96"/>
      <c r="U9" s="58"/>
      <c r="V9" s="58">
        <f t="shared" si="1"/>
        <v>0</v>
      </c>
      <c r="W9" s="58">
        <f t="shared" si="2"/>
        <v>0</v>
      </c>
      <c r="X9" s="58"/>
      <c r="Y9" s="58">
        <f t="shared" si="3"/>
        <v>0</v>
      </c>
      <c r="Z9" s="98"/>
    </row>
    <row r="10" spans="2:26" s="9" customFormat="1" ht="18" customHeight="1">
      <c r="B10" s="58"/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>
        <f t="shared" si="0"/>
        <v>0</v>
      </c>
      <c r="O10" s="58"/>
      <c r="P10" s="58"/>
      <c r="Q10" s="58"/>
      <c r="R10" s="58"/>
      <c r="S10" s="58"/>
      <c r="T10" s="96"/>
      <c r="U10" s="58"/>
      <c r="V10" s="58">
        <f t="shared" si="1"/>
        <v>0</v>
      </c>
      <c r="W10" s="58">
        <f t="shared" si="2"/>
        <v>0</v>
      </c>
      <c r="X10" s="58"/>
      <c r="Y10" s="58">
        <f t="shared" si="3"/>
        <v>0</v>
      </c>
      <c r="Z10" s="98"/>
    </row>
    <row r="11" spans="2:26" s="9" customFormat="1" ht="18" customHeight="1">
      <c r="B11" s="58"/>
      <c r="C11" s="58"/>
      <c r="D11" s="58"/>
      <c r="E11" s="58"/>
      <c r="F11" s="58"/>
      <c r="G11" s="58"/>
      <c r="H11" s="58"/>
      <c r="I11" s="58"/>
      <c r="J11" s="58"/>
      <c r="K11" s="58"/>
      <c r="L11" s="58"/>
      <c r="M11" s="58"/>
      <c r="N11" s="58">
        <f t="shared" si="0"/>
        <v>0</v>
      </c>
      <c r="O11" s="58"/>
      <c r="P11" s="58"/>
      <c r="Q11" s="58"/>
      <c r="R11" s="58"/>
      <c r="S11" s="58"/>
      <c r="T11" s="96"/>
      <c r="U11" s="58"/>
      <c r="V11" s="58">
        <f t="shared" si="1"/>
        <v>0</v>
      </c>
      <c r="W11" s="58">
        <f t="shared" si="2"/>
        <v>0</v>
      </c>
      <c r="X11" s="58"/>
      <c r="Y11" s="58">
        <f t="shared" si="3"/>
        <v>0</v>
      </c>
      <c r="Z11" s="98"/>
    </row>
    <row r="12" spans="2:26" s="9" customFormat="1" ht="18" customHeight="1">
      <c r="B12" s="58"/>
      <c r="C12" s="58"/>
      <c r="D12" s="58"/>
      <c r="E12" s="58"/>
      <c r="F12" s="58"/>
      <c r="G12" s="58"/>
      <c r="H12" s="58"/>
      <c r="I12" s="58"/>
      <c r="J12" s="58"/>
      <c r="K12" s="58"/>
      <c r="L12" s="58"/>
      <c r="M12" s="58"/>
      <c r="N12" s="58">
        <f t="shared" si="0"/>
        <v>0</v>
      </c>
      <c r="O12" s="58"/>
      <c r="P12" s="58"/>
      <c r="Q12" s="58"/>
      <c r="R12" s="58"/>
      <c r="S12" s="58"/>
      <c r="T12" s="96"/>
      <c r="U12" s="58"/>
      <c r="V12" s="58">
        <f t="shared" si="1"/>
        <v>0</v>
      </c>
      <c r="W12" s="58">
        <f t="shared" si="2"/>
        <v>0</v>
      </c>
      <c r="X12" s="58"/>
      <c r="Y12" s="58">
        <f t="shared" si="3"/>
        <v>0</v>
      </c>
      <c r="Z12" s="98"/>
    </row>
    <row r="13" spans="2:26" s="9" customFormat="1" ht="18" customHeight="1"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>
        <f t="shared" si="0"/>
        <v>0</v>
      </c>
      <c r="O13" s="58"/>
      <c r="P13" s="58"/>
      <c r="Q13" s="58"/>
      <c r="R13" s="58"/>
      <c r="S13" s="58"/>
      <c r="T13" s="96"/>
      <c r="U13" s="58"/>
      <c r="V13" s="58">
        <f t="shared" si="1"/>
        <v>0</v>
      </c>
      <c r="W13" s="58">
        <f t="shared" si="2"/>
        <v>0</v>
      </c>
      <c r="X13" s="58"/>
      <c r="Y13" s="58">
        <f t="shared" si="3"/>
        <v>0</v>
      </c>
      <c r="Z13" s="98"/>
    </row>
    <row r="14" spans="2:26" s="9" customFormat="1" ht="18" customHeight="1"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8"/>
      <c r="N14" s="58">
        <f t="shared" si="0"/>
        <v>0</v>
      </c>
      <c r="O14" s="58"/>
      <c r="P14" s="58"/>
      <c r="Q14" s="58"/>
      <c r="R14" s="58"/>
      <c r="S14" s="58"/>
      <c r="T14" s="96"/>
      <c r="U14" s="58"/>
      <c r="V14" s="58">
        <f t="shared" si="1"/>
        <v>0</v>
      </c>
      <c r="W14" s="58">
        <f t="shared" si="2"/>
        <v>0</v>
      </c>
      <c r="X14" s="58"/>
      <c r="Y14" s="58">
        <f t="shared" si="3"/>
        <v>0</v>
      </c>
      <c r="Z14" s="98"/>
    </row>
    <row r="15" spans="2:26" s="9" customFormat="1" ht="18" customHeight="1"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8"/>
      <c r="N15" s="58">
        <f t="shared" si="0"/>
        <v>0</v>
      </c>
      <c r="O15" s="58"/>
      <c r="P15" s="58"/>
      <c r="Q15" s="58"/>
      <c r="R15" s="58"/>
      <c r="S15" s="58"/>
      <c r="T15" s="96"/>
      <c r="U15" s="58"/>
      <c r="V15" s="58">
        <f t="shared" si="1"/>
        <v>0</v>
      </c>
      <c r="W15" s="58">
        <f t="shared" si="2"/>
        <v>0</v>
      </c>
      <c r="X15" s="58"/>
      <c r="Y15" s="58">
        <f t="shared" si="3"/>
        <v>0</v>
      </c>
      <c r="Z15" s="98"/>
    </row>
    <row r="16" spans="2:26" s="9" customFormat="1" ht="18" customHeight="1"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8"/>
      <c r="N16" s="58">
        <f t="shared" si="0"/>
        <v>0</v>
      </c>
      <c r="O16" s="58"/>
      <c r="P16" s="58"/>
      <c r="Q16" s="58"/>
      <c r="R16" s="58"/>
      <c r="S16" s="58"/>
      <c r="T16" s="96"/>
      <c r="U16" s="58"/>
      <c r="V16" s="58">
        <f t="shared" si="1"/>
        <v>0</v>
      </c>
      <c r="W16" s="58">
        <f t="shared" si="2"/>
        <v>0</v>
      </c>
      <c r="X16" s="58"/>
      <c r="Y16" s="58">
        <f t="shared" si="3"/>
        <v>0</v>
      </c>
      <c r="Z16" s="98"/>
    </row>
    <row r="17" spans="2:26" s="9" customFormat="1" ht="18" customHeight="1"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8"/>
      <c r="N17" s="58">
        <f t="shared" si="0"/>
        <v>0</v>
      </c>
      <c r="O17" s="58"/>
      <c r="P17" s="58"/>
      <c r="Q17" s="58"/>
      <c r="R17" s="58"/>
      <c r="S17" s="58"/>
      <c r="T17" s="96"/>
      <c r="U17" s="58"/>
      <c r="V17" s="58">
        <f t="shared" si="1"/>
        <v>0</v>
      </c>
      <c r="W17" s="58">
        <f t="shared" si="2"/>
        <v>0</v>
      </c>
      <c r="X17" s="58"/>
      <c r="Y17" s="58">
        <f t="shared" si="3"/>
        <v>0</v>
      </c>
      <c r="Z17" s="98"/>
    </row>
    <row r="18" spans="2:26" s="9" customFormat="1" ht="18" customHeight="1"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>
        <f t="shared" si="0"/>
        <v>0</v>
      </c>
      <c r="O18" s="58"/>
      <c r="P18" s="58"/>
      <c r="Q18" s="58"/>
      <c r="R18" s="58"/>
      <c r="S18" s="58"/>
      <c r="T18" s="96"/>
      <c r="U18" s="58"/>
      <c r="V18" s="58">
        <f t="shared" si="1"/>
        <v>0</v>
      </c>
      <c r="W18" s="58">
        <f t="shared" si="2"/>
        <v>0</v>
      </c>
      <c r="X18" s="58"/>
      <c r="Y18" s="58">
        <f t="shared" si="3"/>
        <v>0</v>
      </c>
      <c r="Z18" s="98"/>
    </row>
    <row r="19" spans="2:26" s="9" customFormat="1" ht="18" customHeight="1">
      <c r="B19" s="58"/>
      <c r="C19" s="58"/>
      <c r="D19" s="58"/>
      <c r="E19" s="58"/>
      <c r="F19" s="58"/>
      <c r="G19" s="58"/>
      <c r="H19" s="58"/>
      <c r="I19" s="58"/>
      <c r="J19" s="58"/>
      <c r="K19" s="58"/>
      <c r="L19" s="58"/>
      <c r="M19" s="58"/>
      <c r="N19" s="58">
        <f t="shared" si="0"/>
        <v>0</v>
      </c>
      <c r="O19" s="58"/>
      <c r="P19" s="58"/>
      <c r="Q19" s="58"/>
      <c r="R19" s="58"/>
      <c r="S19" s="58"/>
      <c r="T19" s="96"/>
      <c r="U19" s="58"/>
      <c r="V19" s="58">
        <f t="shared" si="1"/>
        <v>0</v>
      </c>
      <c r="W19" s="58">
        <f t="shared" si="2"/>
        <v>0</v>
      </c>
      <c r="X19" s="58"/>
      <c r="Y19" s="58">
        <f t="shared" si="3"/>
        <v>0</v>
      </c>
      <c r="Z19" s="98"/>
    </row>
    <row r="20" spans="2:26" s="9" customFormat="1" ht="18" customHeight="1">
      <c r="B20" s="58"/>
      <c r="C20" s="58"/>
      <c r="D20" s="58"/>
      <c r="E20" s="58"/>
      <c r="F20" s="58"/>
      <c r="G20" s="58"/>
      <c r="H20" s="58"/>
      <c r="I20" s="58"/>
      <c r="J20" s="58"/>
      <c r="K20" s="58"/>
      <c r="L20" s="58"/>
      <c r="M20" s="58"/>
      <c r="N20" s="58">
        <f t="shared" si="0"/>
        <v>0</v>
      </c>
      <c r="O20" s="58"/>
      <c r="P20" s="58"/>
      <c r="Q20" s="58"/>
      <c r="R20" s="58"/>
      <c r="S20" s="58"/>
      <c r="T20" s="96"/>
      <c r="U20" s="58"/>
      <c r="V20" s="58">
        <f t="shared" si="1"/>
        <v>0</v>
      </c>
      <c r="W20" s="58">
        <f t="shared" si="2"/>
        <v>0</v>
      </c>
      <c r="X20" s="58"/>
      <c r="Y20" s="58">
        <f t="shared" si="3"/>
        <v>0</v>
      </c>
      <c r="Z20" s="98"/>
    </row>
    <row r="21" spans="2:26" s="9" customFormat="1" ht="18" customHeight="1"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>
        <f t="shared" si="0"/>
        <v>0</v>
      </c>
      <c r="O21" s="58"/>
      <c r="P21" s="58"/>
      <c r="Q21" s="58"/>
      <c r="R21" s="58"/>
      <c r="S21" s="58"/>
      <c r="T21" s="96"/>
      <c r="U21" s="58"/>
      <c r="V21" s="58">
        <f t="shared" si="1"/>
        <v>0</v>
      </c>
      <c r="W21" s="58">
        <f t="shared" si="2"/>
        <v>0</v>
      </c>
      <c r="X21" s="58"/>
      <c r="Y21" s="58">
        <f t="shared" si="3"/>
        <v>0</v>
      </c>
      <c r="Z21" s="98"/>
    </row>
    <row r="22" spans="2:26" s="9" customFormat="1" ht="18" customHeight="1">
      <c r="B22" s="58"/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>
        <f t="shared" si="0"/>
        <v>0</v>
      </c>
      <c r="O22" s="58"/>
      <c r="P22" s="58"/>
      <c r="Q22" s="58"/>
      <c r="R22" s="58"/>
      <c r="S22" s="58"/>
      <c r="T22" s="96"/>
      <c r="U22" s="58"/>
      <c r="V22" s="58">
        <f t="shared" si="1"/>
        <v>0</v>
      </c>
      <c r="W22" s="58">
        <f t="shared" si="2"/>
        <v>0</v>
      </c>
      <c r="X22" s="58"/>
      <c r="Y22" s="58">
        <f t="shared" si="3"/>
        <v>0</v>
      </c>
      <c r="Z22" s="98"/>
    </row>
    <row r="23" spans="2:26" s="9" customFormat="1" ht="18" customHeight="1">
      <c r="B23" s="58"/>
      <c r="C23" s="58"/>
      <c r="D23" s="58"/>
      <c r="E23" s="58"/>
      <c r="F23" s="58"/>
      <c r="G23" s="58"/>
      <c r="H23" s="58"/>
      <c r="I23" s="58"/>
      <c r="J23" s="58"/>
      <c r="K23" s="58"/>
      <c r="L23" s="58"/>
      <c r="M23" s="58"/>
      <c r="N23" s="58">
        <f t="shared" si="0"/>
        <v>0</v>
      </c>
      <c r="O23" s="58"/>
      <c r="P23" s="58"/>
      <c r="Q23" s="58"/>
      <c r="R23" s="58"/>
      <c r="S23" s="58"/>
      <c r="T23" s="96"/>
      <c r="U23" s="58"/>
      <c r="V23" s="58">
        <f t="shared" si="1"/>
        <v>0</v>
      </c>
      <c r="W23" s="58">
        <f t="shared" si="2"/>
        <v>0</v>
      </c>
      <c r="X23" s="58"/>
      <c r="Y23" s="58">
        <f t="shared" si="3"/>
        <v>0</v>
      </c>
      <c r="Z23" s="98"/>
    </row>
    <row r="24" spans="2:26" s="9" customFormat="1" ht="18" customHeight="1">
      <c r="B24" s="58"/>
      <c r="C24" s="58"/>
      <c r="D24" s="58"/>
      <c r="E24" s="58"/>
      <c r="F24" s="58"/>
      <c r="G24" s="58"/>
      <c r="H24" s="58"/>
      <c r="I24" s="58"/>
      <c r="J24" s="58"/>
      <c r="K24" s="58"/>
      <c r="L24" s="58"/>
      <c r="M24" s="58"/>
      <c r="N24" s="58">
        <f t="shared" si="0"/>
        <v>0</v>
      </c>
      <c r="O24" s="58"/>
      <c r="P24" s="58"/>
      <c r="Q24" s="58"/>
      <c r="R24" s="58"/>
      <c r="S24" s="58"/>
      <c r="T24" s="96"/>
      <c r="U24" s="58"/>
      <c r="V24" s="58">
        <f t="shared" si="1"/>
        <v>0</v>
      </c>
      <c r="W24" s="58">
        <f t="shared" si="2"/>
        <v>0</v>
      </c>
      <c r="X24" s="58"/>
      <c r="Y24" s="58">
        <f t="shared" si="3"/>
        <v>0</v>
      </c>
      <c r="Z24" s="98"/>
    </row>
    <row r="25" spans="2:26" s="9" customFormat="1" ht="18" customHeight="1"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8"/>
      <c r="N25" s="58">
        <f t="shared" si="0"/>
        <v>0</v>
      </c>
      <c r="O25" s="58"/>
      <c r="P25" s="58"/>
      <c r="Q25" s="58"/>
      <c r="R25" s="58"/>
      <c r="S25" s="58"/>
      <c r="T25" s="96"/>
      <c r="U25" s="58"/>
      <c r="V25" s="58">
        <f t="shared" si="1"/>
        <v>0</v>
      </c>
      <c r="W25" s="58">
        <f t="shared" si="2"/>
        <v>0</v>
      </c>
      <c r="X25" s="58"/>
      <c r="Y25" s="58">
        <f t="shared" si="3"/>
        <v>0</v>
      </c>
      <c r="Z25" s="98"/>
    </row>
    <row r="26" spans="2:26" s="9" customFormat="1" ht="18" customHeight="1"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8"/>
      <c r="N26" s="58">
        <f t="shared" si="0"/>
        <v>0</v>
      </c>
      <c r="O26" s="58"/>
      <c r="P26" s="58"/>
      <c r="Q26" s="58"/>
      <c r="R26" s="58"/>
      <c r="S26" s="58"/>
      <c r="T26" s="96"/>
      <c r="U26" s="58"/>
      <c r="V26" s="58">
        <f t="shared" si="1"/>
        <v>0</v>
      </c>
      <c r="W26" s="58">
        <f t="shared" si="2"/>
        <v>0</v>
      </c>
      <c r="X26" s="58"/>
      <c r="Y26" s="58">
        <f t="shared" si="3"/>
        <v>0</v>
      </c>
      <c r="Z26" s="98"/>
    </row>
    <row r="27" spans="2:26" s="9" customFormat="1" ht="18" customHeight="1"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>
        <f t="shared" si="0"/>
        <v>0</v>
      </c>
      <c r="O27" s="58"/>
      <c r="P27" s="58"/>
      <c r="Q27" s="58"/>
      <c r="R27" s="58"/>
      <c r="S27" s="58"/>
      <c r="T27" s="96"/>
      <c r="U27" s="58"/>
      <c r="V27" s="58">
        <f t="shared" si="1"/>
        <v>0</v>
      </c>
      <c r="W27" s="58">
        <f t="shared" si="2"/>
        <v>0</v>
      </c>
      <c r="X27" s="58"/>
      <c r="Y27" s="58">
        <f t="shared" si="3"/>
        <v>0</v>
      </c>
      <c r="Z27" s="98"/>
    </row>
    <row r="28" spans="2:26" s="9" customFormat="1" ht="18" customHeight="1"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8"/>
      <c r="N28" s="58">
        <f t="shared" si="0"/>
        <v>0</v>
      </c>
      <c r="O28" s="58"/>
      <c r="P28" s="58"/>
      <c r="Q28" s="58"/>
      <c r="R28" s="58"/>
      <c r="S28" s="58"/>
      <c r="T28" s="96"/>
      <c r="U28" s="58"/>
      <c r="V28" s="58">
        <f t="shared" si="1"/>
        <v>0</v>
      </c>
      <c r="W28" s="58">
        <f t="shared" si="2"/>
        <v>0</v>
      </c>
      <c r="X28" s="58"/>
      <c r="Y28" s="58">
        <f t="shared" si="3"/>
        <v>0</v>
      </c>
      <c r="Z28" s="98"/>
    </row>
    <row r="29" spans="2:26" s="9" customFormat="1" ht="18" customHeight="1"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8"/>
      <c r="N29" s="58">
        <f t="shared" si="0"/>
        <v>0</v>
      </c>
      <c r="O29" s="58"/>
      <c r="P29" s="58"/>
      <c r="Q29" s="58"/>
      <c r="R29" s="58"/>
      <c r="S29" s="58"/>
      <c r="T29" s="96"/>
      <c r="U29" s="58"/>
      <c r="V29" s="58">
        <f t="shared" si="1"/>
        <v>0</v>
      </c>
      <c r="W29" s="58">
        <f t="shared" si="2"/>
        <v>0</v>
      </c>
      <c r="X29" s="58"/>
      <c r="Y29" s="58">
        <f t="shared" si="3"/>
        <v>0</v>
      </c>
      <c r="Z29" s="98"/>
    </row>
    <row r="30" spans="2:26" s="9" customFormat="1" ht="18" customHeight="1"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8"/>
      <c r="N30" s="58">
        <f t="shared" si="0"/>
        <v>0</v>
      </c>
      <c r="O30" s="58"/>
      <c r="P30" s="58"/>
      <c r="Q30" s="58"/>
      <c r="R30" s="58"/>
      <c r="S30" s="58"/>
      <c r="T30" s="96"/>
      <c r="U30" s="58"/>
      <c r="V30" s="58">
        <f t="shared" si="1"/>
        <v>0</v>
      </c>
      <c r="W30" s="58">
        <f t="shared" si="2"/>
        <v>0</v>
      </c>
      <c r="X30" s="58"/>
      <c r="Y30" s="58">
        <f t="shared" si="3"/>
        <v>0</v>
      </c>
      <c r="Z30" s="98"/>
    </row>
    <row r="31" spans="2:26" s="9" customFormat="1" ht="18" customHeight="1"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8"/>
      <c r="N31" s="58">
        <f t="shared" si="0"/>
        <v>0</v>
      </c>
      <c r="O31" s="58"/>
      <c r="P31" s="58"/>
      <c r="Q31" s="58"/>
      <c r="R31" s="58"/>
      <c r="S31" s="58"/>
      <c r="T31" s="96"/>
      <c r="U31" s="58"/>
      <c r="V31" s="58">
        <f t="shared" si="1"/>
        <v>0</v>
      </c>
      <c r="W31" s="58">
        <f t="shared" si="2"/>
        <v>0</v>
      </c>
      <c r="X31" s="58"/>
      <c r="Y31" s="58">
        <f t="shared" si="3"/>
        <v>0</v>
      </c>
      <c r="Z31" s="98"/>
    </row>
    <row r="32" spans="2:26" s="9" customFormat="1" ht="18" customHeight="1"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8"/>
      <c r="N32" s="58">
        <f t="shared" si="0"/>
        <v>0</v>
      </c>
      <c r="O32" s="58"/>
      <c r="P32" s="58"/>
      <c r="Q32" s="58"/>
      <c r="R32" s="58"/>
      <c r="S32" s="58"/>
      <c r="T32" s="96"/>
      <c r="U32" s="58"/>
      <c r="V32" s="58">
        <f t="shared" si="1"/>
        <v>0</v>
      </c>
      <c r="W32" s="58">
        <f t="shared" si="2"/>
        <v>0</v>
      </c>
      <c r="X32" s="58"/>
      <c r="Y32" s="58">
        <f t="shared" si="3"/>
        <v>0</v>
      </c>
      <c r="Z32" s="98"/>
    </row>
    <row r="33" spans="2:26" s="9" customFormat="1" ht="18" customHeight="1"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8"/>
      <c r="N33" s="58">
        <f t="shared" si="0"/>
        <v>0</v>
      </c>
      <c r="O33" s="58"/>
      <c r="P33" s="58"/>
      <c r="Q33" s="58"/>
      <c r="R33" s="58"/>
      <c r="S33" s="58"/>
      <c r="T33" s="96"/>
      <c r="U33" s="58"/>
      <c r="V33" s="58">
        <f t="shared" si="1"/>
        <v>0</v>
      </c>
      <c r="W33" s="58">
        <f t="shared" si="2"/>
        <v>0</v>
      </c>
      <c r="X33" s="58"/>
      <c r="Y33" s="58">
        <f t="shared" si="3"/>
        <v>0</v>
      </c>
      <c r="Z33" s="98"/>
    </row>
    <row r="34" spans="2:26" s="9" customFormat="1" ht="18" customHeight="1"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8"/>
      <c r="N34" s="58">
        <f t="shared" si="0"/>
        <v>0</v>
      </c>
      <c r="O34" s="58"/>
      <c r="P34" s="58"/>
      <c r="Q34" s="58"/>
      <c r="R34" s="58"/>
      <c r="S34" s="58"/>
      <c r="T34" s="96"/>
      <c r="U34" s="58"/>
      <c r="V34" s="58">
        <f t="shared" si="1"/>
        <v>0</v>
      </c>
      <c r="W34" s="58">
        <f t="shared" si="2"/>
        <v>0</v>
      </c>
      <c r="X34" s="58"/>
      <c r="Y34" s="58">
        <f t="shared" si="3"/>
        <v>0</v>
      </c>
      <c r="Z34" s="98"/>
    </row>
    <row r="35" spans="2:26" s="9" customFormat="1" ht="18" customHeight="1"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8"/>
      <c r="N35" s="58">
        <f t="shared" si="0"/>
        <v>0</v>
      </c>
      <c r="O35" s="58"/>
      <c r="P35" s="58"/>
      <c r="Q35" s="58"/>
      <c r="R35" s="58"/>
      <c r="S35" s="58"/>
      <c r="T35" s="96"/>
      <c r="U35" s="58"/>
      <c r="V35" s="58">
        <f t="shared" si="1"/>
        <v>0</v>
      </c>
      <c r="W35" s="58">
        <f t="shared" si="2"/>
        <v>0</v>
      </c>
      <c r="X35" s="58"/>
      <c r="Y35" s="58">
        <f t="shared" si="3"/>
        <v>0</v>
      </c>
      <c r="Z35" s="98"/>
    </row>
    <row r="36" spans="2:26" s="9" customFormat="1" ht="18" customHeight="1"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8"/>
      <c r="N36" s="58">
        <f t="shared" si="0"/>
        <v>0</v>
      </c>
      <c r="O36" s="58"/>
      <c r="P36" s="58"/>
      <c r="Q36" s="58"/>
      <c r="R36" s="58"/>
      <c r="S36" s="58"/>
      <c r="T36" s="96"/>
      <c r="U36" s="58"/>
      <c r="V36" s="58">
        <f t="shared" si="1"/>
        <v>0</v>
      </c>
      <c r="W36" s="58">
        <f t="shared" si="2"/>
        <v>0</v>
      </c>
      <c r="X36" s="58"/>
      <c r="Y36" s="58">
        <f t="shared" si="3"/>
        <v>0</v>
      </c>
      <c r="Z36" s="98"/>
    </row>
    <row r="37" spans="2:26" s="9" customFormat="1" ht="18" customHeight="1"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8"/>
      <c r="N37" s="58">
        <f t="shared" si="0"/>
        <v>0</v>
      </c>
      <c r="O37" s="58"/>
      <c r="P37" s="58"/>
      <c r="Q37" s="58"/>
      <c r="R37" s="58"/>
      <c r="S37" s="58"/>
      <c r="T37" s="96"/>
      <c r="U37" s="58"/>
      <c r="V37" s="58">
        <f t="shared" si="1"/>
        <v>0</v>
      </c>
      <c r="W37" s="58">
        <f t="shared" si="2"/>
        <v>0</v>
      </c>
      <c r="X37" s="58"/>
      <c r="Y37" s="58">
        <f t="shared" si="3"/>
        <v>0</v>
      </c>
      <c r="Z37" s="98"/>
    </row>
    <row r="38" spans="2:26" s="9" customFormat="1" ht="18" customHeight="1"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>
        <f t="shared" si="0"/>
        <v>0</v>
      </c>
      <c r="O38" s="58"/>
      <c r="P38" s="58"/>
      <c r="Q38" s="58"/>
      <c r="R38" s="58"/>
      <c r="S38" s="58"/>
      <c r="T38" s="96"/>
      <c r="U38" s="58"/>
      <c r="V38" s="58">
        <f t="shared" si="1"/>
        <v>0</v>
      </c>
      <c r="W38" s="58">
        <f t="shared" si="2"/>
        <v>0</v>
      </c>
      <c r="X38" s="58"/>
      <c r="Y38" s="58">
        <f t="shared" si="3"/>
        <v>0</v>
      </c>
      <c r="Z38" s="98"/>
    </row>
    <row r="39" spans="2:26" s="9" customFormat="1" ht="18" customHeight="1"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>
        <f t="shared" si="0"/>
        <v>0</v>
      </c>
      <c r="O39" s="58"/>
      <c r="P39" s="58"/>
      <c r="Q39" s="58"/>
      <c r="R39" s="58"/>
      <c r="S39" s="58"/>
      <c r="T39" s="96"/>
      <c r="U39" s="58"/>
      <c r="V39" s="58">
        <f t="shared" si="1"/>
        <v>0</v>
      </c>
      <c r="W39" s="58">
        <f t="shared" si="2"/>
        <v>0</v>
      </c>
      <c r="X39" s="58"/>
      <c r="Y39" s="58">
        <f t="shared" si="3"/>
        <v>0</v>
      </c>
      <c r="Z39" s="98"/>
    </row>
    <row r="40" spans="2:26" s="9" customFormat="1" ht="18" customHeight="1"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8"/>
      <c r="N40" s="58">
        <f t="shared" si="0"/>
        <v>0</v>
      </c>
      <c r="O40" s="58"/>
      <c r="P40" s="58"/>
      <c r="Q40" s="58"/>
      <c r="R40" s="58"/>
      <c r="S40" s="58"/>
      <c r="T40" s="96"/>
      <c r="U40" s="58"/>
      <c r="V40" s="58">
        <f t="shared" si="1"/>
        <v>0</v>
      </c>
      <c r="W40" s="58">
        <f t="shared" si="2"/>
        <v>0</v>
      </c>
      <c r="X40" s="58"/>
      <c r="Y40" s="58">
        <f t="shared" si="3"/>
        <v>0</v>
      </c>
      <c r="Z40" s="98"/>
    </row>
    <row r="41" spans="2:26" s="9" customFormat="1" ht="18" customHeight="1"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8"/>
      <c r="N41" s="58">
        <f t="shared" si="0"/>
        <v>0</v>
      </c>
      <c r="O41" s="58"/>
      <c r="P41" s="58"/>
      <c r="Q41" s="58"/>
      <c r="R41" s="58"/>
      <c r="S41" s="58"/>
      <c r="T41" s="96"/>
      <c r="U41" s="58"/>
      <c r="V41" s="58">
        <f t="shared" si="1"/>
        <v>0</v>
      </c>
      <c r="W41" s="58">
        <f t="shared" si="2"/>
        <v>0</v>
      </c>
      <c r="X41" s="58"/>
      <c r="Y41" s="58">
        <f t="shared" si="3"/>
        <v>0</v>
      </c>
      <c r="Z41" s="98"/>
    </row>
    <row r="42" spans="2:26" s="9" customFormat="1" ht="18" customHeight="1"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8"/>
      <c r="N42" s="58">
        <f t="shared" si="0"/>
        <v>0</v>
      </c>
      <c r="O42" s="58"/>
      <c r="P42" s="58"/>
      <c r="Q42" s="58"/>
      <c r="R42" s="58"/>
      <c r="S42" s="58"/>
      <c r="T42" s="96"/>
      <c r="U42" s="58"/>
      <c r="V42" s="58">
        <f t="shared" si="1"/>
        <v>0</v>
      </c>
      <c r="W42" s="58">
        <f t="shared" si="2"/>
        <v>0</v>
      </c>
      <c r="X42" s="58"/>
      <c r="Y42" s="58">
        <f t="shared" si="3"/>
        <v>0</v>
      </c>
      <c r="Z42" s="98"/>
    </row>
    <row r="43" spans="2:26" s="9" customFormat="1" ht="18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8"/>
      <c r="N43" s="58">
        <f t="shared" si="0"/>
        <v>0</v>
      </c>
      <c r="O43" s="58"/>
      <c r="P43" s="58"/>
      <c r="Q43" s="58"/>
      <c r="R43" s="58"/>
      <c r="S43" s="58"/>
      <c r="T43" s="96"/>
      <c r="U43" s="58"/>
      <c r="V43" s="58">
        <f t="shared" si="1"/>
        <v>0</v>
      </c>
      <c r="W43" s="58">
        <f t="shared" si="2"/>
        <v>0</v>
      </c>
      <c r="X43" s="58"/>
      <c r="Y43" s="58">
        <f t="shared" si="3"/>
        <v>0</v>
      </c>
      <c r="Z43" s="98"/>
    </row>
    <row r="44" spans="2:26" s="9" customFormat="1" ht="18" customHeight="1"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>
        <f t="shared" si="0"/>
        <v>0</v>
      </c>
      <c r="O44" s="58"/>
      <c r="P44" s="58"/>
      <c r="Q44" s="58"/>
      <c r="R44" s="58"/>
      <c r="S44" s="58"/>
      <c r="T44" s="96"/>
      <c r="U44" s="58"/>
      <c r="V44" s="58">
        <f t="shared" si="1"/>
        <v>0</v>
      </c>
      <c r="W44" s="58">
        <f t="shared" si="2"/>
        <v>0</v>
      </c>
      <c r="X44" s="58"/>
      <c r="Y44" s="58">
        <f t="shared" si="3"/>
        <v>0</v>
      </c>
      <c r="Z44" s="98"/>
    </row>
    <row r="45" spans="2:26" s="9" customFormat="1" ht="18" customHeight="1"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>
        <f t="shared" si="0"/>
        <v>0</v>
      </c>
      <c r="O45" s="58"/>
      <c r="P45" s="58"/>
      <c r="Q45" s="58"/>
      <c r="R45" s="58"/>
      <c r="S45" s="58"/>
      <c r="T45" s="96"/>
      <c r="U45" s="58"/>
      <c r="V45" s="58">
        <f t="shared" si="1"/>
        <v>0</v>
      </c>
      <c r="W45" s="58">
        <f t="shared" si="2"/>
        <v>0</v>
      </c>
      <c r="X45" s="58"/>
      <c r="Y45" s="58">
        <f t="shared" si="3"/>
        <v>0</v>
      </c>
      <c r="Z45" s="98"/>
    </row>
    <row r="46" spans="2:26" s="9" customFormat="1" ht="18" customHeight="1"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8"/>
      <c r="N46" s="58">
        <f t="shared" si="0"/>
        <v>0</v>
      </c>
      <c r="O46" s="58"/>
      <c r="P46" s="58"/>
      <c r="Q46" s="58"/>
      <c r="R46" s="58"/>
      <c r="S46" s="58"/>
      <c r="T46" s="96"/>
      <c r="U46" s="58"/>
      <c r="V46" s="58">
        <f t="shared" si="1"/>
        <v>0</v>
      </c>
      <c r="W46" s="58">
        <f t="shared" si="2"/>
        <v>0</v>
      </c>
      <c r="X46" s="58"/>
      <c r="Y46" s="58">
        <f t="shared" si="3"/>
        <v>0</v>
      </c>
      <c r="Z46" s="98"/>
    </row>
    <row r="47" spans="2:26" s="9" customFormat="1" ht="18" customHeight="1"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>
        <f t="shared" si="0"/>
        <v>0</v>
      </c>
      <c r="O47" s="58"/>
      <c r="P47" s="58"/>
      <c r="Q47" s="58"/>
      <c r="R47" s="58"/>
      <c r="S47" s="58"/>
      <c r="T47" s="96"/>
      <c r="U47" s="58"/>
      <c r="V47" s="58">
        <f t="shared" si="1"/>
        <v>0</v>
      </c>
      <c r="W47" s="58">
        <f t="shared" si="2"/>
        <v>0</v>
      </c>
      <c r="X47" s="58"/>
      <c r="Y47" s="58">
        <f t="shared" si="3"/>
        <v>0</v>
      </c>
      <c r="Z47" s="98"/>
    </row>
    <row r="48" spans="2:26" s="9" customFormat="1" ht="18" customHeight="1"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8"/>
      <c r="N48" s="58">
        <f t="shared" si="0"/>
        <v>0</v>
      </c>
      <c r="O48" s="58"/>
      <c r="P48" s="58"/>
      <c r="Q48" s="58"/>
      <c r="R48" s="58"/>
      <c r="S48" s="58"/>
      <c r="T48" s="96"/>
      <c r="U48" s="58"/>
      <c r="V48" s="58">
        <f t="shared" si="1"/>
        <v>0</v>
      </c>
      <c r="W48" s="58">
        <f t="shared" si="2"/>
        <v>0</v>
      </c>
      <c r="X48" s="58"/>
      <c r="Y48" s="58">
        <f t="shared" si="3"/>
        <v>0</v>
      </c>
      <c r="Z48" s="98"/>
    </row>
    <row r="49" spans="2:26" s="9" customFormat="1" ht="18" customHeight="1"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>
        <f t="shared" si="0"/>
        <v>0</v>
      </c>
      <c r="O49" s="58"/>
      <c r="P49" s="58"/>
      <c r="Q49" s="58"/>
      <c r="R49" s="58"/>
      <c r="S49" s="58"/>
      <c r="T49" s="96"/>
      <c r="U49" s="58"/>
      <c r="V49" s="58">
        <f t="shared" si="1"/>
        <v>0</v>
      </c>
      <c r="W49" s="58">
        <f t="shared" si="2"/>
        <v>0</v>
      </c>
      <c r="X49" s="58"/>
      <c r="Y49" s="58">
        <f t="shared" si="3"/>
        <v>0</v>
      </c>
      <c r="Z49" s="98"/>
    </row>
    <row r="50" spans="2:26" s="9" customFormat="1" ht="18" customHeight="1"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8"/>
      <c r="N50" s="58">
        <f t="shared" si="0"/>
        <v>0</v>
      </c>
      <c r="O50" s="58"/>
      <c r="P50" s="58"/>
      <c r="Q50" s="58"/>
      <c r="R50" s="58"/>
      <c r="S50" s="58"/>
      <c r="T50" s="96"/>
      <c r="U50" s="58"/>
      <c r="V50" s="58">
        <f t="shared" si="1"/>
        <v>0</v>
      </c>
      <c r="W50" s="58">
        <f t="shared" si="2"/>
        <v>0</v>
      </c>
      <c r="X50" s="58"/>
      <c r="Y50" s="58">
        <f t="shared" si="3"/>
        <v>0</v>
      </c>
      <c r="Z50" s="98"/>
    </row>
    <row r="51" spans="2:26" s="9" customFormat="1" ht="18" customHeight="1"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8"/>
      <c r="N51" s="58">
        <f t="shared" si="0"/>
        <v>0</v>
      </c>
      <c r="O51" s="58"/>
      <c r="P51" s="58"/>
      <c r="Q51" s="58"/>
      <c r="R51" s="58"/>
      <c r="S51" s="58"/>
      <c r="T51" s="96"/>
      <c r="U51" s="58"/>
      <c r="V51" s="58">
        <f t="shared" si="1"/>
        <v>0</v>
      </c>
      <c r="W51" s="58">
        <f t="shared" si="2"/>
        <v>0</v>
      </c>
      <c r="X51" s="58"/>
      <c r="Y51" s="58">
        <f t="shared" si="3"/>
        <v>0</v>
      </c>
      <c r="Z51" s="98"/>
    </row>
    <row r="52" spans="2:26" s="9" customFormat="1" ht="18" customHeight="1"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8"/>
      <c r="N52" s="58">
        <f t="shared" si="0"/>
        <v>0</v>
      </c>
      <c r="O52" s="58"/>
      <c r="P52" s="58"/>
      <c r="Q52" s="58"/>
      <c r="R52" s="58"/>
      <c r="S52" s="58"/>
      <c r="T52" s="96"/>
      <c r="U52" s="58"/>
      <c r="V52" s="58">
        <f t="shared" si="1"/>
        <v>0</v>
      </c>
      <c r="W52" s="58">
        <f t="shared" si="2"/>
        <v>0</v>
      </c>
      <c r="X52" s="58"/>
      <c r="Y52" s="58">
        <f t="shared" si="3"/>
        <v>0</v>
      </c>
      <c r="Z52" s="98"/>
    </row>
    <row r="53" spans="2:26" s="9" customFormat="1" ht="18" customHeight="1"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8"/>
      <c r="N53" s="58">
        <f t="shared" si="0"/>
        <v>0</v>
      </c>
      <c r="O53" s="58"/>
      <c r="P53" s="58"/>
      <c r="Q53" s="58"/>
      <c r="R53" s="58"/>
      <c r="S53" s="58"/>
      <c r="T53" s="96"/>
      <c r="U53" s="58"/>
      <c r="V53" s="58">
        <f t="shared" si="1"/>
        <v>0</v>
      </c>
      <c r="W53" s="58">
        <f t="shared" si="2"/>
        <v>0</v>
      </c>
      <c r="X53" s="58"/>
      <c r="Y53" s="58">
        <f t="shared" si="3"/>
        <v>0</v>
      </c>
      <c r="Z53" s="98"/>
    </row>
    <row r="54" spans="2:26" s="9" customFormat="1" ht="18" customHeight="1"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8"/>
      <c r="N54" s="58">
        <f t="shared" si="0"/>
        <v>0</v>
      </c>
      <c r="O54" s="58"/>
      <c r="P54" s="58"/>
      <c r="Q54" s="58"/>
      <c r="R54" s="58"/>
      <c r="S54" s="58"/>
      <c r="T54" s="96"/>
      <c r="U54" s="58"/>
      <c r="V54" s="58">
        <f t="shared" si="1"/>
        <v>0</v>
      </c>
      <c r="W54" s="58">
        <f t="shared" si="2"/>
        <v>0</v>
      </c>
      <c r="X54" s="58"/>
      <c r="Y54" s="58">
        <f t="shared" si="3"/>
        <v>0</v>
      </c>
      <c r="Z54" s="98"/>
    </row>
    <row r="55" spans="2:26" s="9" customFormat="1" ht="18" customHeight="1"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8"/>
      <c r="N55" s="58">
        <f t="shared" si="0"/>
        <v>0</v>
      </c>
      <c r="O55" s="58"/>
      <c r="P55" s="58"/>
      <c r="Q55" s="58"/>
      <c r="R55" s="58"/>
      <c r="S55" s="58"/>
      <c r="T55" s="96"/>
      <c r="U55" s="58"/>
      <c r="V55" s="58">
        <f t="shared" si="1"/>
        <v>0</v>
      </c>
      <c r="W55" s="58">
        <f t="shared" si="2"/>
        <v>0</v>
      </c>
      <c r="X55" s="58"/>
      <c r="Y55" s="58">
        <f t="shared" si="3"/>
        <v>0</v>
      </c>
      <c r="Z55" s="98"/>
    </row>
    <row r="56" spans="2:26" s="9" customFormat="1" ht="18" customHeight="1"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8"/>
      <c r="N56" s="58">
        <f t="shared" si="0"/>
        <v>0</v>
      </c>
      <c r="O56" s="58"/>
      <c r="P56" s="58"/>
      <c r="Q56" s="58"/>
      <c r="R56" s="58"/>
      <c r="S56" s="58"/>
      <c r="T56" s="96"/>
      <c r="U56" s="58"/>
      <c r="V56" s="58">
        <f t="shared" si="1"/>
        <v>0</v>
      </c>
      <c r="W56" s="58">
        <f t="shared" si="2"/>
        <v>0</v>
      </c>
      <c r="X56" s="58"/>
      <c r="Y56" s="58">
        <f t="shared" si="3"/>
        <v>0</v>
      </c>
      <c r="Z56" s="98"/>
    </row>
    <row r="57" spans="2:26" s="9" customFormat="1" ht="18" customHeight="1"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8"/>
      <c r="N57" s="58">
        <f t="shared" si="0"/>
        <v>0</v>
      </c>
      <c r="O57" s="58"/>
      <c r="P57" s="58"/>
      <c r="Q57" s="58"/>
      <c r="R57" s="58"/>
      <c r="S57" s="58"/>
      <c r="T57" s="96"/>
      <c r="U57" s="58"/>
      <c r="V57" s="58">
        <f t="shared" si="1"/>
        <v>0</v>
      </c>
      <c r="W57" s="58">
        <f t="shared" si="2"/>
        <v>0</v>
      </c>
      <c r="X57" s="58"/>
      <c r="Y57" s="58">
        <f t="shared" si="3"/>
        <v>0</v>
      </c>
      <c r="Z57" s="98"/>
    </row>
    <row r="58" spans="2:26" s="9" customFormat="1" ht="18" customHeight="1"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>
        <f t="shared" si="0"/>
        <v>0</v>
      </c>
      <c r="O58" s="58"/>
      <c r="P58" s="58"/>
      <c r="Q58" s="58"/>
      <c r="R58" s="58"/>
      <c r="S58" s="58"/>
      <c r="T58" s="96"/>
      <c r="U58" s="58"/>
      <c r="V58" s="58">
        <f t="shared" si="1"/>
        <v>0</v>
      </c>
      <c r="W58" s="58">
        <f t="shared" si="2"/>
        <v>0</v>
      </c>
      <c r="X58" s="58"/>
      <c r="Y58" s="58">
        <f t="shared" si="3"/>
        <v>0</v>
      </c>
      <c r="Z58" s="98"/>
    </row>
    <row r="59" spans="2:26" s="9" customFormat="1" ht="18" customHeight="1">
      <c r="B59" s="58"/>
      <c r="C59" s="58"/>
      <c r="D59" s="58"/>
      <c r="E59" s="58"/>
      <c r="F59" s="58"/>
      <c r="G59" s="58"/>
      <c r="H59" s="58"/>
      <c r="I59" s="58"/>
      <c r="J59" s="58"/>
      <c r="K59" s="58"/>
      <c r="L59" s="58"/>
      <c r="M59" s="58"/>
      <c r="N59" s="58">
        <f t="shared" si="0"/>
        <v>0</v>
      </c>
      <c r="O59" s="58"/>
      <c r="P59" s="58"/>
      <c r="Q59" s="58"/>
      <c r="R59" s="58"/>
      <c r="S59" s="58"/>
      <c r="T59" s="96"/>
      <c r="U59" s="58"/>
      <c r="V59" s="58">
        <f t="shared" si="1"/>
        <v>0</v>
      </c>
      <c r="W59" s="58">
        <f t="shared" si="2"/>
        <v>0</v>
      </c>
      <c r="X59" s="58"/>
      <c r="Y59" s="58">
        <f t="shared" si="3"/>
        <v>0</v>
      </c>
      <c r="Z59" s="98"/>
    </row>
    <row r="60" spans="2:26" s="9" customFormat="1" ht="18" customHeight="1">
      <c r="B60" s="58"/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>
        <f t="shared" si="0"/>
        <v>0</v>
      </c>
      <c r="O60" s="58"/>
      <c r="P60" s="58"/>
      <c r="Q60" s="58"/>
      <c r="R60" s="58"/>
      <c r="S60" s="58"/>
      <c r="T60" s="96"/>
      <c r="U60" s="58"/>
      <c r="V60" s="58">
        <f t="shared" si="1"/>
        <v>0</v>
      </c>
      <c r="W60" s="58">
        <f t="shared" si="2"/>
        <v>0</v>
      </c>
      <c r="X60" s="58"/>
      <c r="Y60" s="58">
        <f t="shared" si="3"/>
        <v>0</v>
      </c>
      <c r="Z60" s="98"/>
    </row>
    <row r="61" spans="2:26" s="9" customFormat="1" ht="18" customHeight="1">
      <c r="B61" s="58"/>
      <c r="C61" s="58"/>
      <c r="D61" s="58"/>
      <c r="E61" s="58"/>
      <c r="F61" s="58"/>
      <c r="G61" s="58"/>
      <c r="H61" s="58"/>
      <c r="I61" s="58"/>
      <c r="J61" s="58"/>
      <c r="K61" s="58"/>
      <c r="L61" s="58"/>
      <c r="M61" s="58"/>
      <c r="N61" s="58">
        <f t="shared" si="0"/>
        <v>0</v>
      </c>
      <c r="O61" s="58"/>
      <c r="P61" s="58"/>
      <c r="Q61" s="58"/>
      <c r="R61" s="58"/>
      <c r="S61" s="58"/>
      <c r="T61" s="96"/>
      <c r="U61" s="58"/>
      <c r="V61" s="58">
        <f t="shared" si="1"/>
        <v>0</v>
      </c>
      <c r="W61" s="58">
        <f t="shared" si="2"/>
        <v>0</v>
      </c>
      <c r="X61" s="58"/>
      <c r="Y61" s="58">
        <f t="shared" si="3"/>
        <v>0</v>
      </c>
      <c r="Z61" s="98"/>
    </row>
    <row r="62" spans="2:26" s="9" customFormat="1" ht="18" customHeight="1">
      <c r="B62" s="58"/>
      <c r="C62" s="58"/>
      <c r="D62" s="58"/>
      <c r="E62" s="58"/>
      <c r="F62" s="58"/>
      <c r="G62" s="58"/>
      <c r="H62" s="58"/>
      <c r="I62" s="58"/>
      <c r="J62" s="58"/>
      <c r="K62" s="58"/>
      <c r="L62" s="58"/>
      <c r="M62" s="58"/>
      <c r="N62" s="58">
        <f t="shared" si="0"/>
        <v>0</v>
      </c>
      <c r="O62" s="58"/>
      <c r="P62" s="58"/>
      <c r="Q62" s="58"/>
      <c r="R62" s="58"/>
      <c r="S62" s="58"/>
      <c r="T62" s="96"/>
      <c r="U62" s="58"/>
      <c r="V62" s="58">
        <f t="shared" si="1"/>
        <v>0</v>
      </c>
      <c r="W62" s="58">
        <f t="shared" si="2"/>
        <v>0</v>
      </c>
      <c r="X62" s="58"/>
      <c r="Y62" s="58">
        <f t="shared" si="3"/>
        <v>0</v>
      </c>
      <c r="Z62" s="98"/>
    </row>
    <row r="63" spans="2:26" s="9" customFormat="1" ht="19.5" customHeight="1">
      <c r="B63" s="58"/>
      <c r="C63" s="58"/>
      <c r="D63" s="58"/>
      <c r="E63" s="58"/>
      <c r="F63" s="58"/>
      <c r="G63" s="58"/>
      <c r="H63" s="58"/>
      <c r="I63" s="58"/>
      <c r="J63" s="58"/>
      <c r="K63" s="58"/>
      <c r="L63" s="58"/>
      <c r="M63" s="58"/>
      <c r="N63" s="58">
        <f t="shared" si="0"/>
        <v>0</v>
      </c>
      <c r="O63" s="58"/>
      <c r="P63" s="58"/>
      <c r="Q63" s="58"/>
      <c r="R63" s="58"/>
      <c r="S63" s="58"/>
      <c r="T63" s="96"/>
      <c r="U63" s="58"/>
      <c r="V63" s="58">
        <f t="shared" si="1"/>
        <v>0</v>
      </c>
      <c r="W63" s="58">
        <f t="shared" si="2"/>
        <v>0</v>
      </c>
      <c r="X63" s="58"/>
      <c r="Y63" s="58">
        <f t="shared" si="3"/>
        <v>0</v>
      </c>
      <c r="Z63" s="98"/>
    </row>
    <row r="64" spans="2:26" s="9" customFormat="1" ht="19.5" customHeight="1">
      <c r="B64" s="58"/>
      <c r="C64" s="58"/>
      <c r="D64" s="58"/>
      <c r="E64" s="58"/>
      <c r="F64" s="58"/>
      <c r="G64" s="58"/>
      <c r="H64" s="58"/>
      <c r="I64" s="58"/>
      <c r="J64" s="58"/>
      <c r="K64" s="58"/>
      <c r="L64" s="58"/>
      <c r="M64" s="58"/>
      <c r="N64" s="58">
        <f t="shared" si="0"/>
        <v>0</v>
      </c>
      <c r="O64" s="58"/>
      <c r="P64" s="58"/>
      <c r="Q64" s="58"/>
      <c r="R64" s="58"/>
      <c r="S64" s="58"/>
      <c r="T64" s="96"/>
      <c r="U64" s="58"/>
      <c r="V64" s="58">
        <f t="shared" si="1"/>
        <v>0</v>
      </c>
      <c r="W64" s="58">
        <f t="shared" si="2"/>
        <v>0</v>
      </c>
      <c r="X64" s="58"/>
      <c r="Y64" s="58">
        <f t="shared" si="3"/>
        <v>0</v>
      </c>
      <c r="Z64" s="98"/>
    </row>
    <row r="65" spans="2:26" s="9" customFormat="1" ht="19.5" customHeight="1"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>
        <f t="shared" si="0"/>
        <v>0</v>
      </c>
      <c r="O65" s="58"/>
      <c r="P65" s="58"/>
      <c r="Q65" s="58"/>
      <c r="R65" s="58"/>
      <c r="S65" s="58"/>
      <c r="T65" s="96"/>
      <c r="U65" s="58"/>
      <c r="V65" s="58">
        <f t="shared" si="1"/>
        <v>0</v>
      </c>
      <c r="W65" s="58">
        <f t="shared" si="2"/>
        <v>0</v>
      </c>
      <c r="X65" s="58"/>
      <c r="Y65" s="58">
        <f t="shared" si="3"/>
        <v>0</v>
      </c>
      <c r="Z65" s="98"/>
    </row>
    <row r="66" spans="2:26" s="9" customFormat="1" ht="19.5" customHeight="1">
      <c r="B66" s="58"/>
      <c r="C66" s="58"/>
      <c r="D66" s="58"/>
      <c r="E66" s="58"/>
      <c r="F66" s="58"/>
      <c r="G66" s="58"/>
      <c r="H66" s="58"/>
      <c r="I66" s="58"/>
      <c r="J66" s="58"/>
      <c r="K66" s="58"/>
      <c r="L66" s="58"/>
      <c r="M66" s="58"/>
      <c r="N66" s="58">
        <f t="shared" si="0"/>
        <v>0</v>
      </c>
      <c r="O66" s="58"/>
      <c r="P66" s="58"/>
      <c r="Q66" s="58"/>
      <c r="R66" s="58"/>
      <c r="S66" s="58"/>
      <c r="T66" s="96"/>
      <c r="U66" s="58"/>
      <c r="V66" s="58">
        <f t="shared" si="1"/>
        <v>0</v>
      </c>
      <c r="W66" s="58">
        <f t="shared" si="2"/>
        <v>0</v>
      </c>
      <c r="X66" s="58"/>
      <c r="Y66" s="58">
        <f t="shared" si="3"/>
        <v>0</v>
      </c>
      <c r="Z66" s="98"/>
    </row>
    <row r="67" spans="2:26" s="9" customFormat="1" ht="19.5" customHeight="1">
      <c r="B67" s="58"/>
      <c r="C67" s="58"/>
      <c r="D67" s="58"/>
      <c r="E67" s="58"/>
      <c r="F67" s="58"/>
      <c r="G67" s="58"/>
      <c r="H67" s="58"/>
      <c r="I67" s="58"/>
      <c r="J67" s="58"/>
      <c r="K67" s="58"/>
      <c r="L67" s="58"/>
      <c r="M67" s="58"/>
      <c r="N67" s="58">
        <f t="shared" si="0"/>
        <v>0</v>
      </c>
      <c r="O67" s="58"/>
      <c r="P67" s="58"/>
      <c r="Q67" s="58"/>
      <c r="R67" s="58"/>
      <c r="S67" s="58"/>
      <c r="T67" s="96"/>
      <c r="U67" s="58"/>
      <c r="V67" s="58">
        <f t="shared" si="1"/>
        <v>0</v>
      </c>
      <c r="W67" s="58">
        <f t="shared" si="2"/>
        <v>0</v>
      </c>
      <c r="X67" s="58"/>
      <c r="Y67" s="58">
        <f t="shared" si="3"/>
        <v>0</v>
      </c>
      <c r="Z67" s="98"/>
    </row>
    <row r="68" spans="2:26" s="9" customFormat="1" ht="19.5" customHeight="1">
      <c r="B68" s="58"/>
      <c r="C68" s="58"/>
      <c r="D68" s="58"/>
      <c r="E68" s="58"/>
      <c r="F68" s="58"/>
      <c r="G68" s="58"/>
      <c r="H68" s="58"/>
      <c r="I68" s="58"/>
      <c r="J68" s="58"/>
      <c r="K68" s="58"/>
      <c r="L68" s="58"/>
      <c r="M68" s="58"/>
      <c r="N68" s="58">
        <f t="shared" si="0"/>
        <v>0</v>
      </c>
      <c r="O68" s="58"/>
      <c r="P68" s="58"/>
      <c r="Q68" s="58"/>
      <c r="R68" s="58"/>
      <c r="S68" s="58"/>
      <c r="T68" s="96"/>
      <c r="U68" s="58"/>
      <c r="V68" s="58">
        <f t="shared" si="1"/>
        <v>0</v>
      </c>
      <c r="W68" s="58">
        <f t="shared" si="2"/>
        <v>0</v>
      </c>
      <c r="X68" s="58"/>
      <c r="Y68" s="58">
        <f t="shared" si="3"/>
        <v>0</v>
      </c>
      <c r="Z68" s="98"/>
    </row>
    <row r="69" spans="2:26" s="9" customFormat="1" ht="19.5" customHeight="1">
      <c r="B69" s="58"/>
      <c r="C69" s="58"/>
      <c r="D69" s="58"/>
      <c r="E69" s="58"/>
      <c r="F69" s="58"/>
      <c r="G69" s="58"/>
      <c r="H69" s="58"/>
      <c r="I69" s="58"/>
      <c r="J69" s="58"/>
      <c r="K69" s="58"/>
      <c r="L69" s="58"/>
      <c r="M69" s="58"/>
      <c r="N69" s="58">
        <f t="shared" si="0"/>
        <v>0</v>
      </c>
      <c r="O69" s="58"/>
      <c r="P69" s="58"/>
      <c r="Q69" s="58"/>
      <c r="R69" s="58"/>
      <c r="S69" s="58"/>
      <c r="T69" s="96"/>
      <c r="U69" s="58"/>
      <c r="V69" s="58">
        <f t="shared" si="1"/>
        <v>0</v>
      </c>
      <c r="W69" s="58">
        <f t="shared" si="2"/>
        <v>0</v>
      </c>
      <c r="X69" s="58"/>
      <c r="Y69" s="58">
        <f t="shared" si="3"/>
        <v>0</v>
      </c>
      <c r="Z69" s="98"/>
    </row>
    <row r="70" spans="2:26" s="9" customFormat="1" ht="19.5" customHeight="1"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>
        <f t="shared" si="0"/>
        <v>0</v>
      </c>
      <c r="O70" s="58"/>
      <c r="P70" s="58"/>
      <c r="Q70" s="58"/>
      <c r="R70" s="58"/>
      <c r="S70" s="58"/>
      <c r="T70" s="96"/>
      <c r="U70" s="58"/>
      <c r="V70" s="58">
        <f t="shared" si="1"/>
        <v>0</v>
      </c>
      <c r="W70" s="58">
        <f t="shared" si="2"/>
        <v>0</v>
      </c>
      <c r="X70" s="58"/>
      <c r="Y70" s="58">
        <f t="shared" si="3"/>
        <v>0</v>
      </c>
      <c r="Z70" s="98"/>
    </row>
    <row r="71" spans="2:26" s="9" customFormat="1" ht="19.5" customHeight="1">
      <c r="B71" s="58"/>
      <c r="C71" s="58"/>
      <c r="D71" s="58"/>
      <c r="E71" s="58"/>
      <c r="F71" s="58"/>
      <c r="G71" s="58"/>
      <c r="H71" s="58"/>
      <c r="I71" s="58"/>
      <c r="J71" s="58"/>
      <c r="K71" s="58"/>
      <c r="L71" s="58"/>
      <c r="M71" s="58"/>
      <c r="N71" s="58">
        <f t="shared" si="0"/>
        <v>0</v>
      </c>
      <c r="O71" s="58"/>
      <c r="P71" s="58"/>
      <c r="Q71" s="58"/>
      <c r="R71" s="58"/>
      <c r="S71" s="58"/>
      <c r="T71" s="96"/>
      <c r="U71" s="58"/>
      <c r="V71" s="58">
        <f t="shared" si="1"/>
        <v>0</v>
      </c>
      <c r="W71" s="58">
        <f t="shared" si="2"/>
        <v>0</v>
      </c>
      <c r="X71" s="58"/>
      <c r="Y71" s="58">
        <f t="shared" si="3"/>
        <v>0</v>
      </c>
      <c r="Z71" s="98"/>
    </row>
    <row r="72" spans="2:26" s="9" customFormat="1" ht="19.5" customHeight="1">
      <c r="B72" s="58"/>
      <c r="C72" s="58"/>
      <c r="D72" s="58"/>
      <c r="E72" s="58"/>
      <c r="F72" s="58"/>
      <c r="G72" s="58"/>
      <c r="H72" s="58"/>
      <c r="I72" s="58"/>
      <c r="J72" s="58"/>
      <c r="K72" s="58"/>
      <c r="L72" s="58"/>
      <c r="M72" s="58"/>
      <c r="N72" s="58">
        <f t="shared" ref="N72:N110" si="4">K72+L72+M72</f>
        <v>0</v>
      </c>
      <c r="O72" s="58"/>
      <c r="P72" s="58"/>
      <c r="Q72" s="58"/>
      <c r="R72" s="58"/>
      <c r="S72" s="58"/>
      <c r="T72" s="96"/>
      <c r="U72" s="58"/>
      <c r="V72" s="58">
        <f t="shared" ref="V72:V110" si="5">8%*N72</f>
        <v>0</v>
      </c>
      <c r="W72" s="58">
        <f t="shared" ref="W72:W110" si="6">5%*N72</f>
        <v>0</v>
      </c>
      <c r="X72" s="58"/>
      <c r="Y72" s="58">
        <f t="shared" ref="Y72:Y110" si="7">2.5%*N72</f>
        <v>0</v>
      </c>
      <c r="Z72" s="98"/>
    </row>
    <row r="73" spans="2:26" s="9" customFormat="1" ht="19.5" customHeight="1">
      <c r="B73" s="58"/>
      <c r="C73" s="58"/>
      <c r="D73" s="58"/>
      <c r="E73" s="58"/>
      <c r="F73" s="58"/>
      <c r="G73" s="58"/>
      <c r="H73" s="58"/>
      <c r="I73" s="58"/>
      <c r="J73" s="58"/>
      <c r="K73" s="58"/>
      <c r="L73" s="58"/>
      <c r="M73" s="58"/>
      <c r="N73" s="58">
        <f t="shared" si="4"/>
        <v>0</v>
      </c>
      <c r="O73" s="58"/>
      <c r="P73" s="58"/>
      <c r="Q73" s="58"/>
      <c r="R73" s="58"/>
      <c r="S73" s="58"/>
      <c r="T73" s="96"/>
      <c r="U73" s="58"/>
      <c r="V73" s="58">
        <f t="shared" si="5"/>
        <v>0</v>
      </c>
      <c r="W73" s="58">
        <f t="shared" si="6"/>
        <v>0</v>
      </c>
      <c r="X73" s="58"/>
      <c r="Y73" s="58">
        <f t="shared" si="7"/>
        <v>0</v>
      </c>
      <c r="Z73" s="98"/>
    </row>
    <row r="74" spans="2:26" s="9" customFormat="1" ht="19.5" customHeight="1">
      <c r="B74" s="58"/>
      <c r="C74" s="58"/>
      <c r="D74" s="58"/>
      <c r="E74" s="58"/>
      <c r="F74" s="58"/>
      <c r="G74" s="58"/>
      <c r="H74" s="58"/>
      <c r="I74" s="58"/>
      <c r="J74" s="58"/>
      <c r="K74" s="58"/>
      <c r="L74" s="58"/>
      <c r="M74" s="58"/>
      <c r="N74" s="58">
        <f t="shared" si="4"/>
        <v>0</v>
      </c>
      <c r="O74" s="58"/>
      <c r="P74" s="58"/>
      <c r="Q74" s="58"/>
      <c r="R74" s="58"/>
      <c r="S74" s="58"/>
      <c r="T74" s="96"/>
      <c r="U74" s="58"/>
      <c r="V74" s="58">
        <f t="shared" si="5"/>
        <v>0</v>
      </c>
      <c r="W74" s="58">
        <f t="shared" si="6"/>
        <v>0</v>
      </c>
      <c r="X74" s="58"/>
      <c r="Y74" s="58">
        <f t="shared" si="7"/>
        <v>0</v>
      </c>
      <c r="Z74" s="98"/>
    </row>
    <row r="75" spans="2:26" s="9" customFormat="1" ht="19.5" customHeight="1">
      <c r="B75" s="58"/>
      <c r="C75" s="58"/>
      <c r="D75" s="58"/>
      <c r="E75" s="58"/>
      <c r="F75" s="58"/>
      <c r="G75" s="58"/>
      <c r="H75" s="58"/>
      <c r="I75" s="58"/>
      <c r="J75" s="58"/>
      <c r="K75" s="58"/>
      <c r="L75" s="58"/>
      <c r="M75" s="58"/>
      <c r="N75" s="58">
        <f t="shared" si="4"/>
        <v>0</v>
      </c>
      <c r="O75" s="58"/>
      <c r="P75" s="58"/>
      <c r="Q75" s="58"/>
      <c r="R75" s="58"/>
      <c r="S75" s="58"/>
      <c r="T75" s="96"/>
      <c r="U75" s="58"/>
      <c r="V75" s="58">
        <f t="shared" si="5"/>
        <v>0</v>
      </c>
      <c r="W75" s="58">
        <f t="shared" si="6"/>
        <v>0</v>
      </c>
      <c r="X75" s="58"/>
      <c r="Y75" s="58">
        <f t="shared" si="7"/>
        <v>0</v>
      </c>
      <c r="Z75" s="98"/>
    </row>
    <row r="76" spans="2:26" s="9" customFormat="1" ht="19.5" customHeight="1">
      <c r="B76" s="58"/>
      <c r="C76" s="58"/>
      <c r="D76" s="58"/>
      <c r="E76" s="58"/>
      <c r="F76" s="58"/>
      <c r="G76" s="58"/>
      <c r="H76" s="58"/>
      <c r="I76" s="58"/>
      <c r="J76" s="58"/>
      <c r="K76" s="58"/>
      <c r="L76" s="58"/>
      <c r="M76" s="58"/>
      <c r="N76" s="58">
        <f t="shared" si="4"/>
        <v>0</v>
      </c>
      <c r="O76" s="58"/>
      <c r="P76" s="58"/>
      <c r="Q76" s="58"/>
      <c r="R76" s="58"/>
      <c r="S76" s="58"/>
      <c r="T76" s="96"/>
      <c r="U76" s="58"/>
      <c r="V76" s="58">
        <f t="shared" si="5"/>
        <v>0</v>
      </c>
      <c r="W76" s="58">
        <f t="shared" si="6"/>
        <v>0</v>
      </c>
      <c r="X76" s="58"/>
      <c r="Y76" s="58">
        <f t="shared" si="7"/>
        <v>0</v>
      </c>
      <c r="Z76" s="98"/>
    </row>
    <row r="77" spans="2:26" s="9" customFormat="1" ht="19.5" customHeight="1">
      <c r="B77" s="58"/>
      <c r="C77" s="58"/>
      <c r="D77" s="58"/>
      <c r="E77" s="58"/>
      <c r="F77" s="58"/>
      <c r="G77" s="58"/>
      <c r="H77" s="58"/>
      <c r="I77" s="58"/>
      <c r="J77" s="58"/>
      <c r="K77" s="58"/>
      <c r="L77" s="58"/>
      <c r="M77" s="58"/>
      <c r="N77" s="58">
        <f t="shared" si="4"/>
        <v>0</v>
      </c>
      <c r="O77" s="58"/>
      <c r="P77" s="58"/>
      <c r="Q77" s="58"/>
      <c r="R77" s="58"/>
      <c r="S77" s="58"/>
      <c r="T77" s="96"/>
      <c r="U77" s="58"/>
      <c r="V77" s="58">
        <f t="shared" si="5"/>
        <v>0</v>
      </c>
      <c r="W77" s="58">
        <f t="shared" si="6"/>
        <v>0</v>
      </c>
      <c r="X77" s="58"/>
      <c r="Y77" s="58">
        <f t="shared" si="7"/>
        <v>0</v>
      </c>
      <c r="Z77" s="98"/>
    </row>
    <row r="78" spans="2:26" s="9" customFormat="1" ht="19.5" customHeight="1">
      <c r="B78" s="58"/>
      <c r="C78" s="58"/>
      <c r="D78" s="58"/>
      <c r="E78" s="58"/>
      <c r="F78" s="58"/>
      <c r="G78" s="58"/>
      <c r="H78" s="58"/>
      <c r="I78" s="58"/>
      <c r="J78" s="58"/>
      <c r="K78" s="58"/>
      <c r="L78" s="58"/>
      <c r="M78" s="58"/>
      <c r="N78" s="58">
        <f t="shared" si="4"/>
        <v>0</v>
      </c>
      <c r="O78" s="58"/>
      <c r="P78" s="58"/>
      <c r="Q78" s="58"/>
      <c r="R78" s="58"/>
      <c r="S78" s="58"/>
      <c r="T78" s="96"/>
      <c r="U78" s="58"/>
      <c r="V78" s="58">
        <f t="shared" si="5"/>
        <v>0</v>
      </c>
      <c r="W78" s="58">
        <f t="shared" si="6"/>
        <v>0</v>
      </c>
      <c r="X78" s="58"/>
      <c r="Y78" s="58">
        <f t="shared" si="7"/>
        <v>0</v>
      </c>
      <c r="Z78" s="98"/>
    </row>
    <row r="79" spans="2:26" s="9" customFormat="1" ht="19.5" customHeight="1">
      <c r="B79" s="58"/>
      <c r="C79" s="58"/>
      <c r="D79" s="58"/>
      <c r="E79" s="58"/>
      <c r="F79" s="58"/>
      <c r="G79" s="58"/>
      <c r="H79" s="58"/>
      <c r="I79" s="58"/>
      <c r="J79" s="58"/>
      <c r="K79" s="58"/>
      <c r="L79" s="58"/>
      <c r="M79" s="58"/>
      <c r="N79" s="58">
        <f t="shared" si="4"/>
        <v>0</v>
      </c>
      <c r="O79" s="58"/>
      <c r="P79" s="58"/>
      <c r="Q79" s="58"/>
      <c r="R79" s="58"/>
      <c r="S79" s="58"/>
      <c r="T79" s="96"/>
      <c r="U79" s="58"/>
      <c r="V79" s="58">
        <f t="shared" si="5"/>
        <v>0</v>
      </c>
      <c r="W79" s="58">
        <f t="shared" si="6"/>
        <v>0</v>
      </c>
      <c r="X79" s="58"/>
      <c r="Y79" s="58">
        <f t="shared" si="7"/>
        <v>0</v>
      </c>
      <c r="Z79" s="98"/>
    </row>
    <row r="80" spans="2:26" s="9" customFormat="1" ht="19.5" customHeight="1">
      <c r="B80" s="58"/>
      <c r="C80" s="58"/>
      <c r="D80" s="58"/>
      <c r="E80" s="58"/>
      <c r="F80" s="58"/>
      <c r="G80" s="58"/>
      <c r="H80" s="58"/>
      <c r="I80" s="58"/>
      <c r="J80" s="58"/>
      <c r="K80" s="58"/>
      <c r="L80" s="58"/>
      <c r="M80" s="58"/>
      <c r="N80" s="58">
        <f t="shared" si="4"/>
        <v>0</v>
      </c>
      <c r="O80" s="58"/>
      <c r="P80" s="58"/>
      <c r="Q80" s="58"/>
      <c r="R80" s="58"/>
      <c r="S80" s="58"/>
      <c r="T80" s="96"/>
      <c r="U80" s="58"/>
      <c r="V80" s="58">
        <f t="shared" si="5"/>
        <v>0</v>
      </c>
      <c r="W80" s="58">
        <f t="shared" si="6"/>
        <v>0</v>
      </c>
      <c r="X80" s="58"/>
      <c r="Y80" s="58">
        <f t="shared" si="7"/>
        <v>0</v>
      </c>
      <c r="Z80" s="98"/>
    </row>
    <row r="81" spans="2:26" s="9" customFormat="1" ht="19.5" customHeight="1">
      <c r="B81" s="58"/>
      <c r="C81" s="58"/>
      <c r="D81" s="58"/>
      <c r="E81" s="58"/>
      <c r="F81" s="58"/>
      <c r="G81" s="58"/>
      <c r="H81" s="58"/>
      <c r="I81" s="58"/>
      <c r="J81" s="58"/>
      <c r="K81" s="58"/>
      <c r="L81" s="58"/>
      <c r="M81" s="58"/>
      <c r="N81" s="58">
        <f t="shared" si="4"/>
        <v>0</v>
      </c>
      <c r="O81" s="58"/>
      <c r="P81" s="58"/>
      <c r="Q81" s="58"/>
      <c r="R81" s="58"/>
      <c r="S81" s="58"/>
      <c r="T81" s="96"/>
      <c r="U81" s="58"/>
      <c r="V81" s="58">
        <f t="shared" si="5"/>
        <v>0</v>
      </c>
      <c r="W81" s="58">
        <f t="shared" si="6"/>
        <v>0</v>
      </c>
      <c r="X81" s="58"/>
      <c r="Y81" s="58">
        <f t="shared" si="7"/>
        <v>0</v>
      </c>
      <c r="Z81" s="98"/>
    </row>
    <row r="82" spans="2:26" s="9" customFormat="1" ht="19.5" customHeight="1">
      <c r="B82" s="58"/>
      <c r="C82" s="58"/>
      <c r="D82" s="58"/>
      <c r="E82" s="58"/>
      <c r="F82" s="58"/>
      <c r="G82" s="58"/>
      <c r="H82" s="58"/>
      <c r="I82" s="58"/>
      <c r="J82" s="58"/>
      <c r="K82" s="58"/>
      <c r="L82" s="58"/>
      <c r="M82" s="58"/>
      <c r="N82" s="58">
        <f t="shared" si="4"/>
        <v>0</v>
      </c>
      <c r="O82" s="58"/>
      <c r="P82" s="58"/>
      <c r="Q82" s="58"/>
      <c r="R82" s="58"/>
      <c r="S82" s="58"/>
      <c r="T82" s="96"/>
      <c r="U82" s="58"/>
      <c r="V82" s="58">
        <f t="shared" si="5"/>
        <v>0</v>
      </c>
      <c r="W82" s="58">
        <f t="shared" si="6"/>
        <v>0</v>
      </c>
      <c r="X82" s="58"/>
      <c r="Y82" s="58">
        <f t="shared" si="7"/>
        <v>0</v>
      </c>
      <c r="Z82" s="98"/>
    </row>
    <row r="83" spans="2:26" s="9" customFormat="1" ht="19.5" customHeight="1">
      <c r="B83" s="58"/>
      <c r="C83" s="58"/>
      <c r="D83" s="58"/>
      <c r="E83" s="58"/>
      <c r="F83" s="58"/>
      <c r="G83" s="58"/>
      <c r="H83" s="58"/>
      <c r="I83" s="58"/>
      <c r="J83" s="58"/>
      <c r="K83" s="58"/>
      <c r="L83" s="58"/>
      <c r="M83" s="58"/>
      <c r="N83" s="58">
        <f t="shared" si="4"/>
        <v>0</v>
      </c>
      <c r="O83" s="58"/>
      <c r="P83" s="58"/>
      <c r="Q83" s="58"/>
      <c r="R83" s="58"/>
      <c r="S83" s="58"/>
      <c r="T83" s="96"/>
      <c r="U83" s="58"/>
      <c r="V83" s="58">
        <f t="shared" si="5"/>
        <v>0</v>
      </c>
      <c r="W83" s="58">
        <f t="shared" si="6"/>
        <v>0</v>
      </c>
      <c r="X83" s="58"/>
      <c r="Y83" s="58">
        <f t="shared" si="7"/>
        <v>0</v>
      </c>
      <c r="Z83" s="98"/>
    </row>
    <row r="84" spans="2:26" s="9" customFormat="1" ht="19.5" customHeight="1">
      <c r="B84" s="58"/>
      <c r="C84" s="58"/>
      <c r="D84" s="58"/>
      <c r="E84" s="58"/>
      <c r="F84" s="58"/>
      <c r="G84" s="58"/>
      <c r="H84" s="58"/>
      <c r="I84" s="58"/>
      <c r="J84" s="58"/>
      <c r="K84" s="58"/>
      <c r="L84" s="58"/>
      <c r="M84" s="58"/>
      <c r="N84" s="58">
        <f t="shared" si="4"/>
        <v>0</v>
      </c>
      <c r="O84" s="58"/>
      <c r="P84" s="58"/>
      <c r="Q84" s="58"/>
      <c r="R84" s="58"/>
      <c r="S84" s="58"/>
      <c r="T84" s="96"/>
      <c r="U84" s="58"/>
      <c r="V84" s="58">
        <f t="shared" si="5"/>
        <v>0</v>
      </c>
      <c r="W84" s="58">
        <f t="shared" si="6"/>
        <v>0</v>
      </c>
      <c r="X84" s="58"/>
      <c r="Y84" s="58">
        <f t="shared" si="7"/>
        <v>0</v>
      </c>
      <c r="Z84" s="98"/>
    </row>
    <row r="85" spans="2:26" s="9" customFormat="1" ht="18" customHeight="1">
      <c r="B85" s="58"/>
      <c r="C85" s="58"/>
      <c r="D85" s="58"/>
      <c r="E85" s="58"/>
      <c r="F85" s="58"/>
      <c r="G85" s="58"/>
      <c r="H85" s="58"/>
      <c r="I85" s="58"/>
      <c r="J85" s="58"/>
      <c r="K85" s="58"/>
      <c r="L85" s="58"/>
      <c r="M85" s="58"/>
      <c r="N85" s="58">
        <f t="shared" si="4"/>
        <v>0</v>
      </c>
      <c r="O85" s="58"/>
      <c r="P85" s="58"/>
      <c r="Q85" s="58"/>
      <c r="R85" s="58"/>
      <c r="S85" s="58"/>
      <c r="T85" s="96"/>
      <c r="U85" s="58"/>
      <c r="V85" s="58">
        <f t="shared" si="5"/>
        <v>0</v>
      </c>
      <c r="W85" s="58">
        <f t="shared" si="6"/>
        <v>0</v>
      </c>
      <c r="X85" s="58"/>
      <c r="Y85" s="58">
        <f t="shared" si="7"/>
        <v>0</v>
      </c>
      <c r="Z85" s="98"/>
    </row>
    <row r="86" spans="2:26" s="9" customFormat="1" ht="18" customHeight="1">
      <c r="B86" s="58"/>
      <c r="C86" s="58"/>
      <c r="D86" s="58"/>
      <c r="E86" s="58"/>
      <c r="F86" s="58"/>
      <c r="G86" s="58"/>
      <c r="H86" s="58"/>
      <c r="I86" s="58"/>
      <c r="J86" s="58"/>
      <c r="K86" s="58"/>
      <c r="L86" s="58"/>
      <c r="M86" s="58"/>
      <c r="N86" s="58">
        <f t="shared" si="4"/>
        <v>0</v>
      </c>
      <c r="O86" s="58"/>
      <c r="P86" s="58"/>
      <c r="Q86" s="58"/>
      <c r="R86" s="58"/>
      <c r="S86" s="58"/>
      <c r="T86" s="96"/>
      <c r="U86" s="58"/>
      <c r="V86" s="58">
        <f t="shared" si="5"/>
        <v>0</v>
      </c>
      <c r="W86" s="58">
        <f t="shared" si="6"/>
        <v>0</v>
      </c>
      <c r="X86" s="58"/>
      <c r="Y86" s="58">
        <f t="shared" si="7"/>
        <v>0</v>
      </c>
      <c r="Z86" s="98"/>
    </row>
    <row r="87" spans="2:26" s="9" customFormat="1" ht="18" customHeight="1">
      <c r="B87" s="58"/>
      <c r="C87" s="58"/>
      <c r="D87" s="58"/>
      <c r="E87" s="58"/>
      <c r="F87" s="58"/>
      <c r="G87" s="58"/>
      <c r="H87" s="58"/>
      <c r="I87" s="58"/>
      <c r="J87" s="58"/>
      <c r="K87" s="58"/>
      <c r="L87" s="58"/>
      <c r="M87" s="58"/>
      <c r="N87" s="58">
        <f t="shared" si="4"/>
        <v>0</v>
      </c>
      <c r="O87" s="58"/>
      <c r="P87" s="58"/>
      <c r="Q87" s="58"/>
      <c r="R87" s="58"/>
      <c r="S87" s="58"/>
      <c r="T87" s="96"/>
      <c r="U87" s="58"/>
      <c r="V87" s="58">
        <f t="shared" si="5"/>
        <v>0</v>
      </c>
      <c r="W87" s="58">
        <f t="shared" si="6"/>
        <v>0</v>
      </c>
      <c r="X87" s="58"/>
      <c r="Y87" s="58">
        <f t="shared" si="7"/>
        <v>0</v>
      </c>
      <c r="Z87" s="98"/>
    </row>
    <row r="88" spans="2:26" s="9" customFormat="1" ht="18" customHeight="1">
      <c r="B88" s="58"/>
      <c r="C88" s="58"/>
      <c r="D88" s="58"/>
      <c r="E88" s="58"/>
      <c r="F88" s="58"/>
      <c r="G88" s="58"/>
      <c r="H88" s="58"/>
      <c r="I88" s="58"/>
      <c r="J88" s="58"/>
      <c r="K88" s="58"/>
      <c r="L88" s="58"/>
      <c r="M88" s="58"/>
      <c r="N88" s="58">
        <f t="shared" si="4"/>
        <v>0</v>
      </c>
      <c r="O88" s="58"/>
      <c r="P88" s="58"/>
      <c r="Q88" s="58"/>
      <c r="R88" s="58"/>
      <c r="S88" s="58"/>
      <c r="T88" s="96"/>
      <c r="U88" s="58"/>
      <c r="V88" s="58">
        <f t="shared" si="5"/>
        <v>0</v>
      </c>
      <c r="W88" s="58">
        <f t="shared" si="6"/>
        <v>0</v>
      </c>
      <c r="X88" s="58"/>
      <c r="Y88" s="58">
        <f t="shared" si="7"/>
        <v>0</v>
      </c>
      <c r="Z88" s="98"/>
    </row>
    <row r="89" spans="2:26" s="9" customFormat="1" ht="18" customHeight="1">
      <c r="B89" s="58"/>
      <c r="C89" s="58"/>
      <c r="D89" s="58"/>
      <c r="E89" s="58"/>
      <c r="F89" s="58"/>
      <c r="G89" s="58"/>
      <c r="H89" s="58"/>
      <c r="I89" s="58"/>
      <c r="J89" s="58"/>
      <c r="K89" s="58"/>
      <c r="L89" s="58"/>
      <c r="M89" s="58"/>
      <c r="N89" s="58">
        <f t="shared" si="4"/>
        <v>0</v>
      </c>
      <c r="O89" s="58"/>
      <c r="P89" s="58"/>
      <c r="Q89" s="58"/>
      <c r="R89" s="58"/>
      <c r="S89" s="58"/>
      <c r="T89" s="96"/>
      <c r="U89" s="58"/>
      <c r="V89" s="58">
        <f t="shared" si="5"/>
        <v>0</v>
      </c>
      <c r="W89" s="58">
        <f t="shared" si="6"/>
        <v>0</v>
      </c>
      <c r="X89" s="58"/>
      <c r="Y89" s="58">
        <f t="shared" si="7"/>
        <v>0</v>
      </c>
      <c r="Z89" s="98"/>
    </row>
    <row r="90" spans="2:26" s="9" customFormat="1" ht="18" customHeight="1">
      <c r="B90" s="58"/>
      <c r="C90" s="58"/>
      <c r="D90" s="58"/>
      <c r="E90" s="58"/>
      <c r="F90" s="58"/>
      <c r="G90" s="58"/>
      <c r="H90" s="58"/>
      <c r="I90" s="58"/>
      <c r="J90" s="58"/>
      <c r="K90" s="58"/>
      <c r="L90" s="58"/>
      <c r="M90" s="58"/>
      <c r="N90" s="58">
        <f t="shared" si="4"/>
        <v>0</v>
      </c>
      <c r="O90" s="58"/>
      <c r="P90" s="58"/>
      <c r="Q90" s="58"/>
      <c r="R90" s="58"/>
      <c r="S90" s="58"/>
      <c r="T90" s="96"/>
      <c r="U90" s="58"/>
      <c r="V90" s="58">
        <f t="shared" si="5"/>
        <v>0</v>
      </c>
      <c r="W90" s="58">
        <f t="shared" si="6"/>
        <v>0</v>
      </c>
      <c r="X90" s="58"/>
      <c r="Y90" s="58">
        <f t="shared" si="7"/>
        <v>0</v>
      </c>
      <c r="Z90" s="98"/>
    </row>
    <row r="91" spans="2:26" s="9" customFormat="1" ht="18" customHeight="1">
      <c r="B91" s="58"/>
      <c r="C91" s="58"/>
      <c r="D91" s="58"/>
      <c r="E91" s="58"/>
      <c r="F91" s="58"/>
      <c r="G91" s="58"/>
      <c r="H91" s="58"/>
      <c r="I91" s="58"/>
      <c r="J91" s="58"/>
      <c r="K91" s="58"/>
      <c r="L91" s="58"/>
      <c r="M91" s="58"/>
      <c r="N91" s="58">
        <f t="shared" si="4"/>
        <v>0</v>
      </c>
      <c r="O91" s="58"/>
      <c r="P91" s="58"/>
      <c r="Q91" s="58"/>
      <c r="R91" s="58"/>
      <c r="S91" s="58"/>
      <c r="T91" s="96"/>
      <c r="U91" s="58"/>
      <c r="V91" s="58">
        <f t="shared" si="5"/>
        <v>0</v>
      </c>
      <c r="W91" s="58">
        <f t="shared" si="6"/>
        <v>0</v>
      </c>
      <c r="X91" s="58"/>
      <c r="Y91" s="58">
        <f t="shared" si="7"/>
        <v>0</v>
      </c>
      <c r="Z91" s="98"/>
    </row>
    <row r="92" spans="2:26" s="9" customFormat="1" ht="18" customHeight="1">
      <c r="B92" s="58"/>
      <c r="C92" s="58"/>
      <c r="D92" s="58"/>
      <c r="E92" s="58"/>
      <c r="F92" s="58"/>
      <c r="G92" s="58"/>
      <c r="H92" s="58"/>
      <c r="I92" s="58"/>
      <c r="J92" s="58"/>
      <c r="K92" s="58"/>
      <c r="L92" s="58"/>
      <c r="M92" s="58"/>
      <c r="N92" s="58">
        <f t="shared" si="4"/>
        <v>0</v>
      </c>
      <c r="O92" s="58"/>
      <c r="P92" s="58"/>
      <c r="Q92" s="58"/>
      <c r="R92" s="58"/>
      <c r="S92" s="58"/>
      <c r="T92" s="96"/>
      <c r="U92" s="58"/>
      <c r="V92" s="58">
        <f t="shared" si="5"/>
        <v>0</v>
      </c>
      <c r="W92" s="58">
        <f t="shared" si="6"/>
        <v>0</v>
      </c>
      <c r="X92" s="58"/>
      <c r="Y92" s="58">
        <f t="shared" si="7"/>
        <v>0</v>
      </c>
      <c r="Z92" s="98"/>
    </row>
    <row r="93" spans="2:26" s="9" customFormat="1" ht="18" customHeight="1">
      <c r="B93" s="58"/>
      <c r="C93" s="58"/>
      <c r="D93" s="58"/>
      <c r="E93" s="58"/>
      <c r="F93" s="58"/>
      <c r="G93" s="58"/>
      <c r="H93" s="58"/>
      <c r="I93" s="58"/>
      <c r="J93" s="58"/>
      <c r="K93" s="58"/>
      <c r="L93" s="58"/>
      <c r="M93" s="58"/>
      <c r="N93" s="58">
        <f t="shared" si="4"/>
        <v>0</v>
      </c>
      <c r="O93" s="58"/>
      <c r="P93" s="58"/>
      <c r="Q93" s="58"/>
      <c r="R93" s="58"/>
      <c r="S93" s="58"/>
      <c r="T93" s="96"/>
      <c r="U93" s="58"/>
      <c r="V93" s="58">
        <f t="shared" si="5"/>
        <v>0</v>
      </c>
      <c r="W93" s="58">
        <f t="shared" si="6"/>
        <v>0</v>
      </c>
      <c r="X93" s="58"/>
      <c r="Y93" s="58">
        <f t="shared" si="7"/>
        <v>0</v>
      </c>
      <c r="Z93" s="98"/>
    </row>
    <row r="94" spans="2:26" s="9" customFormat="1" ht="18" customHeight="1">
      <c r="B94" s="58"/>
      <c r="C94" s="58"/>
      <c r="D94" s="58"/>
      <c r="E94" s="58"/>
      <c r="F94" s="58"/>
      <c r="G94" s="58"/>
      <c r="H94" s="58"/>
      <c r="I94" s="58"/>
      <c r="J94" s="58"/>
      <c r="K94" s="58"/>
      <c r="L94" s="58"/>
      <c r="M94" s="58"/>
      <c r="N94" s="58">
        <f t="shared" si="4"/>
        <v>0</v>
      </c>
      <c r="O94" s="58"/>
      <c r="P94" s="58"/>
      <c r="Q94" s="58"/>
      <c r="R94" s="58"/>
      <c r="S94" s="58"/>
      <c r="T94" s="96"/>
      <c r="U94" s="58"/>
      <c r="V94" s="58">
        <f t="shared" si="5"/>
        <v>0</v>
      </c>
      <c r="W94" s="58">
        <f t="shared" si="6"/>
        <v>0</v>
      </c>
      <c r="X94" s="58"/>
      <c r="Y94" s="58">
        <f t="shared" si="7"/>
        <v>0</v>
      </c>
      <c r="Z94" s="98"/>
    </row>
    <row r="95" spans="2:26" s="9" customFormat="1" ht="18" customHeight="1">
      <c r="B95" s="58"/>
      <c r="C95" s="58"/>
      <c r="D95" s="58"/>
      <c r="E95" s="58"/>
      <c r="F95" s="58"/>
      <c r="G95" s="58"/>
      <c r="H95" s="58"/>
      <c r="I95" s="58"/>
      <c r="J95" s="58"/>
      <c r="K95" s="58"/>
      <c r="L95" s="58"/>
      <c r="M95" s="58"/>
      <c r="N95" s="58">
        <f t="shared" si="4"/>
        <v>0</v>
      </c>
      <c r="O95" s="58"/>
      <c r="P95" s="58"/>
      <c r="Q95" s="58"/>
      <c r="R95" s="58"/>
      <c r="S95" s="58"/>
      <c r="T95" s="96"/>
      <c r="U95" s="58"/>
      <c r="V95" s="58">
        <f t="shared" si="5"/>
        <v>0</v>
      </c>
      <c r="W95" s="58">
        <f t="shared" si="6"/>
        <v>0</v>
      </c>
      <c r="X95" s="58"/>
      <c r="Y95" s="58">
        <f t="shared" si="7"/>
        <v>0</v>
      </c>
      <c r="Z95" s="98"/>
    </row>
    <row r="96" spans="2:26" s="9" customFormat="1" ht="18" customHeight="1">
      <c r="B96" s="42"/>
      <c r="C96" s="42"/>
      <c r="D96" s="42"/>
      <c r="E96" s="42"/>
      <c r="F96" s="42"/>
      <c r="G96" s="42"/>
      <c r="H96" s="42"/>
      <c r="I96" s="42"/>
      <c r="J96" s="43"/>
      <c r="K96" s="43"/>
      <c r="L96" s="43"/>
      <c r="M96" s="43"/>
      <c r="N96" s="58">
        <f t="shared" si="4"/>
        <v>0</v>
      </c>
      <c r="O96" s="43"/>
      <c r="P96" s="43"/>
      <c r="Q96" s="43"/>
      <c r="R96" s="43"/>
      <c r="S96" s="43"/>
      <c r="T96" s="43"/>
      <c r="U96" s="43"/>
      <c r="V96" s="58">
        <f t="shared" si="5"/>
        <v>0</v>
      </c>
      <c r="W96" s="58">
        <f t="shared" si="6"/>
        <v>0</v>
      </c>
      <c r="X96" s="43"/>
      <c r="Y96" s="58">
        <f t="shared" si="7"/>
        <v>0</v>
      </c>
      <c r="Z96" s="43"/>
    </row>
    <row r="97" spans="2:26" s="9" customFormat="1" ht="18" customHeight="1">
      <c r="B97" s="42"/>
      <c r="C97" s="42"/>
      <c r="D97" s="42"/>
      <c r="E97" s="42"/>
      <c r="F97" s="42"/>
      <c r="G97" s="42"/>
      <c r="H97" s="42"/>
      <c r="I97" s="42"/>
      <c r="J97" s="43"/>
      <c r="K97" s="43"/>
      <c r="L97" s="43"/>
      <c r="M97" s="43"/>
      <c r="N97" s="58">
        <f t="shared" si="4"/>
        <v>0</v>
      </c>
      <c r="O97" s="43"/>
      <c r="P97" s="43"/>
      <c r="Q97" s="43"/>
      <c r="R97" s="43"/>
      <c r="S97" s="43"/>
      <c r="T97" s="43"/>
      <c r="U97" s="43"/>
      <c r="V97" s="58">
        <f t="shared" si="5"/>
        <v>0</v>
      </c>
      <c r="W97" s="58">
        <f t="shared" si="6"/>
        <v>0</v>
      </c>
      <c r="X97" s="43"/>
      <c r="Y97" s="58">
        <f t="shared" si="7"/>
        <v>0</v>
      </c>
      <c r="Z97" s="43"/>
    </row>
    <row r="98" spans="2:26" s="9" customFormat="1" ht="18" customHeight="1">
      <c r="B98" s="42"/>
      <c r="C98" s="42"/>
      <c r="D98" s="42"/>
      <c r="E98" s="42"/>
      <c r="F98" s="42"/>
      <c r="G98" s="42"/>
      <c r="H98" s="42"/>
      <c r="I98" s="42"/>
      <c r="J98" s="43"/>
      <c r="K98" s="43"/>
      <c r="L98" s="43"/>
      <c r="M98" s="43"/>
      <c r="N98" s="58">
        <f t="shared" si="4"/>
        <v>0</v>
      </c>
      <c r="O98" s="43"/>
      <c r="P98" s="43"/>
      <c r="Q98" s="43"/>
      <c r="R98" s="43"/>
      <c r="S98" s="43"/>
      <c r="T98" s="43"/>
      <c r="U98" s="43"/>
      <c r="V98" s="58">
        <f t="shared" si="5"/>
        <v>0</v>
      </c>
      <c r="W98" s="58">
        <f t="shared" si="6"/>
        <v>0</v>
      </c>
      <c r="X98" s="43"/>
      <c r="Y98" s="58">
        <f t="shared" si="7"/>
        <v>0</v>
      </c>
      <c r="Z98" s="43"/>
    </row>
    <row r="99" spans="2:26" s="9" customFormat="1" ht="18" customHeight="1">
      <c r="B99" s="42"/>
      <c r="C99" s="42"/>
      <c r="D99" s="42"/>
      <c r="E99" s="42"/>
      <c r="F99" s="42"/>
      <c r="G99" s="42"/>
      <c r="H99" s="42"/>
      <c r="I99" s="42"/>
      <c r="J99" s="43"/>
      <c r="K99" s="43"/>
      <c r="L99" s="43"/>
      <c r="M99" s="43"/>
      <c r="N99" s="58">
        <f t="shared" si="4"/>
        <v>0</v>
      </c>
      <c r="O99" s="43"/>
      <c r="P99" s="43"/>
      <c r="Q99" s="43"/>
      <c r="R99" s="43"/>
      <c r="S99" s="43"/>
      <c r="T99" s="43"/>
      <c r="U99" s="43"/>
      <c r="V99" s="58">
        <f t="shared" si="5"/>
        <v>0</v>
      </c>
      <c r="W99" s="58">
        <f t="shared" si="6"/>
        <v>0</v>
      </c>
      <c r="X99" s="43"/>
      <c r="Y99" s="58">
        <f t="shared" si="7"/>
        <v>0</v>
      </c>
      <c r="Z99" s="43"/>
    </row>
    <row r="100" spans="2:26" s="9" customFormat="1" ht="18" customHeight="1">
      <c r="B100" s="42"/>
      <c r="C100" s="42"/>
      <c r="D100" s="42"/>
      <c r="E100" s="42"/>
      <c r="F100" s="42"/>
      <c r="G100" s="42"/>
      <c r="H100" s="42"/>
      <c r="I100" s="42"/>
      <c r="J100" s="43"/>
      <c r="K100" s="43"/>
      <c r="L100" s="43"/>
      <c r="M100" s="43"/>
      <c r="N100" s="58">
        <f t="shared" si="4"/>
        <v>0</v>
      </c>
      <c r="O100" s="43"/>
      <c r="P100" s="43"/>
      <c r="Q100" s="43"/>
      <c r="R100" s="43"/>
      <c r="S100" s="43"/>
      <c r="T100" s="43"/>
      <c r="U100" s="43"/>
      <c r="V100" s="58">
        <f t="shared" si="5"/>
        <v>0</v>
      </c>
      <c r="W100" s="58">
        <f t="shared" si="6"/>
        <v>0</v>
      </c>
      <c r="X100" s="43"/>
      <c r="Y100" s="58">
        <f t="shared" si="7"/>
        <v>0</v>
      </c>
      <c r="Z100" s="43"/>
    </row>
    <row r="101" spans="2:26" s="9" customFormat="1" ht="18" customHeight="1">
      <c r="B101" s="42"/>
      <c r="C101" s="42"/>
      <c r="D101" s="42"/>
      <c r="E101" s="42"/>
      <c r="F101" s="42"/>
      <c r="G101" s="42"/>
      <c r="H101" s="42"/>
      <c r="I101" s="42"/>
      <c r="J101" s="43"/>
      <c r="K101" s="43"/>
      <c r="L101" s="43"/>
      <c r="M101" s="43"/>
      <c r="N101" s="58">
        <f t="shared" si="4"/>
        <v>0</v>
      </c>
      <c r="O101" s="43"/>
      <c r="P101" s="43"/>
      <c r="Q101" s="43"/>
      <c r="R101" s="43"/>
      <c r="S101" s="43"/>
      <c r="T101" s="43"/>
      <c r="U101" s="43"/>
      <c r="V101" s="58">
        <f t="shared" si="5"/>
        <v>0</v>
      </c>
      <c r="W101" s="58">
        <f t="shared" si="6"/>
        <v>0</v>
      </c>
      <c r="X101" s="43"/>
      <c r="Y101" s="58">
        <f t="shared" si="7"/>
        <v>0</v>
      </c>
      <c r="Z101" s="43"/>
    </row>
    <row r="102" spans="2:26" s="9" customFormat="1" ht="18" customHeight="1">
      <c r="B102" s="42"/>
      <c r="C102" s="42"/>
      <c r="D102" s="42"/>
      <c r="E102" s="42"/>
      <c r="F102" s="42"/>
      <c r="G102" s="42"/>
      <c r="H102" s="42"/>
      <c r="I102" s="42"/>
      <c r="J102" s="43"/>
      <c r="K102" s="43"/>
      <c r="L102" s="43"/>
      <c r="M102" s="43"/>
      <c r="N102" s="58">
        <f t="shared" si="4"/>
        <v>0</v>
      </c>
      <c r="O102" s="43"/>
      <c r="P102" s="43"/>
      <c r="Q102" s="43"/>
      <c r="R102" s="43"/>
      <c r="S102" s="43"/>
      <c r="T102" s="43"/>
      <c r="U102" s="43"/>
      <c r="V102" s="58">
        <f t="shared" si="5"/>
        <v>0</v>
      </c>
      <c r="W102" s="58">
        <f t="shared" si="6"/>
        <v>0</v>
      </c>
      <c r="X102" s="43"/>
      <c r="Y102" s="58">
        <f t="shared" si="7"/>
        <v>0</v>
      </c>
      <c r="Z102" s="43"/>
    </row>
    <row r="103" spans="2:26" s="9" customFormat="1" ht="18" customHeight="1">
      <c r="B103" s="42"/>
      <c r="C103" s="42"/>
      <c r="D103" s="42"/>
      <c r="E103" s="42"/>
      <c r="F103" s="42"/>
      <c r="G103" s="42"/>
      <c r="H103" s="42"/>
      <c r="I103" s="42"/>
      <c r="J103" s="43"/>
      <c r="K103" s="43"/>
      <c r="L103" s="43"/>
      <c r="M103" s="43"/>
      <c r="N103" s="58">
        <f t="shared" si="4"/>
        <v>0</v>
      </c>
      <c r="O103" s="43"/>
      <c r="P103" s="43"/>
      <c r="Q103" s="43"/>
      <c r="R103" s="43"/>
      <c r="S103" s="43"/>
      <c r="T103" s="43"/>
      <c r="U103" s="43"/>
      <c r="V103" s="58">
        <f t="shared" si="5"/>
        <v>0</v>
      </c>
      <c r="W103" s="58">
        <f t="shared" si="6"/>
        <v>0</v>
      </c>
      <c r="X103" s="43"/>
      <c r="Y103" s="58">
        <f t="shared" si="7"/>
        <v>0</v>
      </c>
      <c r="Z103" s="43"/>
    </row>
    <row r="104" spans="2:26" s="9" customFormat="1" ht="18" customHeight="1">
      <c r="B104" s="42"/>
      <c r="C104" s="42"/>
      <c r="D104" s="42"/>
      <c r="E104" s="42"/>
      <c r="F104" s="42"/>
      <c r="G104" s="42"/>
      <c r="H104" s="42"/>
      <c r="I104" s="42"/>
      <c r="J104" s="43"/>
      <c r="K104" s="43"/>
      <c r="L104" s="43"/>
      <c r="M104" s="43"/>
      <c r="N104" s="58">
        <f t="shared" si="4"/>
        <v>0</v>
      </c>
      <c r="O104" s="43"/>
      <c r="P104" s="43"/>
      <c r="Q104" s="43"/>
      <c r="R104" s="43"/>
      <c r="S104" s="43"/>
      <c r="T104" s="43"/>
      <c r="U104" s="43"/>
      <c r="V104" s="58">
        <f t="shared" si="5"/>
        <v>0</v>
      </c>
      <c r="W104" s="58">
        <f t="shared" si="6"/>
        <v>0</v>
      </c>
      <c r="X104" s="43"/>
      <c r="Y104" s="58">
        <f t="shared" si="7"/>
        <v>0</v>
      </c>
      <c r="Z104" s="43"/>
    </row>
    <row r="105" spans="2:26" s="9" customFormat="1" ht="18" customHeight="1">
      <c r="B105" s="42"/>
      <c r="C105" s="42"/>
      <c r="D105" s="42"/>
      <c r="E105" s="42"/>
      <c r="F105" s="42"/>
      <c r="G105" s="42"/>
      <c r="H105" s="42"/>
      <c r="I105" s="42"/>
      <c r="J105" s="43"/>
      <c r="K105" s="43"/>
      <c r="L105" s="43"/>
      <c r="M105" s="43"/>
      <c r="N105" s="58">
        <f t="shared" si="4"/>
        <v>0</v>
      </c>
      <c r="O105" s="43"/>
      <c r="P105" s="43"/>
      <c r="Q105" s="43"/>
      <c r="R105" s="43"/>
      <c r="S105" s="43"/>
      <c r="T105" s="43"/>
      <c r="U105" s="43"/>
      <c r="V105" s="58">
        <f t="shared" si="5"/>
        <v>0</v>
      </c>
      <c r="W105" s="58">
        <f t="shared" si="6"/>
        <v>0</v>
      </c>
      <c r="X105" s="43"/>
      <c r="Y105" s="58">
        <f t="shared" si="7"/>
        <v>0</v>
      </c>
      <c r="Z105" s="43"/>
    </row>
    <row r="106" spans="2:26" s="9" customFormat="1" ht="18" customHeight="1">
      <c r="B106" s="42"/>
      <c r="C106" s="42"/>
      <c r="D106" s="42"/>
      <c r="E106" s="42"/>
      <c r="F106" s="42"/>
      <c r="G106" s="42"/>
      <c r="H106" s="42"/>
      <c r="I106" s="42"/>
      <c r="J106" s="43"/>
      <c r="K106" s="43"/>
      <c r="L106" s="43"/>
      <c r="M106" s="43"/>
      <c r="N106" s="58">
        <f t="shared" si="4"/>
        <v>0</v>
      </c>
      <c r="O106" s="43"/>
      <c r="P106" s="43"/>
      <c r="Q106" s="43"/>
      <c r="R106" s="43"/>
      <c r="S106" s="43"/>
      <c r="T106" s="43"/>
      <c r="U106" s="43"/>
      <c r="V106" s="58">
        <f t="shared" si="5"/>
        <v>0</v>
      </c>
      <c r="W106" s="58">
        <f t="shared" si="6"/>
        <v>0</v>
      </c>
      <c r="X106" s="43"/>
      <c r="Y106" s="58">
        <f t="shared" si="7"/>
        <v>0</v>
      </c>
      <c r="Z106" s="43"/>
    </row>
    <row r="107" spans="2:26" ht="14.25"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58">
        <f t="shared" si="4"/>
        <v>0</v>
      </c>
      <c r="O107" s="42"/>
      <c r="P107" s="42"/>
      <c r="Q107" s="42"/>
      <c r="R107" s="42"/>
      <c r="S107" s="42"/>
      <c r="T107" s="42"/>
      <c r="U107" s="42"/>
      <c r="V107" s="58">
        <f t="shared" si="5"/>
        <v>0</v>
      </c>
      <c r="W107" s="58">
        <f t="shared" si="6"/>
        <v>0</v>
      </c>
      <c r="X107" s="42"/>
      <c r="Y107" s="58">
        <f t="shared" si="7"/>
        <v>0</v>
      </c>
      <c r="Z107" s="42"/>
    </row>
    <row r="108" spans="2:26" ht="14.25">
      <c r="N108" s="58">
        <f t="shared" si="4"/>
        <v>0</v>
      </c>
      <c r="V108" s="58">
        <f t="shared" si="5"/>
        <v>0</v>
      </c>
      <c r="W108" s="58">
        <f t="shared" si="6"/>
        <v>0</v>
      </c>
      <c r="Y108" s="58">
        <f t="shared" si="7"/>
        <v>0</v>
      </c>
    </row>
    <row r="109" spans="2:26" ht="14.25">
      <c r="N109" s="58">
        <f t="shared" si="4"/>
        <v>0</v>
      </c>
      <c r="V109" s="58">
        <f t="shared" si="5"/>
        <v>0</v>
      </c>
      <c r="W109" s="58">
        <f t="shared" si="6"/>
        <v>0</v>
      </c>
      <c r="Y109" s="58">
        <f t="shared" si="7"/>
        <v>0</v>
      </c>
    </row>
    <row r="110" spans="2:26" ht="14.25">
      <c r="N110" s="58">
        <f t="shared" si="4"/>
        <v>0</v>
      </c>
      <c r="V110" s="58">
        <f t="shared" si="5"/>
        <v>0</v>
      </c>
      <c r="W110" s="58">
        <f t="shared" si="6"/>
        <v>0</v>
      </c>
      <c r="Y110" s="58">
        <f t="shared" si="7"/>
        <v>0</v>
      </c>
    </row>
  </sheetData>
  <mergeCells count="22">
    <mergeCell ref="Y5:Y6"/>
    <mergeCell ref="Z5:Z6"/>
    <mergeCell ref="K4:U4"/>
    <mergeCell ref="C4:J4"/>
    <mergeCell ref="V4:Z4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M5"/>
    <mergeCell ref="T5:T6"/>
    <mergeCell ref="B4:B6"/>
    <mergeCell ref="O5:S5"/>
    <mergeCell ref="V5:V6"/>
    <mergeCell ref="W5:W6"/>
    <mergeCell ref="X5:X6"/>
    <mergeCell ref="U5:U6"/>
  </mergeCells>
  <phoneticPr fontId="0" type="noConversion"/>
  <pageMargins left="0.74803149606299213" right="0.74803149606299213" top="0.98425196850393704" bottom="0.98425196850393704" header="0.51181102362204722" footer="0.51181102362204722"/>
  <pageSetup scale="23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8"/>
  <sheetViews>
    <sheetView view="pageBreakPreview" zoomScale="60" zoomScaleNormal="77" workbookViewId="0">
      <selection activeCell="G3" sqref="G3"/>
    </sheetView>
  </sheetViews>
  <sheetFormatPr defaultRowHeight="30.75" customHeight="1"/>
  <cols>
    <col min="1" max="1" width="6.3359375" customWidth="1"/>
    <col min="2" max="2" width="18.47265625" customWidth="1"/>
    <col min="3" max="3" width="18.33984375" customWidth="1"/>
    <col min="4" max="4" width="19.1484375" customWidth="1"/>
    <col min="5" max="5" width="20.765625" customWidth="1"/>
    <col min="6" max="6" width="21.44140625" customWidth="1"/>
    <col min="7" max="7" width="18.87890625" customWidth="1"/>
    <col min="8" max="9" width="14.5625" customWidth="1"/>
    <col min="10" max="10" width="14.6953125" customWidth="1"/>
    <col min="11" max="11" width="18.609375" customWidth="1"/>
    <col min="12" max="12" width="19.55078125" customWidth="1"/>
    <col min="13" max="13" width="16.5859375" customWidth="1"/>
    <col min="14" max="14" width="13.078125" customWidth="1"/>
    <col min="15" max="15" width="15.640625" customWidth="1"/>
    <col min="16" max="16" width="18.87890625" customWidth="1"/>
    <col min="17" max="19" width="14.6953125" customWidth="1"/>
    <col min="20" max="20" width="18.87890625" customWidth="1"/>
    <col min="21" max="21" width="18.33984375" customWidth="1"/>
    <col min="22" max="22" width="15.1015625" customWidth="1"/>
    <col min="23" max="23" width="18.203125" customWidth="1"/>
    <col min="24" max="24" width="15.640625" customWidth="1"/>
    <col min="25" max="25" width="17.125" customWidth="1"/>
    <col min="26" max="26" width="19.6875" customWidth="1"/>
  </cols>
  <sheetData>
    <row r="1" spans="1:26" s="7" customFormat="1" ht="30.75" customHeight="1">
      <c r="A1"/>
      <c r="B1"/>
      <c r="C1"/>
      <c r="D1"/>
      <c r="E1"/>
      <c r="F1"/>
      <c r="G1"/>
      <c r="H1"/>
      <c r="I1"/>
    </row>
    <row r="2" spans="1:26" ht="30.75" customHeight="1">
      <c r="C2" s="22" t="s">
        <v>45</v>
      </c>
      <c r="G2" s="22">
        <v>2023</v>
      </c>
    </row>
    <row r="3" spans="1:26" ht="30.75" customHeight="1" thickBot="1"/>
    <row r="4" spans="1:26" s="9" customFormat="1" ht="30.75" customHeight="1">
      <c r="A4" s="393" t="s">
        <v>17</v>
      </c>
      <c r="B4" s="374" t="s">
        <v>33</v>
      </c>
      <c r="C4" s="375"/>
      <c r="D4" s="375"/>
      <c r="E4" s="375"/>
      <c r="F4" s="375"/>
      <c r="G4" s="375"/>
      <c r="H4" s="375"/>
      <c r="I4" s="375"/>
      <c r="J4" s="376"/>
      <c r="K4" s="374" t="s">
        <v>43</v>
      </c>
      <c r="L4" s="375"/>
      <c r="M4" s="375"/>
      <c r="N4" s="375"/>
      <c r="O4" s="375"/>
      <c r="P4" s="375"/>
      <c r="Q4" s="375"/>
      <c r="R4" s="375"/>
      <c r="S4" s="375"/>
      <c r="T4" s="376"/>
      <c r="U4" s="374" t="s">
        <v>39</v>
      </c>
      <c r="V4" s="375"/>
      <c r="W4" s="376"/>
      <c r="X4" s="391" t="s">
        <v>34</v>
      </c>
      <c r="Y4" s="375"/>
      <c r="Z4" s="376"/>
    </row>
    <row r="5" spans="1:26" s="9" customFormat="1" ht="30.75" customHeight="1">
      <c r="A5" s="394"/>
      <c r="B5" s="377" t="s">
        <v>21</v>
      </c>
      <c r="C5" s="379" t="s">
        <v>18</v>
      </c>
      <c r="D5" s="379" t="s">
        <v>19</v>
      </c>
      <c r="E5" s="379" t="s">
        <v>20</v>
      </c>
      <c r="F5" s="379" t="s">
        <v>22</v>
      </c>
      <c r="G5" s="379" t="s">
        <v>7</v>
      </c>
      <c r="H5" s="379" t="s">
        <v>23</v>
      </c>
      <c r="I5" s="379" t="s">
        <v>46</v>
      </c>
      <c r="J5" s="383" t="s">
        <v>32</v>
      </c>
      <c r="K5" s="377" t="s">
        <v>24</v>
      </c>
      <c r="L5" s="385" t="s">
        <v>127</v>
      </c>
      <c r="M5" s="385"/>
      <c r="N5" s="386" t="s">
        <v>128</v>
      </c>
      <c r="O5" s="387"/>
      <c r="P5" s="387"/>
      <c r="Q5" s="387"/>
      <c r="R5" s="388"/>
      <c r="S5" s="389" t="s">
        <v>129</v>
      </c>
      <c r="T5" s="383" t="s">
        <v>31</v>
      </c>
      <c r="U5" s="377" t="s">
        <v>40</v>
      </c>
      <c r="V5" s="379" t="s">
        <v>41</v>
      </c>
      <c r="W5" s="383" t="s">
        <v>42</v>
      </c>
      <c r="X5" s="392" t="s">
        <v>35</v>
      </c>
      <c r="Y5" s="379" t="s">
        <v>37</v>
      </c>
      <c r="Z5" s="383" t="s">
        <v>125</v>
      </c>
    </row>
    <row r="6" spans="1:26" s="9" customFormat="1" ht="30.75" customHeight="1">
      <c r="A6" s="394"/>
      <c r="B6" s="377"/>
      <c r="C6" s="379"/>
      <c r="D6" s="379"/>
      <c r="E6" s="379"/>
      <c r="F6" s="379"/>
      <c r="G6" s="379"/>
      <c r="H6" s="379"/>
      <c r="I6" s="379"/>
      <c r="J6" s="383"/>
      <c r="K6" s="377"/>
      <c r="L6" s="58" t="s">
        <v>25</v>
      </c>
      <c r="M6" s="58" t="s">
        <v>26</v>
      </c>
      <c r="N6" s="58" t="s">
        <v>27</v>
      </c>
      <c r="O6" s="58" t="s">
        <v>28</v>
      </c>
      <c r="P6" s="58" t="s">
        <v>29</v>
      </c>
      <c r="Q6" s="58" t="s">
        <v>30</v>
      </c>
      <c r="R6" s="58" t="s">
        <v>135</v>
      </c>
      <c r="S6" s="389"/>
      <c r="T6" s="383"/>
      <c r="U6" s="377"/>
      <c r="V6" s="379"/>
      <c r="W6" s="383"/>
      <c r="X6" s="392"/>
      <c r="Y6" s="379"/>
      <c r="Z6" s="383"/>
    </row>
    <row r="7" spans="1:26" s="9" customFormat="1" ht="30.75" customHeight="1">
      <c r="A7" s="66"/>
      <c r="B7" s="60"/>
      <c r="C7" s="42"/>
      <c r="D7" s="42"/>
      <c r="E7" s="42"/>
      <c r="F7" s="42"/>
      <c r="G7" s="42"/>
      <c r="H7" s="42"/>
      <c r="I7" s="42"/>
      <c r="J7" s="63"/>
      <c r="K7" s="62"/>
      <c r="L7" s="43"/>
      <c r="M7" s="43"/>
      <c r="N7" s="43"/>
      <c r="O7" s="43"/>
      <c r="P7" s="43"/>
      <c r="Q7" s="43"/>
      <c r="R7" s="43"/>
      <c r="S7" s="43"/>
      <c r="T7" s="63"/>
      <c r="U7" s="62"/>
      <c r="V7" s="43"/>
      <c r="W7" s="63"/>
      <c r="X7" s="61"/>
      <c r="Y7" s="43"/>
      <c r="Z7" s="63"/>
    </row>
    <row r="8" spans="1:26" s="9" customFormat="1" ht="30.75" customHeight="1">
      <c r="A8" s="66"/>
      <c r="B8" s="60"/>
      <c r="C8" s="42"/>
      <c r="D8" s="42"/>
      <c r="E8" s="42"/>
      <c r="F8" s="42"/>
      <c r="G8" s="42"/>
      <c r="H8" s="42"/>
      <c r="I8" s="42"/>
      <c r="J8" s="63"/>
      <c r="K8" s="62"/>
      <c r="L8" s="43"/>
      <c r="M8" s="43"/>
      <c r="N8" s="43"/>
      <c r="O8" s="43"/>
      <c r="P8" s="43"/>
      <c r="Q8" s="43"/>
      <c r="R8" s="43"/>
      <c r="S8" s="43"/>
      <c r="T8" s="63"/>
      <c r="U8" s="62"/>
      <c r="V8" s="43"/>
      <c r="W8" s="63"/>
      <c r="X8" s="61"/>
      <c r="Y8" s="43"/>
      <c r="Z8" s="63"/>
    </row>
    <row r="9" spans="1:26" s="9" customFormat="1" ht="30.75" customHeight="1">
      <c r="A9" s="66"/>
      <c r="B9" s="60"/>
      <c r="C9" s="42"/>
      <c r="D9" s="42"/>
      <c r="E9" s="42"/>
      <c r="F9" s="42"/>
      <c r="G9" s="42"/>
      <c r="H9" s="42"/>
      <c r="I9" s="42"/>
      <c r="J9" s="63"/>
      <c r="K9" s="62"/>
      <c r="L9" s="43"/>
      <c r="M9" s="43"/>
      <c r="N9" s="43"/>
      <c r="O9" s="43"/>
      <c r="P9" s="43"/>
      <c r="Q9" s="43"/>
      <c r="R9" s="43"/>
      <c r="S9" s="43"/>
      <c r="T9" s="63"/>
      <c r="U9" s="62"/>
      <c r="V9" s="43"/>
      <c r="W9" s="63"/>
      <c r="X9" s="61"/>
      <c r="Y9" s="43"/>
      <c r="Z9" s="63"/>
    </row>
    <row r="10" spans="1:26" s="9" customFormat="1" ht="30.75" customHeight="1">
      <c r="A10" s="66"/>
      <c r="B10" s="60"/>
      <c r="C10" s="42"/>
      <c r="D10" s="42"/>
      <c r="E10" s="42"/>
      <c r="F10" s="42"/>
      <c r="G10" s="42"/>
      <c r="H10" s="42"/>
      <c r="I10" s="42"/>
      <c r="J10" s="63"/>
      <c r="K10" s="62"/>
      <c r="L10" s="43"/>
      <c r="M10" s="43"/>
      <c r="N10" s="43"/>
      <c r="O10" s="43"/>
      <c r="P10" s="43"/>
      <c r="Q10" s="43"/>
      <c r="R10" s="43"/>
      <c r="S10" s="43"/>
      <c r="T10" s="63"/>
      <c r="U10" s="62"/>
      <c r="V10" s="43"/>
      <c r="W10" s="63"/>
      <c r="X10" s="61"/>
      <c r="Y10" s="43"/>
      <c r="Z10" s="63"/>
    </row>
    <row r="11" spans="1:26" s="9" customFormat="1" ht="30.75" customHeight="1">
      <c r="A11" s="66"/>
      <c r="B11" s="60"/>
      <c r="C11" s="42"/>
      <c r="D11" s="42"/>
      <c r="E11" s="42"/>
      <c r="F11" s="42"/>
      <c r="G11" s="42"/>
      <c r="H11" s="42"/>
      <c r="I11" s="42"/>
      <c r="J11" s="63"/>
      <c r="K11" s="62"/>
      <c r="L11" s="43"/>
      <c r="M11" s="43"/>
      <c r="N11" s="43"/>
      <c r="O11" s="43"/>
      <c r="P11" s="43"/>
      <c r="Q11" s="43"/>
      <c r="R11" s="43"/>
      <c r="S11" s="43"/>
      <c r="T11" s="63"/>
      <c r="U11" s="62"/>
      <c r="V11" s="43"/>
      <c r="W11" s="63"/>
      <c r="X11" s="61"/>
      <c r="Y11" s="43"/>
      <c r="Z11" s="63"/>
    </row>
    <row r="12" spans="1:26" s="9" customFormat="1" ht="30.75" customHeight="1">
      <c r="A12" s="66"/>
      <c r="B12" s="60"/>
      <c r="C12" s="42"/>
      <c r="D12" s="42"/>
      <c r="E12" s="42"/>
      <c r="F12" s="42"/>
      <c r="G12" s="42"/>
      <c r="H12" s="42"/>
      <c r="I12" s="42"/>
      <c r="J12" s="63"/>
      <c r="K12" s="62"/>
      <c r="L12" s="43"/>
      <c r="M12" s="43"/>
      <c r="N12" s="43"/>
      <c r="O12" s="43"/>
      <c r="P12" s="43"/>
      <c r="Q12" s="43"/>
      <c r="R12" s="43"/>
      <c r="S12" s="43"/>
      <c r="T12" s="63"/>
      <c r="U12" s="62"/>
      <c r="V12" s="43"/>
      <c r="W12" s="63"/>
      <c r="X12" s="61"/>
      <c r="Y12" s="43"/>
      <c r="Z12" s="63"/>
    </row>
    <row r="13" spans="1:26" s="9" customFormat="1" ht="30.75" customHeight="1">
      <c r="A13" s="66"/>
      <c r="B13" s="60"/>
      <c r="C13" s="42"/>
      <c r="D13" s="42"/>
      <c r="E13" s="42"/>
      <c r="F13" s="42"/>
      <c r="G13" s="42"/>
      <c r="H13" s="42"/>
      <c r="I13" s="42"/>
      <c r="J13" s="63"/>
      <c r="K13" s="62"/>
      <c r="L13" s="43"/>
      <c r="M13" s="43"/>
      <c r="N13" s="43"/>
      <c r="O13" s="43"/>
      <c r="P13" s="43"/>
      <c r="Q13" s="43"/>
      <c r="R13" s="43"/>
      <c r="S13" s="43"/>
      <c r="T13" s="63"/>
      <c r="U13" s="62"/>
      <c r="V13" s="43"/>
      <c r="W13" s="63"/>
      <c r="X13" s="61"/>
      <c r="Y13" s="43"/>
      <c r="Z13" s="63"/>
    </row>
    <row r="14" spans="1:26" s="9" customFormat="1" ht="30.75" customHeight="1">
      <c r="A14" s="66"/>
      <c r="B14" s="60"/>
      <c r="C14" s="42"/>
      <c r="D14" s="42"/>
      <c r="E14" s="42"/>
      <c r="F14" s="42"/>
      <c r="G14" s="42"/>
      <c r="H14" s="42"/>
      <c r="I14" s="42"/>
      <c r="J14" s="63"/>
      <c r="K14" s="62"/>
      <c r="L14" s="43"/>
      <c r="M14" s="43"/>
      <c r="N14" s="43"/>
      <c r="O14" s="43"/>
      <c r="P14" s="43"/>
      <c r="Q14" s="43"/>
      <c r="R14" s="43"/>
      <c r="S14" s="43"/>
      <c r="T14" s="63"/>
      <c r="U14" s="62"/>
      <c r="V14" s="43"/>
      <c r="W14" s="63"/>
      <c r="X14" s="61"/>
      <c r="Y14" s="43"/>
      <c r="Z14" s="63"/>
    </row>
    <row r="15" spans="1:26" s="9" customFormat="1" ht="30.75" customHeight="1">
      <c r="A15" s="66"/>
      <c r="B15" s="60"/>
      <c r="C15" s="42"/>
      <c r="D15" s="42"/>
      <c r="E15" s="42"/>
      <c r="F15" s="42"/>
      <c r="G15" s="42"/>
      <c r="H15" s="42"/>
      <c r="I15" s="42"/>
      <c r="J15" s="63"/>
      <c r="K15" s="62"/>
      <c r="L15" s="43"/>
      <c r="M15" s="43"/>
      <c r="N15" s="43"/>
      <c r="O15" s="43"/>
      <c r="P15" s="43"/>
      <c r="Q15" s="43"/>
      <c r="R15" s="43"/>
      <c r="S15" s="43"/>
      <c r="T15" s="63"/>
      <c r="U15" s="62"/>
      <c r="V15" s="43"/>
      <c r="W15" s="63"/>
      <c r="X15" s="61"/>
      <c r="Y15" s="43"/>
      <c r="Z15" s="63"/>
    </row>
    <row r="16" spans="1:26" s="9" customFormat="1" ht="30.75" customHeight="1" thickBot="1">
      <c r="A16" s="67"/>
      <c r="B16" s="64"/>
      <c r="C16" s="65"/>
      <c r="D16" s="65"/>
      <c r="E16" s="65"/>
      <c r="F16" s="65"/>
      <c r="G16" s="65"/>
      <c r="H16" s="65"/>
      <c r="I16" s="65"/>
      <c r="J16" s="70"/>
      <c r="K16" s="68"/>
      <c r="L16" s="69"/>
      <c r="M16" s="69"/>
      <c r="N16" s="69"/>
      <c r="O16" s="69"/>
      <c r="P16" s="69"/>
      <c r="Q16" s="69"/>
      <c r="R16" s="69"/>
      <c r="S16" s="69"/>
      <c r="T16" s="70"/>
      <c r="U16" s="68"/>
      <c r="V16" s="69"/>
      <c r="W16" s="70"/>
      <c r="X16" s="71"/>
      <c r="Y16" s="69"/>
      <c r="Z16" s="70"/>
    </row>
    <row r="17" spans="1:25" s="9" customFormat="1" ht="30.75" customHeight="1">
      <c r="A17"/>
      <c r="B17"/>
      <c r="C17"/>
      <c r="D17"/>
      <c r="E17"/>
      <c r="F17"/>
      <c r="G17"/>
      <c r="H17"/>
      <c r="I17"/>
    </row>
    <row r="18" spans="1:25" ht="30.75" customHeight="1">
      <c r="Y18" s="57" t="s">
        <v>126</v>
      </c>
    </row>
  </sheetData>
  <mergeCells count="25">
    <mergeCell ref="A4:A6"/>
    <mergeCell ref="B4:J4"/>
    <mergeCell ref="K4:T4"/>
    <mergeCell ref="U4:W4"/>
    <mergeCell ref="G5:G6"/>
    <mergeCell ref="H5:H6"/>
    <mergeCell ref="I5:I6"/>
    <mergeCell ref="J5:J6"/>
    <mergeCell ref="K5:K6"/>
    <mergeCell ref="N5:R5"/>
    <mergeCell ref="S5:S6"/>
    <mergeCell ref="T5:T6"/>
    <mergeCell ref="U5:U6"/>
    <mergeCell ref="V5:V6"/>
    <mergeCell ref="W5:W6"/>
    <mergeCell ref="X4:Z4"/>
    <mergeCell ref="B5:B6"/>
    <mergeCell ref="C5:C6"/>
    <mergeCell ref="D5:D6"/>
    <mergeCell ref="E5:E6"/>
    <mergeCell ref="F5:F6"/>
    <mergeCell ref="L5:M5"/>
    <mergeCell ref="X5:X6"/>
    <mergeCell ref="Y5:Y6"/>
    <mergeCell ref="Z5:Z6"/>
  </mergeCells>
  <pageMargins left="0.25" right="0.25" top="0.75" bottom="0.75" header="0.3" footer="0.3"/>
  <pageSetup scale="3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Z18"/>
  <sheetViews>
    <sheetView view="pageBreakPreview" zoomScale="60" zoomScaleNormal="77" workbookViewId="0">
      <selection activeCell="G3" sqref="G3"/>
    </sheetView>
  </sheetViews>
  <sheetFormatPr defaultRowHeight="30.75" customHeight="1"/>
  <cols>
    <col min="1" max="1" width="6.3359375" customWidth="1"/>
    <col min="2" max="2" width="18.47265625" customWidth="1"/>
    <col min="3" max="3" width="18.33984375" customWidth="1"/>
    <col min="4" max="4" width="19.1484375" customWidth="1"/>
    <col min="5" max="5" width="20.765625" customWidth="1"/>
    <col min="6" max="6" width="21.44140625" customWidth="1"/>
    <col min="7" max="7" width="18.87890625" customWidth="1"/>
    <col min="8" max="9" width="14.5625" customWidth="1"/>
    <col min="10" max="10" width="14.6953125" customWidth="1"/>
    <col min="11" max="11" width="18.609375" customWidth="1"/>
    <col min="12" max="12" width="19.55078125" customWidth="1"/>
    <col min="13" max="13" width="16.5859375" customWidth="1"/>
    <col min="14" max="14" width="13.078125" customWidth="1"/>
    <col min="15" max="15" width="15.640625" customWidth="1"/>
    <col min="16" max="16" width="18.87890625" customWidth="1"/>
    <col min="17" max="19" width="14.6953125" customWidth="1"/>
    <col min="20" max="20" width="18.87890625" customWidth="1"/>
    <col min="21" max="21" width="18.33984375" customWidth="1"/>
    <col min="22" max="22" width="15.1015625" customWidth="1"/>
    <col min="23" max="23" width="18.203125" customWidth="1"/>
    <col min="24" max="24" width="15.640625" customWidth="1"/>
    <col min="25" max="25" width="17.125" customWidth="1"/>
    <col min="26" max="26" width="19.6875" customWidth="1"/>
  </cols>
  <sheetData>
    <row r="1" spans="1:26" s="7" customFormat="1" ht="30.75" customHeight="1">
      <c r="A1"/>
      <c r="B1"/>
      <c r="C1"/>
      <c r="D1"/>
      <c r="E1"/>
      <c r="F1"/>
      <c r="G1"/>
      <c r="H1"/>
      <c r="I1"/>
    </row>
    <row r="2" spans="1:26" ht="30.75" customHeight="1">
      <c r="C2" s="22" t="s">
        <v>45</v>
      </c>
      <c r="G2" s="22">
        <v>2024</v>
      </c>
    </row>
    <row r="3" spans="1:26" ht="30.75" customHeight="1" thickBot="1"/>
    <row r="4" spans="1:26" s="9" customFormat="1" ht="30.75" customHeight="1">
      <c r="A4" s="393" t="s">
        <v>17</v>
      </c>
      <c r="B4" s="374" t="s">
        <v>33</v>
      </c>
      <c r="C4" s="375"/>
      <c r="D4" s="375"/>
      <c r="E4" s="375"/>
      <c r="F4" s="375"/>
      <c r="G4" s="375"/>
      <c r="H4" s="375"/>
      <c r="I4" s="375"/>
      <c r="J4" s="376"/>
      <c r="K4" s="374" t="s">
        <v>43</v>
      </c>
      <c r="L4" s="375"/>
      <c r="M4" s="375"/>
      <c r="N4" s="375"/>
      <c r="O4" s="375"/>
      <c r="P4" s="375"/>
      <c r="Q4" s="375"/>
      <c r="R4" s="375"/>
      <c r="S4" s="375"/>
      <c r="T4" s="376"/>
      <c r="U4" s="374" t="s">
        <v>39</v>
      </c>
      <c r="V4" s="375"/>
      <c r="W4" s="376"/>
      <c r="X4" s="391" t="s">
        <v>34</v>
      </c>
      <c r="Y4" s="375"/>
      <c r="Z4" s="376"/>
    </row>
    <row r="5" spans="1:26" s="9" customFormat="1" ht="30.75" customHeight="1">
      <c r="A5" s="394"/>
      <c r="B5" s="377" t="s">
        <v>21</v>
      </c>
      <c r="C5" s="379" t="s">
        <v>18</v>
      </c>
      <c r="D5" s="379" t="s">
        <v>19</v>
      </c>
      <c r="E5" s="379" t="s">
        <v>20</v>
      </c>
      <c r="F5" s="379" t="s">
        <v>22</v>
      </c>
      <c r="G5" s="379" t="s">
        <v>7</v>
      </c>
      <c r="H5" s="379" t="s">
        <v>23</v>
      </c>
      <c r="I5" s="379" t="s">
        <v>46</v>
      </c>
      <c r="J5" s="383" t="s">
        <v>32</v>
      </c>
      <c r="K5" s="377" t="s">
        <v>24</v>
      </c>
      <c r="L5" s="385" t="s">
        <v>127</v>
      </c>
      <c r="M5" s="385"/>
      <c r="N5" s="386" t="s">
        <v>128</v>
      </c>
      <c r="O5" s="387"/>
      <c r="P5" s="387"/>
      <c r="Q5" s="387"/>
      <c r="R5" s="388"/>
      <c r="S5" s="389" t="s">
        <v>129</v>
      </c>
      <c r="T5" s="383" t="s">
        <v>31</v>
      </c>
      <c r="U5" s="377" t="s">
        <v>40</v>
      </c>
      <c r="V5" s="379" t="s">
        <v>41</v>
      </c>
      <c r="W5" s="383" t="s">
        <v>42</v>
      </c>
      <c r="X5" s="392" t="s">
        <v>35</v>
      </c>
      <c r="Y5" s="379" t="s">
        <v>37</v>
      </c>
      <c r="Z5" s="383" t="s">
        <v>125</v>
      </c>
    </row>
    <row r="6" spans="1:26" s="9" customFormat="1" ht="30.75" customHeight="1">
      <c r="A6" s="394"/>
      <c r="B6" s="377"/>
      <c r="C6" s="379"/>
      <c r="D6" s="379"/>
      <c r="E6" s="379"/>
      <c r="F6" s="379"/>
      <c r="G6" s="379"/>
      <c r="H6" s="379"/>
      <c r="I6" s="379"/>
      <c r="J6" s="383"/>
      <c r="K6" s="377"/>
      <c r="L6" s="58" t="s">
        <v>25</v>
      </c>
      <c r="M6" s="58" t="s">
        <v>26</v>
      </c>
      <c r="N6" s="58" t="s">
        <v>27</v>
      </c>
      <c r="O6" s="58" t="s">
        <v>28</v>
      </c>
      <c r="P6" s="58" t="s">
        <v>29</v>
      </c>
      <c r="Q6" s="58" t="s">
        <v>30</v>
      </c>
      <c r="R6" s="58" t="s">
        <v>135</v>
      </c>
      <c r="S6" s="389"/>
      <c r="T6" s="383"/>
      <c r="U6" s="377"/>
      <c r="V6" s="379"/>
      <c r="W6" s="383"/>
      <c r="X6" s="392"/>
      <c r="Y6" s="379"/>
      <c r="Z6" s="383"/>
    </row>
    <row r="7" spans="1:26" s="9" customFormat="1" ht="30.75" customHeight="1">
      <c r="A7" s="66"/>
      <c r="B7" s="60"/>
      <c r="C7" s="42"/>
      <c r="D7" s="42"/>
      <c r="E7" s="42"/>
      <c r="F7" s="42"/>
      <c r="G7" s="42"/>
      <c r="H7" s="42"/>
      <c r="I7" s="42"/>
      <c r="J7" s="63"/>
      <c r="K7" s="62"/>
      <c r="L7" s="43"/>
      <c r="M7" s="43"/>
      <c r="N7" s="43"/>
      <c r="O7" s="43"/>
      <c r="P7" s="43"/>
      <c r="Q7" s="43"/>
      <c r="R7" s="43"/>
      <c r="S7" s="43"/>
      <c r="T7" s="63"/>
      <c r="U7" s="62"/>
      <c r="V7" s="43"/>
      <c r="W7" s="63"/>
      <c r="X7" s="61"/>
      <c r="Y7" s="43"/>
      <c r="Z7" s="63"/>
    </row>
    <row r="8" spans="1:26" s="9" customFormat="1" ht="30.75" customHeight="1">
      <c r="A8" s="66"/>
      <c r="B8" s="60"/>
      <c r="C8" s="42"/>
      <c r="D8" s="42"/>
      <c r="E8" s="42"/>
      <c r="F8" s="42"/>
      <c r="G8" s="42"/>
      <c r="H8" s="42"/>
      <c r="I8" s="42"/>
      <c r="J8" s="63"/>
      <c r="K8" s="62"/>
      <c r="L8" s="43"/>
      <c r="M8" s="43"/>
      <c r="N8" s="43"/>
      <c r="O8" s="43"/>
      <c r="P8" s="43"/>
      <c r="Q8" s="43"/>
      <c r="R8" s="43"/>
      <c r="S8" s="43"/>
      <c r="T8" s="63"/>
      <c r="U8" s="62"/>
      <c r="V8" s="43"/>
      <c r="W8" s="63"/>
      <c r="X8" s="61"/>
      <c r="Y8" s="43"/>
      <c r="Z8" s="63"/>
    </row>
    <row r="9" spans="1:26" s="9" customFormat="1" ht="30.75" customHeight="1">
      <c r="A9" s="66"/>
      <c r="B9" s="60"/>
      <c r="C9" s="42"/>
      <c r="D9" s="42"/>
      <c r="E9" s="42"/>
      <c r="F9" s="42"/>
      <c r="G9" s="42"/>
      <c r="H9" s="42"/>
      <c r="I9" s="42"/>
      <c r="J9" s="63"/>
      <c r="K9" s="62"/>
      <c r="L9" s="43"/>
      <c r="M9" s="43"/>
      <c r="N9" s="43"/>
      <c r="O9" s="43"/>
      <c r="P9" s="43"/>
      <c r="Q9" s="43"/>
      <c r="R9" s="43"/>
      <c r="S9" s="43"/>
      <c r="T9" s="63"/>
      <c r="U9" s="62"/>
      <c r="V9" s="43"/>
      <c r="W9" s="63"/>
      <c r="X9" s="61"/>
      <c r="Y9" s="43"/>
      <c r="Z9" s="63"/>
    </row>
    <row r="10" spans="1:26" s="9" customFormat="1" ht="30.75" customHeight="1">
      <c r="A10" s="66"/>
      <c r="B10" s="60"/>
      <c r="C10" s="42"/>
      <c r="D10" s="42"/>
      <c r="E10" s="42"/>
      <c r="F10" s="42"/>
      <c r="G10" s="42"/>
      <c r="H10" s="42"/>
      <c r="I10" s="42"/>
      <c r="J10" s="63"/>
      <c r="K10" s="62"/>
      <c r="L10" s="43"/>
      <c r="M10" s="43"/>
      <c r="N10" s="43"/>
      <c r="O10" s="43"/>
      <c r="P10" s="43"/>
      <c r="Q10" s="43"/>
      <c r="R10" s="43"/>
      <c r="S10" s="43"/>
      <c r="T10" s="63"/>
      <c r="U10" s="62"/>
      <c r="V10" s="43"/>
      <c r="W10" s="63"/>
      <c r="X10" s="61"/>
      <c r="Y10" s="43"/>
      <c r="Z10" s="63"/>
    </row>
    <row r="11" spans="1:26" s="9" customFormat="1" ht="30.75" customHeight="1">
      <c r="A11" s="66"/>
      <c r="B11" s="60"/>
      <c r="C11" s="42"/>
      <c r="D11" s="42"/>
      <c r="E11" s="42"/>
      <c r="F11" s="42"/>
      <c r="G11" s="42"/>
      <c r="H11" s="42"/>
      <c r="I11" s="42"/>
      <c r="J11" s="63"/>
      <c r="K11" s="62"/>
      <c r="L11" s="43"/>
      <c r="M11" s="43"/>
      <c r="N11" s="43"/>
      <c r="O11" s="43"/>
      <c r="P11" s="43"/>
      <c r="Q11" s="43"/>
      <c r="R11" s="43"/>
      <c r="S11" s="43"/>
      <c r="T11" s="63"/>
      <c r="U11" s="62"/>
      <c r="V11" s="43"/>
      <c r="W11" s="63"/>
      <c r="X11" s="61"/>
      <c r="Y11" s="43"/>
      <c r="Z11" s="63"/>
    </row>
    <row r="12" spans="1:26" s="9" customFormat="1" ht="30.75" customHeight="1">
      <c r="A12" s="66"/>
      <c r="B12" s="60"/>
      <c r="C12" s="42"/>
      <c r="D12" s="42"/>
      <c r="E12" s="42"/>
      <c r="F12" s="42"/>
      <c r="G12" s="42"/>
      <c r="H12" s="42"/>
      <c r="I12" s="42"/>
      <c r="J12" s="63"/>
      <c r="K12" s="62"/>
      <c r="L12" s="43"/>
      <c r="M12" s="43"/>
      <c r="N12" s="43"/>
      <c r="O12" s="43"/>
      <c r="P12" s="43"/>
      <c r="Q12" s="43"/>
      <c r="R12" s="43"/>
      <c r="S12" s="43"/>
      <c r="T12" s="63"/>
      <c r="U12" s="62"/>
      <c r="V12" s="43"/>
      <c r="W12" s="63"/>
      <c r="X12" s="61"/>
      <c r="Y12" s="43"/>
      <c r="Z12" s="63"/>
    </row>
    <row r="13" spans="1:26" s="9" customFormat="1" ht="30.75" customHeight="1">
      <c r="A13" s="66"/>
      <c r="B13" s="60"/>
      <c r="C13" s="42"/>
      <c r="D13" s="42"/>
      <c r="E13" s="42"/>
      <c r="F13" s="42"/>
      <c r="G13" s="42"/>
      <c r="H13" s="42"/>
      <c r="I13" s="42"/>
      <c r="J13" s="63"/>
      <c r="K13" s="62"/>
      <c r="L13" s="43"/>
      <c r="M13" s="43"/>
      <c r="N13" s="43"/>
      <c r="O13" s="43"/>
      <c r="P13" s="43"/>
      <c r="Q13" s="43"/>
      <c r="R13" s="43"/>
      <c r="S13" s="43"/>
      <c r="T13" s="63"/>
      <c r="U13" s="62"/>
      <c r="V13" s="43"/>
      <c r="W13" s="63"/>
      <c r="X13" s="61"/>
      <c r="Y13" s="43"/>
      <c r="Z13" s="63"/>
    </row>
    <row r="14" spans="1:26" s="9" customFormat="1" ht="30.75" customHeight="1">
      <c r="A14" s="66"/>
      <c r="B14" s="60"/>
      <c r="C14" s="42"/>
      <c r="D14" s="42"/>
      <c r="E14" s="42"/>
      <c r="F14" s="42"/>
      <c r="G14" s="42"/>
      <c r="H14" s="42"/>
      <c r="I14" s="42"/>
      <c r="J14" s="63"/>
      <c r="K14" s="62"/>
      <c r="L14" s="43"/>
      <c r="M14" s="43"/>
      <c r="N14" s="43"/>
      <c r="O14" s="43"/>
      <c r="P14" s="43"/>
      <c r="Q14" s="43"/>
      <c r="R14" s="43"/>
      <c r="S14" s="43"/>
      <c r="T14" s="63"/>
      <c r="U14" s="62"/>
      <c r="V14" s="43"/>
      <c r="W14" s="63"/>
      <c r="X14" s="61"/>
      <c r="Y14" s="43"/>
      <c r="Z14" s="63"/>
    </row>
    <row r="15" spans="1:26" s="9" customFormat="1" ht="30.75" customHeight="1">
      <c r="A15" s="66"/>
      <c r="B15" s="60"/>
      <c r="C15" s="42"/>
      <c r="D15" s="42"/>
      <c r="E15" s="42"/>
      <c r="F15" s="42"/>
      <c r="G15" s="42"/>
      <c r="H15" s="42"/>
      <c r="I15" s="42"/>
      <c r="J15" s="63"/>
      <c r="K15" s="62"/>
      <c r="L15" s="43"/>
      <c r="M15" s="43"/>
      <c r="N15" s="43"/>
      <c r="O15" s="43"/>
      <c r="P15" s="43"/>
      <c r="Q15" s="43"/>
      <c r="R15" s="43"/>
      <c r="S15" s="43"/>
      <c r="T15" s="63"/>
      <c r="U15" s="62"/>
      <c r="V15" s="43"/>
      <c r="W15" s="63"/>
      <c r="X15" s="61"/>
      <c r="Y15" s="43"/>
      <c r="Z15" s="63"/>
    </row>
    <row r="16" spans="1:26" s="9" customFormat="1" ht="30.75" customHeight="1" thickBot="1">
      <c r="A16" s="67"/>
      <c r="B16" s="64"/>
      <c r="C16" s="65"/>
      <c r="D16" s="65"/>
      <c r="E16" s="65"/>
      <c r="F16" s="65"/>
      <c r="G16" s="65"/>
      <c r="H16" s="65"/>
      <c r="I16" s="65"/>
      <c r="J16" s="70"/>
      <c r="K16" s="68"/>
      <c r="L16" s="69"/>
      <c r="M16" s="69"/>
      <c r="N16" s="69"/>
      <c r="O16" s="69"/>
      <c r="P16" s="69"/>
      <c r="Q16" s="69"/>
      <c r="R16" s="69"/>
      <c r="S16" s="69"/>
      <c r="T16" s="70"/>
      <c r="U16" s="68"/>
      <c r="V16" s="69"/>
      <c r="W16" s="70"/>
      <c r="X16" s="71"/>
      <c r="Y16" s="69"/>
      <c r="Z16" s="70"/>
    </row>
    <row r="17" spans="1:25" s="9" customFormat="1" ht="30.75" customHeight="1">
      <c r="A17"/>
      <c r="B17"/>
      <c r="C17"/>
      <c r="D17"/>
      <c r="E17"/>
      <c r="F17"/>
      <c r="G17"/>
      <c r="H17"/>
      <c r="I17"/>
    </row>
    <row r="18" spans="1:25" ht="30.75" customHeight="1">
      <c r="Y18" s="57" t="s">
        <v>126</v>
      </c>
    </row>
  </sheetData>
  <mergeCells count="25">
    <mergeCell ref="S5:S6"/>
    <mergeCell ref="T5:T6"/>
    <mergeCell ref="B5:B6"/>
    <mergeCell ref="C5:C6"/>
    <mergeCell ref="D5:D6"/>
    <mergeCell ref="E5:E6"/>
    <mergeCell ref="F5:F6"/>
    <mergeCell ref="G5:G6"/>
    <mergeCell ref="H5:H6"/>
    <mergeCell ref="X5:X6"/>
    <mergeCell ref="Y5:Y6"/>
    <mergeCell ref="Z5:Z6"/>
    <mergeCell ref="A4:A6"/>
    <mergeCell ref="N5:R5"/>
    <mergeCell ref="I5:I6"/>
    <mergeCell ref="J5:J6"/>
    <mergeCell ref="U5:U6"/>
    <mergeCell ref="V5:V6"/>
    <mergeCell ref="W5:W6"/>
    <mergeCell ref="B4:J4"/>
    <mergeCell ref="K4:T4"/>
    <mergeCell ref="U4:W4"/>
    <mergeCell ref="X4:Z4"/>
    <mergeCell ref="K5:K6"/>
    <mergeCell ref="L5:M5"/>
  </mergeCells>
  <pageMargins left="0.25" right="0.25" top="0.75" bottom="0.75" header="0.3" footer="0.3"/>
  <pageSetup scale="31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I153"/>
  <sheetViews>
    <sheetView zoomScaleNormal="100" zoomScaleSheetLayoutView="100" workbookViewId="0">
      <selection activeCell="H6" sqref="H6"/>
    </sheetView>
  </sheetViews>
  <sheetFormatPr defaultRowHeight="12.75"/>
  <cols>
    <col min="2" max="2" width="5.796875" customWidth="1"/>
    <col min="3" max="3" width="13.484375" customWidth="1"/>
    <col min="4" max="4" width="35.1953125" bestFit="1" customWidth="1"/>
    <col min="5" max="5" width="25.21484375" customWidth="1"/>
    <col min="6" max="6" width="26.69921875" customWidth="1"/>
    <col min="7" max="7" width="25.62109375" style="101" customWidth="1"/>
    <col min="9" max="9" width="14.5625" customWidth="1"/>
  </cols>
  <sheetData>
    <row r="2" spans="1:9" ht="15" thickBot="1">
      <c r="D2" s="366" t="s">
        <v>53</v>
      </c>
      <c r="E2" s="366"/>
      <c r="F2" s="366"/>
      <c r="G2" s="366"/>
    </row>
    <row r="3" spans="1:9">
      <c r="B3" s="156"/>
      <c r="C3" s="27" t="s">
        <v>49</v>
      </c>
      <c r="D3" s="26"/>
      <c r="E3" s="27" t="s">
        <v>50</v>
      </c>
      <c r="F3" s="26" t="s">
        <v>52</v>
      </c>
      <c r="G3" s="151" t="s">
        <v>49</v>
      </c>
      <c r="H3" s="24"/>
      <c r="I3" s="153" t="s">
        <v>215</v>
      </c>
    </row>
    <row r="4" spans="1:9" ht="13.5" thickBot="1">
      <c r="B4" s="157" t="s">
        <v>17</v>
      </c>
      <c r="C4" s="45" t="s">
        <v>3</v>
      </c>
      <c r="D4" s="44" t="s">
        <v>48</v>
      </c>
      <c r="E4" s="45" t="s">
        <v>51</v>
      </c>
      <c r="F4" s="44" t="s">
        <v>49</v>
      </c>
      <c r="G4" s="152" t="s">
        <v>54</v>
      </c>
      <c r="H4" s="154"/>
      <c r="I4" s="155" t="s">
        <v>216</v>
      </c>
    </row>
    <row r="5" spans="1:9" ht="15.75">
      <c r="A5" s="92"/>
      <c r="B5" s="59">
        <v>1</v>
      </c>
      <c r="C5" s="103"/>
      <c r="D5" s="99"/>
      <c r="E5" s="42"/>
      <c r="F5" s="99"/>
      <c r="G5" s="100"/>
      <c r="H5" s="59"/>
      <c r="I5" s="42"/>
    </row>
    <row r="6" spans="1:9" ht="15.75">
      <c r="A6" s="92"/>
      <c r="B6" s="42">
        <v>2</v>
      </c>
      <c r="C6" s="103"/>
      <c r="D6" s="99"/>
      <c r="E6" s="42"/>
      <c r="F6" s="99"/>
      <c r="G6" s="100"/>
      <c r="H6" s="42"/>
      <c r="I6" s="100"/>
    </row>
    <row r="7" spans="1:9" ht="15.75">
      <c r="A7" s="92"/>
      <c r="B7" s="42">
        <v>3</v>
      </c>
      <c r="C7" s="103"/>
      <c r="D7" s="99"/>
      <c r="E7" s="42"/>
      <c r="F7" s="99"/>
      <c r="G7" s="100"/>
      <c r="H7" s="42"/>
      <c r="I7" s="42"/>
    </row>
    <row r="8" spans="1:9" ht="15.75">
      <c r="A8" s="92"/>
      <c r="B8" s="42">
        <v>4</v>
      </c>
      <c r="C8" s="104"/>
      <c r="D8" s="99"/>
      <c r="E8" s="99"/>
      <c r="F8" s="99"/>
      <c r="G8" s="100"/>
      <c r="H8" s="42"/>
      <c r="I8" s="42"/>
    </row>
    <row r="9" spans="1:9" ht="15.75">
      <c r="A9" s="92"/>
      <c r="B9" s="42">
        <v>5</v>
      </c>
      <c r="C9" s="102"/>
      <c r="D9" s="99"/>
      <c r="E9" s="42"/>
      <c r="F9" s="99"/>
      <c r="G9" s="100"/>
      <c r="H9" s="42"/>
      <c r="I9" s="42"/>
    </row>
    <row r="10" spans="1:9" ht="15.75">
      <c r="A10" s="92"/>
      <c r="B10" s="42">
        <v>6</v>
      </c>
      <c r="C10" s="102"/>
      <c r="D10" s="99"/>
      <c r="E10" s="42"/>
      <c r="F10" s="99"/>
      <c r="G10" s="100"/>
      <c r="H10" s="42"/>
      <c r="I10" s="42"/>
    </row>
    <row r="11" spans="1:9" ht="15.75">
      <c r="A11" s="92"/>
      <c r="B11" s="42">
        <v>7</v>
      </c>
      <c r="C11" s="102"/>
      <c r="D11" s="99"/>
      <c r="E11" s="42"/>
      <c r="F11" s="99"/>
      <c r="G11" s="100"/>
      <c r="H11" s="42"/>
      <c r="I11" s="42"/>
    </row>
    <row r="12" spans="1:9" ht="15.75">
      <c r="A12" s="92"/>
      <c r="B12" s="42">
        <v>8</v>
      </c>
      <c r="C12" s="102"/>
      <c r="D12" s="99"/>
      <c r="E12" s="42"/>
      <c r="F12" s="99"/>
      <c r="G12" s="100"/>
      <c r="H12" s="42"/>
      <c r="I12" s="42"/>
    </row>
    <row r="13" spans="1:9" ht="15.75">
      <c r="A13" s="92"/>
      <c r="B13" s="42">
        <v>9</v>
      </c>
      <c r="C13" s="102"/>
      <c r="D13" s="99"/>
      <c r="E13" s="42"/>
      <c r="F13" s="99"/>
      <c r="G13" s="100"/>
      <c r="H13" s="42"/>
      <c r="I13" s="42"/>
    </row>
    <row r="14" spans="1:9" ht="15.75">
      <c r="A14" s="92"/>
      <c r="B14" s="42">
        <v>10</v>
      </c>
      <c r="C14" s="102"/>
      <c r="D14" s="99"/>
      <c r="E14" s="42"/>
      <c r="F14" s="99"/>
      <c r="G14" s="100"/>
      <c r="H14" s="42"/>
      <c r="I14" s="42"/>
    </row>
    <row r="15" spans="1:9" ht="15.75">
      <c r="A15" s="92"/>
      <c r="B15" s="42">
        <v>11</v>
      </c>
      <c r="C15" s="102"/>
      <c r="D15" s="99"/>
      <c r="E15" s="42"/>
      <c r="F15" s="99"/>
      <c r="G15" s="100"/>
      <c r="H15" s="42"/>
      <c r="I15" s="42"/>
    </row>
    <row r="16" spans="1:9" ht="15.75">
      <c r="A16" s="92"/>
      <c r="B16" s="42">
        <v>12</v>
      </c>
      <c r="C16" s="102"/>
      <c r="D16" s="99"/>
      <c r="E16" s="42"/>
      <c r="F16" s="99"/>
      <c r="G16" s="100"/>
      <c r="H16" s="42"/>
      <c r="I16" s="42"/>
    </row>
    <row r="17" spans="1:9" ht="15.75">
      <c r="A17" s="92"/>
      <c r="B17" s="42">
        <v>13</v>
      </c>
      <c r="C17" s="102"/>
      <c r="D17" s="99"/>
      <c r="E17" s="42"/>
      <c r="F17" s="99"/>
      <c r="G17" s="100"/>
      <c r="H17" s="42"/>
      <c r="I17" s="42"/>
    </row>
    <row r="18" spans="1:9" ht="15.75">
      <c r="A18" s="92"/>
      <c r="B18" s="42">
        <v>14</v>
      </c>
      <c r="C18" s="102"/>
      <c r="D18" s="99"/>
      <c r="E18" s="42"/>
      <c r="F18" s="99"/>
      <c r="G18" s="100"/>
      <c r="H18" s="42"/>
      <c r="I18" s="42"/>
    </row>
    <row r="19" spans="1:9" ht="15.75">
      <c r="A19" s="92"/>
      <c r="B19" s="42">
        <v>15</v>
      </c>
      <c r="C19" s="103"/>
      <c r="D19" s="99"/>
      <c r="E19" s="42"/>
      <c r="F19" s="99"/>
      <c r="G19" s="100"/>
      <c r="H19" s="42"/>
      <c r="I19" s="42"/>
    </row>
    <row r="20" spans="1:9" ht="15.75">
      <c r="A20" s="92"/>
      <c r="B20" s="42">
        <v>16</v>
      </c>
      <c r="C20" s="102"/>
      <c r="D20" s="99"/>
      <c r="E20" s="42"/>
      <c r="F20" s="99"/>
      <c r="G20" s="100"/>
      <c r="H20" s="42"/>
      <c r="I20" s="42"/>
    </row>
    <row r="21" spans="1:9" ht="15.75">
      <c r="A21" s="92"/>
      <c r="B21" s="42">
        <v>17</v>
      </c>
      <c r="C21" s="102"/>
      <c r="D21" s="99"/>
      <c r="E21" s="42"/>
      <c r="F21" s="99"/>
      <c r="G21" s="100"/>
      <c r="H21" s="42"/>
      <c r="I21" s="42"/>
    </row>
    <row r="22" spans="1:9" ht="15.75">
      <c r="A22" s="92"/>
      <c r="B22" s="42">
        <v>18</v>
      </c>
      <c r="C22" s="102"/>
      <c r="D22" s="99"/>
      <c r="E22" s="42"/>
      <c r="F22" s="99"/>
      <c r="G22" s="100"/>
      <c r="H22" s="42"/>
      <c r="I22" s="42"/>
    </row>
    <row r="23" spans="1:9" ht="15.75">
      <c r="A23" s="92"/>
      <c r="B23" s="42">
        <v>19</v>
      </c>
      <c r="C23" s="102"/>
      <c r="D23" s="99"/>
      <c r="E23" s="42"/>
      <c r="F23" s="99"/>
      <c r="G23" s="100"/>
      <c r="H23" s="42"/>
      <c r="I23" s="42"/>
    </row>
    <row r="24" spans="1:9" ht="15.75">
      <c r="A24" s="92"/>
      <c r="B24" s="42">
        <v>20</v>
      </c>
      <c r="C24" s="102"/>
      <c r="D24" s="99"/>
      <c r="E24" s="42"/>
      <c r="F24" s="99"/>
      <c r="G24" s="100"/>
      <c r="H24" s="42"/>
      <c r="I24" s="42"/>
    </row>
    <row r="25" spans="1:9" ht="15.75">
      <c r="A25" s="92"/>
      <c r="B25" s="42">
        <v>21</v>
      </c>
      <c r="C25" s="102"/>
      <c r="D25" s="99"/>
      <c r="E25" s="42"/>
      <c r="F25" s="99"/>
      <c r="G25" s="100"/>
      <c r="H25" s="42"/>
      <c r="I25" s="42"/>
    </row>
    <row r="26" spans="1:9" ht="15.75">
      <c r="A26" s="92"/>
      <c r="B26" s="42">
        <v>22</v>
      </c>
      <c r="C26" s="102"/>
      <c r="D26" s="99"/>
      <c r="E26" s="42"/>
      <c r="F26" s="99"/>
      <c r="G26" s="100"/>
      <c r="H26" s="42"/>
      <c r="I26" s="42"/>
    </row>
    <row r="27" spans="1:9" ht="15.75">
      <c r="A27" s="92"/>
      <c r="B27" s="42">
        <v>23</v>
      </c>
      <c r="C27" s="102"/>
      <c r="D27" s="99"/>
      <c r="E27" s="42"/>
      <c r="F27" s="99"/>
      <c r="G27" s="100"/>
      <c r="H27" s="42"/>
      <c r="I27" s="42"/>
    </row>
    <row r="28" spans="1:9" ht="15.75">
      <c r="A28" s="92"/>
      <c r="B28" s="42">
        <v>24</v>
      </c>
      <c r="C28" s="103"/>
      <c r="D28" s="99"/>
      <c r="E28" s="42"/>
      <c r="F28" s="99"/>
      <c r="G28" s="100"/>
      <c r="H28" s="42"/>
      <c r="I28" s="42"/>
    </row>
    <row r="29" spans="1:9" ht="15.75">
      <c r="A29" s="92"/>
      <c r="B29" s="42">
        <v>25</v>
      </c>
      <c r="C29" s="103"/>
      <c r="D29" s="99"/>
      <c r="E29" s="42"/>
      <c r="F29" s="99"/>
      <c r="G29" s="100"/>
      <c r="H29" s="42"/>
      <c r="I29" s="42"/>
    </row>
    <row r="30" spans="1:9" ht="15.75">
      <c r="A30" s="92"/>
      <c r="B30" s="42">
        <v>26</v>
      </c>
      <c r="C30" s="103"/>
      <c r="D30" s="99"/>
      <c r="E30" s="42"/>
      <c r="F30" s="99"/>
      <c r="G30" s="100"/>
      <c r="H30" s="42"/>
      <c r="I30" s="42"/>
    </row>
    <row r="31" spans="1:9" ht="15.75">
      <c r="A31" s="92"/>
      <c r="B31" s="42">
        <v>27</v>
      </c>
      <c r="C31" s="103"/>
      <c r="D31" s="99"/>
      <c r="E31" s="42"/>
      <c r="F31" s="99"/>
      <c r="G31" s="100"/>
      <c r="H31" s="42"/>
      <c r="I31" s="42"/>
    </row>
    <row r="32" spans="1:9" ht="15.75">
      <c r="A32" s="92"/>
      <c r="B32" s="42">
        <v>28</v>
      </c>
      <c r="C32" s="103"/>
      <c r="D32" s="99"/>
      <c r="E32" s="42"/>
      <c r="F32" s="99"/>
      <c r="G32" s="100"/>
      <c r="H32" s="42"/>
      <c r="I32" s="42"/>
    </row>
    <row r="33" spans="1:9" ht="15.75">
      <c r="A33" s="92"/>
      <c r="B33" s="42">
        <v>29</v>
      </c>
      <c r="C33" s="103"/>
      <c r="D33" s="99"/>
      <c r="E33" s="42"/>
      <c r="F33" s="99"/>
      <c r="G33" s="100"/>
      <c r="H33" s="42"/>
      <c r="I33" s="42"/>
    </row>
    <row r="34" spans="1:9" ht="15.75">
      <c r="A34" s="92"/>
      <c r="B34" s="42">
        <v>30</v>
      </c>
      <c r="C34" s="103"/>
      <c r="D34" s="99"/>
      <c r="E34" s="42"/>
      <c r="F34" s="99"/>
      <c r="G34" s="100"/>
      <c r="H34" s="42"/>
      <c r="I34" s="42"/>
    </row>
    <row r="35" spans="1:9" ht="15.75">
      <c r="A35" s="92"/>
      <c r="B35" s="42">
        <v>31</v>
      </c>
      <c r="C35" s="103"/>
      <c r="D35" s="99"/>
      <c r="E35" s="42"/>
      <c r="F35" s="99"/>
      <c r="G35" s="100"/>
      <c r="H35" s="42"/>
      <c r="I35" s="42"/>
    </row>
    <row r="36" spans="1:9" ht="15.75">
      <c r="A36" s="92"/>
      <c r="B36" s="42">
        <v>32</v>
      </c>
      <c r="C36" s="103"/>
      <c r="D36" s="99"/>
      <c r="E36" s="42"/>
      <c r="F36" s="99"/>
      <c r="G36" s="100"/>
      <c r="H36" s="42"/>
      <c r="I36" s="42"/>
    </row>
    <row r="37" spans="1:9" ht="15.75">
      <c r="A37" s="92"/>
      <c r="B37" s="42">
        <v>33</v>
      </c>
      <c r="C37" s="103"/>
      <c r="D37" s="99"/>
      <c r="E37" s="42"/>
      <c r="F37" s="99"/>
      <c r="G37" s="100"/>
      <c r="H37" s="42"/>
      <c r="I37" s="42"/>
    </row>
    <row r="38" spans="1:9" ht="15.75">
      <c r="A38" s="92"/>
      <c r="B38" s="42"/>
      <c r="C38" s="42"/>
      <c r="D38" s="106"/>
      <c r="E38" s="42"/>
      <c r="F38" s="42"/>
      <c r="G38" s="105"/>
      <c r="H38" s="42"/>
      <c r="I38" s="42"/>
    </row>
    <row r="39" spans="1:9" ht="15.75">
      <c r="A39" s="92"/>
    </row>
    <row r="40" spans="1:9" ht="15.75">
      <c r="A40" s="92"/>
    </row>
    <row r="41" spans="1:9" ht="15.75">
      <c r="A41" s="92"/>
    </row>
    <row r="42" spans="1:9" ht="15.75">
      <c r="A42" s="92"/>
    </row>
    <row r="43" spans="1:9" ht="15.75">
      <c r="A43" s="92"/>
    </row>
    <row r="44" spans="1:9" ht="15.75">
      <c r="A44" s="92"/>
    </row>
    <row r="45" spans="1:9" ht="15.75">
      <c r="A45" s="92"/>
    </row>
    <row r="46" spans="1:9" ht="15.75">
      <c r="A46" s="92"/>
    </row>
    <row r="47" spans="1:9" ht="15.75">
      <c r="A47" s="92"/>
    </row>
    <row r="48" spans="1:9" ht="15.75">
      <c r="A48" s="92"/>
    </row>
    <row r="49" spans="1:1" ht="15.75">
      <c r="A49" s="92"/>
    </row>
    <row r="50" spans="1:1" ht="15.75">
      <c r="A50" s="92"/>
    </row>
    <row r="51" spans="1:1" ht="15.75">
      <c r="A51" s="92"/>
    </row>
    <row r="52" spans="1:1" ht="15.75">
      <c r="A52" s="92"/>
    </row>
    <row r="53" spans="1:1" ht="15.75">
      <c r="A53" s="92"/>
    </row>
    <row r="54" spans="1:1" ht="15.75">
      <c r="A54" s="92"/>
    </row>
    <row r="55" spans="1:1" ht="15.75">
      <c r="A55" s="92"/>
    </row>
    <row r="56" spans="1:1" ht="15.75">
      <c r="A56" s="92"/>
    </row>
    <row r="57" spans="1:1" ht="15.75">
      <c r="A57" s="92"/>
    </row>
    <row r="58" spans="1:1" ht="15.75">
      <c r="A58" s="92"/>
    </row>
    <row r="59" spans="1:1" ht="15.75">
      <c r="A59" s="92"/>
    </row>
    <row r="60" spans="1:1" ht="15.75">
      <c r="A60" s="92"/>
    </row>
    <row r="61" spans="1:1" ht="15.75">
      <c r="A61" s="92"/>
    </row>
    <row r="62" spans="1:1" ht="15.75">
      <c r="A62" s="92"/>
    </row>
    <row r="63" spans="1:1" ht="15.75">
      <c r="A63" s="92"/>
    </row>
    <row r="64" spans="1:1" ht="15.75">
      <c r="A64" s="92"/>
    </row>
    <row r="65" spans="1:1" ht="15.75">
      <c r="A65" s="92"/>
    </row>
    <row r="66" spans="1:1" ht="15.75">
      <c r="A66" s="92"/>
    </row>
    <row r="67" spans="1:1" ht="15.75">
      <c r="A67" s="92"/>
    </row>
    <row r="68" spans="1:1" ht="15.75">
      <c r="A68" s="92"/>
    </row>
    <row r="69" spans="1:1" ht="15.75">
      <c r="A69" s="92"/>
    </row>
    <row r="70" spans="1:1" ht="15.75">
      <c r="A70" s="92"/>
    </row>
    <row r="71" spans="1:1" ht="15.75">
      <c r="A71" s="92"/>
    </row>
    <row r="72" spans="1:1" ht="15.75">
      <c r="A72" s="92"/>
    </row>
    <row r="73" spans="1:1" ht="15.75">
      <c r="A73" s="92"/>
    </row>
    <row r="74" spans="1:1" ht="15.75">
      <c r="A74" s="92"/>
    </row>
    <row r="75" spans="1:1" ht="15.75">
      <c r="A75" s="92"/>
    </row>
    <row r="76" spans="1:1" ht="15.75">
      <c r="A76" s="92"/>
    </row>
    <row r="77" spans="1:1" ht="15.75">
      <c r="A77" s="92"/>
    </row>
    <row r="78" spans="1:1" ht="15.75">
      <c r="A78" s="92"/>
    </row>
    <row r="79" spans="1:1" ht="15.75">
      <c r="A79" s="92"/>
    </row>
    <row r="80" spans="1:1" ht="15.75">
      <c r="A80" s="92"/>
    </row>
    <row r="81" spans="1:1" ht="15.75">
      <c r="A81" s="92"/>
    </row>
    <row r="82" spans="1:1" ht="15.75">
      <c r="A82" s="92"/>
    </row>
    <row r="83" spans="1:1" ht="15.75">
      <c r="A83" s="92"/>
    </row>
    <row r="84" spans="1:1" ht="15.75">
      <c r="A84" s="92"/>
    </row>
    <row r="85" spans="1:1" ht="15.75">
      <c r="A85" s="92"/>
    </row>
    <row r="86" spans="1:1" ht="15.75">
      <c r="A86" s="92"/>
    </row>
    <row r="87" spans="1:1" ht="15.75">
      <c r="A87" s="92"/>
    </row>
    <row r="88" spans="1:1" ht="15.75">
      <c r="A88" s="92"/>
    </row>
    <row r="89" spans="1:1" ht="15.75">
      <c r="A89" s="92"/>
    </row>
    <row r="90" spans="1:1" ht="15.75">
      <c r="A90" s="92"/>
    </row>
    <row r="91" spans="1:1" ht="15.75">
      <c r="A91" s="92"/>
    </row>
    <row r="92" spans="1:1" ht="15.75">
      <c r="A92" s="92"/>
    </row>
    <row r="93" spans="1:1" ht="15.75">
      <c r="A93" s="92"/>
    </row>
    <row r="94" spans="1:1" ht="15.75">
      <c r="A94" s="92"/>
    </row>
    <row r="95" spans="1:1" ht="15.75">
      <c r="A95" s="92"/>
    </row>
    <row r="96" spans="1:1" ht="15.75">
      <c r="A96" s="92"/>
    </row>
    <row r="97" spans="1:1" ht="15.75">
      <c r="A97" s="92"/>
    </row>
    <row r="98" spans="1:1" ht="15.75">
      <c r="A98" s="92"/>
    </row>
    <row r="99" spans="1:1" ht="15.75">
      <c r="A99" s="92"/>
    </row>
    <row r="100" spans="1:1" ht="15.75">
      <c r="A100" s="92"/>
    </row>
    <row r="101" spans="1:1" ht="15.75">
      <c r="A101" s="92"/>
    </row>
    <row r="102" spans="1:1" ht="15.75">
      <c r="A102" s="92"/>
    </row>
    <row r="103" spans="1:1" ht="15.75">
      <c r="A103" s="92"/>
    </row>
    <row r="104" spans="1:1" ht="15.75">
      <c r="A104" s="92"/>
    </row>
    <row r="105" spans="1:1" ht="15.75">
      <c r="A105" s="92"/>
    </row>
    <row r="106" spans="1:1" ht="15.75">
      <c r="A106" s="92"/>
    </row>
    <row r="107" spans="1:1" ht="15.75">
      <c r="A107" s="92"/>
    </row>
    <row r="108" spans="1:1" ht="15.75">
      <c r="A108" s="92"/>
    </row>
    <row r="109" spans="1:1" ht="15.75">
      <c r="A109" s="92"/>
    </row>
    <row r="110" spans="1:1" ht="15.75">
      <c r="A110" s="92"/>
    </row>
    <row r="111" spans="1:1" ht="15.75">
      <c r="A111" s="92"/>
    </row>
    <row r="112" spans="1:1" ht="15.75">
      <c r="A112" s="92"/>
    </row>
    <row r="113" spans="1:1" ht="15.75">
      <c r="A113" s="92"/>
    </row>
    <row r="114" spans="1:1" ht="15.75">
      <c r="A114" s="92"/>
    </row>
    <row r="115" spans="1:1" ht="15.75">
      <c r="A115" s="92"/>
    </row>
    <row r="116" spans="1:1" ht="15.75">
      <c r="A116" s="92"/>
    </row>
    <row r="117" spans="1:1" ht="15.75">
      <c r="A117" s="92"/>
    </row>
    <row r="118" spans="1:1" ht="15.75">
      <c r="A118" s="92"/>
    </row>
    <row r="119" spans="1:1" ht="15.75">
      <c r="A119" s="92"/>
    </row>
    <row r="120" spans="1:1" ht="15.75">
      <c r="A120" s="92"/>
    </row>
    <row r="121" spans="1:1" ht="15.75">
      <c r="A121" s="92"/>
    </row>
    <row r="122" spans="1:1" ht="15.75">
      <c r="A122" s="92"/>
    </row>
    <row r="123" spans="1:1" ht="15.75">
      <c r="A123" s="92"/>
    </row>
    <row r="124" spans="1:1" ht="15.75">
      <c r="A124" s="92"/>
    </row>
    <row r="125" spans="1:1" ht="15.75">
      <c r="A125" s="92"/>
    </row>
    <row r="126" spans="1:1" ht="15.75">
      <c r="A126" s="92"/>
    </row>
    <row r="127" spans="1:1" ht="15.75">
      <c r="A127" s="92"/>
    </row>
    <row r="128" spans="1:1" ht="15.75">
      <c r="A128" s="92"/>
    </row>
    <row r="129" spans="1:1" ht="15.75">
      <c r="A129" s="92"/>
    </row>
    <row r="130" spans="1:1" ht="15.75">
      <c r="A130" s="92"/>
    </row>
    <row r="131" spans="1:1" ht="15.75">
      <c r="A131" s="92"/>
    </row>
    <row r="132" spans="1:1" ht="15.75">
      <c r="A132" s="92"/>
    </row>
    <row r="133" spans="1:1" ht="15.75">
      <c r="A133" s="92"/>
    </row>
    <row r="134" spans="1:1" ht="15.75">
      <c r="A134" s="92"/>
    </row>
    <row r="135" spans="1:1" ht="15.75">
      <c r="A135" s="92"/>
    </row>
    <row r="136" spans="1:1" ht="15.75">
      <c r="A136" s="92"/>
    </row>
    <row r="137" spans="1:1" ht="15.75">
      <c r="A137" s="92"/>
    </row>
    <row r="138" spans="1:1" ht="15.75">
      <c r="A138" s="92"/>
    </row>
    <row r="139" spans="1:1" ht="15.75">
      <c r="A139" s="92"/>
    </row>
    <row r="140" spans="1:1" ht="15.75">
      <c r="A140" s="92"/>
    </row>
    <row r="141" spans="1:1" ht="15.75">
      <c r="A141" s="92"/>
    </row>
    <row r="142" spans="1:1" ht="15.75">
      <c r="A142" s="92"/>
    </row>
    <row r="143" spans="1:1" ht="15.75">
      <c r="A143" s="92"/>
    </row>
    <row r="144" spans="1:1" ht="15.75">
      <c r="A144" s="92"/>
    </row>
    <row r="145" spans="1:1" ht="15.75">
      <c r="A145" s="92"/>
    </row>
    <row r="146" spans="1:1" ht="15.75">
      <c r="A146" s="92"/>
    </row>
    <row r="147" spans="1:1" ht="15.75">
      <c r="A147" s="92"/>
    </row>
    <row r="148" spans="1:1" ht="15.75">
      <c r="A148" s="92"/>
    </row>
    <row r="149" spans="1:1" ht="15.75">
      <c r="A149" s="92"/>
    </row>
    <row r="150" spans="1:1" ht="15.75">
      <c r="A150" s="92"/>
    </row>
    <row r="151" spans="1:1" ht="15.75">
      <c r="A151" s="92"/>
    </row>
    <row r="152" spans="1:1" ht="15.75">
      <c r="A152" s="92"/>
    </row>
    <row r="153" spans="1:1" ht="15.75">
      <c r="A153" s="92"/>
    </row>
  </sheetData>
  <mergeCells count="1">
    <mergeCell ref="D2:G2"/>
  </mergeCells>
  <pageMargins left="0.7" right="0.7" top="0.75" bottom="0.75" header="0.3" footer="0.3"/>
  <pageSetup paperSize="9" scale="7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I153"/>
  <sheetViews>
    <sheetView zoomScaleNormal="100" zoomScaleSheetLayoutView="100" workbookViewId="0">
      <selection activeCell="H6" sqref="H6"/>
    </sheetView>
  </sheetViews>
  <sheetFormatPr defaultRowHeight="12.75"/>
  <cols>
    <col min="2" max="2" width="5.796875" customWidth="1"/>
    <col min="3" max="3" width="13.484375" customWidth="1"/>
    <col min="4" max="4" width="35.1953125" bestFit="1" customWidth="1"/>
    <col min="5" max="5" width="25.21484375" customWidth="1"/>
    <col min="6" max="6" width="26.69921875" customWidth="1"/>
    <col min="7" max="7" width="25.62109375" style="101" customWidth="1"/>
    <col min="9" max="9" width="14.5625" customWidth="1"/>
  </cols>
  <sheetData>
    <row r="2" spans="1:9" ht="15" thickBot="1">
      <c r="D2" s="366" t="s">
        <v>53</v>
      </c>
      <c r="E2" s="366"/>
      <c r="F2" s="366"/>
      <c r="G2" s="366"/>
    </row>
    <row r="3" spans="1:9">
      <c r="B3" s="156"/>
      <c r="C3" s="27" t="s">
        <v>49</v>
      </c>
      <c r="D3" s="26"/>
      <c r="E3" s="27" t="s">
        <v>50</v>
      </c>
      <c r="F3" s="26" t="s">
        <v>52</v>
      </c>
      <c r="G3" s="151" t="s">
        <v>49</v>
      </c>
      <c r="H3" s="24"/>
      <c r="I3" s="153" t="s">
        <v>215</v>
      </c>
    </row>
    <row r="4" spans="1:9" ht="13.5" thickBot="1">
      <c r="B4" s="157" t="s">
        <v>17</v>
      </c>
      <c r="C4" s="45" t="s">
        <v>3</v>
      </c>
      <c r="D4" s="44" t="s">
        <v>48</v>
      </c>
      <c r="E4" s="45" t="s">
        <v>51</v>
      </c>
      <c r="F4" s="44" t="s">
        <v>49</v>
      </c>
      <c r="G4" s="152" t="s">
        <v>54</v>
      </c>
      <c r="H4" s="154"/>
      <c r="I4" s="155" t="s">
        <v>216</v>
      </c>
    </row>
    <row r="5" spans="1:9" ht="15.75">
      <c r="A5" s="92"/>
      <c r="B5" s="59">
        <v>1</v>
      </c>
      <c r="C5" s="103"/>
      <c r="D5" s="99"/>
      <c r="E5" s="42"/>
      <c r="F5" s="99"/>
      <c r="G5" s="100"/>
      <c r="H5" s="59"/>
      <c r="I5" s="42"/>
    </row>
    <row r="6" spans="1:9" ht="15.75">
      <c r="A6" s="92"/>
      <c r="B6" s="42">
        <v>2</v>
      </c>
      <c r="C6" s="103"/>
      <c r="D6" s="99"/>
      <c r="E6" s="42"/>
      <c r="F6" s="99"/>
      <c r="G6" s="100"/>
      <c r="H6" s="42"/>
      <c r="I6" s="100"/>
    </row>
    <row r="7" spans="1:9" ht="15.75">
      <c r="A7" s="92"/>
      <c r="B7" s="42">
        <v>3</v>
      </c>
      <c r="C7" s="103"/>
      <c r="D7" s="99"/>
      <c r="E7" s="42"/>
      <c r="F7" s="99"/>
      <c r="G7" s="100"/>
      <c r="H7" s="42"/>
      <c r="I7" s="42"/>
    </row>
    <row r="8" spans="1:9" ht="15.75">
      <c r="A8" s="92"/>
      <c r="B8" s="42">
        <v>4</v>
      </c>
      <c r="C8" s="104"/>
      <c r="D8" s="99"/>
      <c r="E8" s="99"/>
      <c r="F8" s="99"/>
      <c r="G8" s="100"/>
      <c r="H8" s="42"/>
      <c r="I8" s="42"/>
    </row>
    <row r="9" spans="1:9" ht="15.75">
      <c r="A9" s="92"/>
      <c r="B9" s="42">
        <v>5</v>
      </c>
      <c r="C9" s="102"/>
      <c r="D9" s="99"/>
      <c r="E9" s="42"/>
      <c r="F9" s="99"/>
      <c r="G9" s="100"/>
      <c r="H9" s="42"/>
      <c r="I9" s="42"/>
    </row>
    <row r="10" spans="1:9" ht="15.75">
      <c r="A10" s="92"/>
      <c r="B10" s="42">
        <v>6</v>
      </c>
      <c r="C10" s="102"/>
      <c r="D10" s="99"/>
      <c r="E10" s="42"/>
      <c r="F10" s="99"/>
      <c r="G10" s="100"/>
      <c r="H10" s="42"/>
      <c r="I10" s="42"/>
    </row>
    <row r="11" spans="1:9" ht="15.75">
      <c r="A11" s="92"/>
      <c r="B11" s="42">
        <v>7</v>
      </c>
      <c r="C11" s="102"/>
      <c r="D11" s="99"/>
      <c r="E11" s="42"/>
      <c r="F11" s="99"/>
      <c r="G11" s="100"/>
      <c r="H11" s="42"/>
      <c r="I11" s="42"/>
    </row>
    <row r="12" spans="1:9" ht="15.75">
      <c r="A12" s="92"/>
      <c r="B12" s="42">
        <v>8</v>
      </c>
      <c r="C12" s="102"/>
      <c r="D12" s="99"/>
      <c r="E12" s="42"/>
      <c r="F12" s="99"/>
      <c r="G12" s="100"/>
      <c r="H12" s="42"/>
      <c r="I12" s="42"/>
    </row>
    <row r="13" spans="1:9" ht="15.75">
      <c r="A13" s="92"/>
      <c r="B13" s="42">
        <v>9</v>
      </c>
      <c r="C13" s="102"/>
      <c r="D13" s="99"/>
      <c r="E13" s="42"/>
      <c r="F13" s="99"/>
      <c r="G13" s="100"/>
      <c r="H13" s="42"/>
      <c r="I13" s="42"/>
    </row>
    <row r="14" spans="1:9" ht="15.75">
      <c r="A14" s="92"/>
      <c r="B14" s="42">
        <v>10</v>
      </c>
      <c r="C14" s="102"/>
      <c r="D14" s="99"/>
      <c r="E14" s="42"/>
      <c r="F14" s="99"/>
      <c r="G14" s="100"/>
      <c r="H14" s="42"/>
      <c r="I14" s="42"/>
    </row>
    <row r="15" spans="1:9" ht="15.75">
      <c r="A15" s="92"/>
      <c r="B15" s="42">
        <v>11</v>
      </c>
      <c r="C15" s="102"/>
      <c r="D15" s="99"/>
      <c r="E15" s="42"/>
      <c r="F15" s="99"/>
      <c r="G15" s="100"/>
      <c r="H15" s="42"/>
      <c r="I15" s="42"/>
    </row>
    <row r="16" spans="1:9" ht="15.75">
      <c r="A16" s="92"/>
      <c r="B16" s="42">
        <v>12</v>
      </c>
      <c r="C16" s="102"/>
      <c r="D16" s="99"/>
      <c r="E16" s="42"/>
      <c r="F16" s="99"/>
      <c r="G16" s="100"/>
      <c r="H16" s="42"/>
      <c r="I16" s="42"/>
    </row>
    <row r="17" spans="1:9" ht="15.75">
      <c r="A17" s="92"/>
      <c r="B17" s="42">
        <v>13</v>
      </c>
      <c r="C17" s="102"/>
      <c r="D17" s="99"/>
      <c r="E17" s="42"/>
      <c r="F17" s="99"/>
      <c r="G17" s="100"/>
      <c r="H17" s="42"/>
      <c r="I17" s="42"/>
    </row>
    <row r="18" spans="1:9" ht="15.75">
      <c r="A18" s="92"/>
      <c r="B18" s="42">
        <v>14</v>
      </c>
      <c r="C18" s="102"/>
      <c r="D18" s="99"/>
      <c r="E18" s="42"/>
      <c r="F18" s="99"/>
      <c r="G18" s="100"/>
      <c r="H18" s="42"/>
      <c r="I18" s="42"/>
    </row>
    <row r="19" spans="1:9" ht="15.75">
      <c r="A19" s="92"/>
      <c r="B19" s="42">
        <v>15</v>
      </c>
      <c r="C19" s="103"/>
      <c r="D19" s="99"/>
      <c r="E19" s="42"/>
      <c r="F19" s="99"/>
      <c r="G19" s="100"/>
      <c r="H19" s="42"/>
      <c r="I19" s="42"/>
    </row>
    <row r="20" spans="1:9" ht="15.75">
      <c r="A20" s="92"/>
      <c r="B20" s="42">
        <v>16</v>
      </c>
      <c r="C20" s="102"/>
      <c r="D20" s="99"/>
      <c r="E20" s="42"/>
      <c r="F20" s="99"/>
      <c r="G20" s="100"/>
      <c r="H20" s="42"/>
      <c r="I20" s="42"/>
    </row>
    <row r="21" spans="1:9" ht="15.75">
      <c r="A21" s="92"/>
      <c r="B21" s="42">
        <v>17</v>
      </c>
      <c r="C21" s="102"/>
      <c r="D21" s="99"/>
      <c r="E21" s="42"/>
      <c r="F21" s="99"/>
      <c r="G21" s="100"/>
      <c r="H21" s="42"/>
      <c r="I21" s="42"/>
    </row>
    <row r="22" spans="1:9" ht="15.75">
      <c r="A22" s="92"/>
      <c r="B22" s="42">
        <v>18</v>
      </c>
      <c r="C22" s="102"/>
      <c r="D22" s="99"/>
      <c r="E22" s="42"/>
      <c r="F22" s="99"/>
      <c r="G22" s="100"/>
      <c r="H22" s="42"/>
      <c r="I22" s="42"/>
    </row>
    <row r="23" spans="1:9" ht="15.75">
      <c r="A23" s="92"/>
      <c r="B23" s="42">
        <v>19</v>
      </c>
      <c r="C23" s="102"/>
      <c r="D23" s="99"/>
      <c r="E23" s="42"/>
      <c r="F23" s="99"/>
      <c r="G23" s="100"/>
      <c r="H23" s="42"/>
      <c r="I23" s="42"/>
    </row>
    <row r="24" spans="1:9" ht="15.75">
      <c r="A24" s="92"/>
      <c r="B24" s="42">
        <v>20</v>
      </c>
      <c r="C24" s="102"/>
      <c r="D24" s="99"/>
      <c r="E24" s="42"/>
      <c r="F24" s="99"/>
      <c r="G24" s="100"/>
      <c r="H24" s="42"/>
      <c r="I24" s="42"/>
    </row>
    <row r="25" spans="1:9" ht="15.75">
      <c r="A25" s="92"/>
      <c r="B25" s="42">
        <v>21</v>
      </c>
      <c r="C25" s="102"/>
      <c r="D25" s="99"/>
      <c r="E25" s="42"/>
      <c r="F25" s="99"/>
      <c r="G25" s="100"/>
      <c r="H25" s="42"/>
      <c r="I25" s="42"/>
    </row>
    <row r="26" spans="1:9" ht="15.75">
      <c r="A26" s="92"/>
      <c r="B26" s="42">
        <v>22</v>
      </c>
      <c r="C26" s="102"/>
      <c r="D26" s="99"/>
      <c r="E26" s="42"/>
      <c r="F26" s="99"/>
      <c r="G26" s="100"/>
      <c r="H26" s="42"/>
      <c r="I26" s="42"/>
    </row>
    <row r="27" spans="1:9" ht="15.75">
      <c r="A27" s="92"/>
      <c r="B27" s="42">
        <v>23</v>
      </c>
      <c r="C27" s="102"/>
      <c r="D27" s="99"/>
      <c r="E27" s="42"/>
      <c r="F27" s="99"/>
      <c r="G27" s="100"/>
      <c r="H27" s="42"/>
      <c r="I27" s="42"/>
    </row>
    <row r="28" spans="1:9" ht="15.75">
      <c r="A28" s="92"/>
      <c r="B28" s="42">
        <v>24</v>
      </c>
      <c r="C28" s="103"/>
      <c r="D28" s="99"/>
      <c r="E28" s="42"/>
      <c r="F28" s="99"/>
      <c r="G28" s="100"/>
      <c r="H28" s="42"/>
      <c r="I28" s="42"/>
    </row>
    <row r="29" spans="1:9" ht="15.75">
      <c r="A29" s="92"/>
      <c r="B29" s="42">
        <v>25</v>
      </c>
      <c r="C29" s="103"/>
      <c r="D29" s="99"/>
      <c r="E29" s="42"/>
      <c r="F29" s="99"/>
      <c r="G29" s="100"/>
      <c r="H29" s="42"/>
      <c r="I29" s="42"/>
    </row>
    <row r="30" spans="1:9" ht="15.75">
      <c r="A30" s="92"/>
      <c r="B30" s="42">
        <v>26</v>
      </c>
      <c r="C30" s="103"/>
      <c r="D30" s="99"/>
      <c r="E30" s="42"/>
      <c r="F30" s="99"/>
      <c r="G30" s="100"/>
      <c r="H30" s="42"/>
      <c r="I30" s="42"/>
    </row>
    <row r="31" spans="1:9" ht="15.75">
      <c r="A31" s="92"/>
      <c r="B31" s="42">
        <v>27</v>
      </c>
      <c r="C31" s="103"/>
      <c r="D31" s="99"/>
      <c r="E31" s="42"/>
      <c r="F31" s="99"/>
      <c r="G31" s="100"/>
      <c r="H31" s="42"/>
      <c r="I31" s="42"/>
    </row>
    <row r="32" spans="1:9" ht="15.75">
      <c r="A32" s="92"/>
      <c r="B32" s="42">
        <v>28</v>
      </c>
      <c r="C32" s="103"/>
      <c r="D32" s="99"/>
      <c r="E32" s="42"/>
      <c r="F32" s="99"/>
      <c r="G32" s="100"/>
      <c r="H32" s="42"/>
      <c r="I32" s="42"/>
    </row>
    <row r="33" spans="1:9" ht="15.75">
      <c r="A33" s="92"/>
      <c r="B33" s="42">
        <v>29</v>
      </c>
      <c r="C33" s="103"/>
      <c r="D33" s="99"/>
      <c r="E33" s="42"/>
      <c r="F33" s="99"/>
      <c r="G33" s="100"/>
      <c r="H33" s="42"/>
      <c r="I33" s="42"/>
    </row>
    <row r="34" spans="1:9" ht="15.75">
      <c r="A34" s="92"/>
      <c r="B34" s="42">
        <v>30</v>
      </c>
      <c r="C34" s="103"/>
      <c r="D34" s="99"/>
      <c r="E34" s="42"/>
      <c r="F34" s="99"/>
      <c r="G34" s="100"/>
      <c r="H34" s="42"/>
      <c r="I34" s="42"/>
    </row>
    <row r="35" spans="1:9" ht="15.75">
      <c r="A35" s="92"/>
      <c r="B35" s="42">
        <v>31</v>
      </c>
      <c r="C35" s="103"/>
      <c r="D35" s="99"/>
      <c r="E35" s="42"/>
      <c r="F35" s="99"/>
      <c r="G35" s="100"/>
      <c r="H35" s="42"/>
      <c r="I35" s="42"/>
    </row>
    <row r="36" spans="1:9" ht="15.75">
      <c r="A36" s="92"/>
      <c r="B36" s="42">
        <v>32</v>
      </c>
      <c r="C36" s="103"/>
      <c r="D36" s="99"/>
      <c r="E36" s="42"/>
      <c r="F36" s="99"/>
      <c r="G36" s="100"/>
      <c r="H36" s="42"/>
      <c r="I36" s="42"/>
    </row>
    <row r="37" spans="1:9" ht="15.75">
      <c r="A37" s="92"/>
      <c r="B37" s="42">
        <v>33</v>
      </c>
      <c r="C37" s="103"/>
      <c r="D37" s="99"/>
      <c r="E37" s="42"/>
      <c r="F37" s="99"/>
      <c r="G37" s="100"/>
      <c r="H37" s="42"/>
      <c r="I37" s="42"/>
    </row>
    <row r="38" spans="1:9" ht="15.75">
      <c r="A38" s="92"/>
      <c r="B38" s="42"/>
      <c r="C38" s="42"/>
      <c r="D38" s="106"/>
      <c r="E38" s="42"/>
      <c r="F38" s="42"/>
      <c r="G38" s="105"/>
      <c r="H38" s="42"/>
      <c r="I38" s="42"/>
    </row>
    <row r="39" spans="1:9" ht="15.75">
      <c r="A39" s="92"/>
    </row>
    <row r="40" spans="1:9" ht="15.75">
      <c r="A40" s="92"/>
    </row>
    <row r="41" spans="1:9" ht="15.75">
      <c r="A41" s="92"/>
    </row>
    <row r="42" spans="1:9" ht="15.75">
      <c r="A42" s="92"/>
    </row>
    <row r="43" spans="1:9" ht="15.75">
      <c r="A43" s="92"/>
    </row>
    <row r="44" spans="1:9" ht="15.75">
      <c r="A44" s="92"/>
    </row>
    <row r="45" spans="1:9" ht="15.75">
      <c r="A45" s="92"/>
    </row>
    <row r="46" spans="1:9" ht="15.75">
      <c r="A46" s="92"/>
    </row>
    <row r="47" spans="1:9" ht="15.75">
      <c r="A47" s="92"/>
    </row>
    <row r="48" spans="1:9" ht="15.75">
      <c r="A48" s="92"/>
    </row>
    <row r="49" spans="1:1" ht="15.75">
      <c r="A49" s="92"/>
    </row>
    <row r="50" spans="1:1" ht="15.75">
      <c r="A50" s="92"/>
    </row>
    <row r="51" spans="1:1" ht="15.75">
      <c r="A51" s="92"/>
    </row>
    <row r="52" spans="1:1" ht="15.75">
      <c r="A52" s="92"/>
    </row>
    <row r="53" spans="1:1" ht="15.75">
      <c r="A53" s="92"/>
    </row>
    <row r="54" spans="1:1" ht="15.75">
      <c r="A54" s="92"/>
    </row>
    <row r="55" spans="1:1" ht="15.75">
      <c r="A55" s="92"/>
    </row>
    <row r="56" spans="1:1" ht="15.75">
      <c r="A56" s="92"/>
    </row>
    <row r="57" spans="1:1" ht="15.75">
      <c r="A57" s="92"/>
    </row>
    <row r="58" spans="1:1" ht="15.75">
      <c r="A58" s="92"/>
    </row>
    <row r="59" spans="1:1" ht="15.75">
      <c r="A59" s="92"/>
    </row>
    <row r="60" spans="1:1" ht="15.75">
      <c r="A60" s="92"/>
    </row>
    <row r="61" spans="1:1" ht="15.75">
      <c r="A61" s="92"/>
    </row>
    <row r="62" spans="1:1" ht="15.75">
      <c r="A62" s="92"/>
    </row>
    <row r="63" spans="1:1" ht="15.75">
      <c r="A63" s="92"/>
    </row>
    <row r="64" spans="1:1" ht="15.75">
      <c r="A64" s="92"/>
    </row>
    <row r="65" spans="1:1" ht="15.75">
      <c r="A65" s="92"/>
    </row>
    <row r="66" spans="1:1" ht="15.75">
      <c r="A66" s="92"/>
    </row>
    <row r="67" spans="1:1" ht="15.75">
      <c r="A67" s="92"/>
    </row>
    <row r="68" spans="1:1" ht="15.75">
      <c r="A68" s="92"/>
    </row>
    <row r="69" spans="1:1" ht="15.75">
      <c r="A69" s="92"/>
    </row>
    <row r="70" spans="1:1" ht="15.75">
      <c r="A70" s="92"/>
    </row>
    <row r="71" spans="1:1" ht="15.75">
      <c r="A71" s="92"/>
    </row>
    <row r="72" spans="1:1" ht="15.75">
      <c r="A72" s="92"/>
    </row>
    <row r="73" spans="1:1" ht="15.75">
      <c r="A73" s="92"/>
    </row>
    <row r="74" spans="1:1" ht="15.75">
      <c r="A74" s="92"/>
    </row>
    <row r="75" spans="1:1" ht="15.75">
      <c r="A75" s="92"/>
    </row>
    <row r="76" spans="1:1" ht="15.75">
      <c r="A76" s="92"/>
    </row>
    <row r="77" spans="1:1" ht="15.75">
      <c r="A77" s="92"/>
    </row>
    <row r="78" spans="1:1" ht="15.75">
      <c r="A78" s="92"/>
    </row>
    <row r="79" spans="1:1" ht="15.75">
      <c r="A79" s="92"/>
    </row>
    <row r="80" spans="1:1" ht="15.75">
      <c r="A80" s="92"/>
    </row>
    <row r="81" spans="1:1" ht="15.75">
      <c r="A81" s="92"/>
    </row>
    <row r="82" spans="1:1" ht="15.75">
      <c r="A82" s="92"/>
    </row>
    <row r="83" spans="1:1" ht="15.75">
      <c r="A83" s="92"/>
    </row>
    <row r="84" spans="1:1" ht="15.75">
      <c r="A84" s="92"/>
    </row>
    <row r="85" spans="1:1" ht="15.75">
      <c r="A85" s="92"/>
    </row>
    <row r="86" spans="1:1" ht="15.75">
      <c r="A86" s="92"/>
    </row>
    <row r="87" spans="1:1" ht="15.75">
      <c r="A87" s="92"/>
    </row>
    <row r="88" spans="1:1" ht="15.75">
      <c r="A88" s="92"/>
    </row>
    <row r="89" spans="1:1" ht="15.75">
      <c r="A89" s="92"/>
    </row>
    <row r="90" spans="1:1" ht="15.75">
      <c r="A90" s="92"/>
    </row>
    <row r="91" spans="1:1" ht="15.75">
      <c r="A91" s="92"/>
    </row>
    <row r="92" spans="1:1" ht="15.75">
      <c r="A92" s="92"/>
    </row>
    <row r="93" spans="1:1" ht="15.75">
      <c r="A93" s="92"/>
    </row>
    <row r="94" spans="1:1" ht="15.75">
      <c r="A94" s="92"/>
    </row>
    <row r="95" spans="1:1" ht="15.75">
      <c r="A95" s="92"/>
    </row>
    <row r="96" spans="1:1" ht="15.75">
      <c r="A96" s="92"/>
    </row>
    <row r="97" spans="1:1" ht="15.75">
      <c r="A97" s="92"/>
    </row>
    <row r="98" spans="1:1" ht="15.75">
      <c r="A98" s="92"/>
    </row>
    <row r="99" spans="1:1" ht="15.75">
      <c r="A99" s="92"/>
    </row>
    <row r="100" spans="1:1" ht="15.75">
      <c r="A100" s="92"/>
    </row>
    <row r="101" spans="1:1" ht="15.75">
      <c r="A101" s="92"/>
    </row>
    <row r="102" spans="1:1" ht="15.75">
      <c r="A102" s="92"/>
    </row>
    <row r="103" spans="1:1" ht="15.75">
      <c r="A103" s="92"/>
    </row>
    <row r="104" spans="1:1" ht="15.75">
      <c r="A104" s="92"/>
    </row>
    <row r="105" spans="1:1" ht="15.75">
      <c r="A105" s="92"/>
    </row>
    <row r="106" spans="1:1" ht="15.75">
      <c r="A106" s="92"/>
    </row>
    <row r="107" spans="1:1" ht="15.75">
      <c r="A107" s="92"/>
    </row>
    <row r="108" spans="1:1" ht="15.75">
      <c r="A108" s="92"/>
    </row>
    <row r="109" spans="1:1" ht="15.75">
      <c r="A109" s="92"/>
    </row>
    <row r="110" spans="1:1" ht="15.75">
      <c r="A110" s="92"/>
    </row>
    <row r="111" spans="1:1" ht="15.75">
      <c r="A111" s="92"/>
    </row>
    <row r="112" spans="1:1" ht="15.75">
      <c r="A112" s="92"/>
    </row>
    <row r="113" spans="1:1" ht="15.75">
      <c r="A113" s="92"/>
    </row>
    <row r="114" spans="1:1" ht="15.75">
      <c r="A114" s="92"/>
    </row>
    <row r="115" spans="1:1" ht="15.75">
      <c r="A115" s="92"/>
    </row>
    <row r="116" spans="1:1" ht="15.75">
      <c r="A116" s="92"/>
    </row>
    <row r="117" spans="1:1" ht="15.75">
      <c r="A117" s="92"/>
    </row>
    <row r="118" spans="1:1" ht="15.75">
      <c r="A118" s="92"/>
    </row>
    <row r="119" spans="1:1" ht="15.75">
      <c r="A119" s="92"/>
    </row>
    <row r="120" spans="1:1" ht="15.75">
      <c r="A120" s="92"/>
    </row>
    <row r="121" spans="1:1" ht="15.75">
      <c r="A121" s="92"/>
    </row>
    <row r="122" spans="1:1" ht="15.75">
      <c r="A122" s="92"/>
    </row>
    <row r="123" spans="1:1" ht="15.75">
      <c r="A123" s="92"/>
    </row>
    <row r="124" spans="1:1" ht="15.75">
      <c r="A124" s="92"/>
    </row>
    <row r="125" spans="1:1" ht="15.75">
      <c r="A125" s="92"/>
    </row>
    <row r="126" spans="1:1" ht="15.75">
      <c r="A126" s="92"/>
    </row>
    <row r="127" spans="1:1" ht="15.75">
      <c r="A127" s="92"/>
    </row>
    <row r="128" spans="1:1" ht="15.75">
      <c r="A128" s="92"/>
    </row>
    <row r="129" spans="1:1" ht="15.75">
      <c r="A129" s="92"/>
    </row>
    <row r="130" spans="1:1" ht="15.75">
      <c r="A130" s="92"/>
    </row>
    <row r="131" spans="1:1" ht="15.75">
      <c r="A131" s="92"/>
    </row>
    <row r="132" spans="1:1" ht="15.75">
      <c r="A132" s="92"/>
    </row>
    <row r="133" spans="1:1" ht="15.75">
      <c r="A133" s="92"/>
    </row>
    <row r="134" spans="1:1" ht="15.75">
      <c r="A134" s="92"/>
    </row>
    <row r="135" spans="1:1" ht="15.75">
      <c r="A135" s="92"/>
    </row>
    <row r="136" spans="1:1" ht="15.75">
      <c r="A136" s="92"/>
    </row>
    <row r="137" spans="1:1" ht="15.75">
      <c r="A137" s="92"/>
    </row>
    <row r="138" spans="1:1" ht="15.75">
      <c r="A138" s="92"/>
    </row>
    <row r="139" spans="1:1" ht="15.75">
      <c r="A139" s="92"/>
    </row>
    <row r="140" spans="1:1" ht="15.75">
      <c r="A140" s="92"/>
    </row>
    <row r="141" spans="1:1" ht="15.75">
      <c r="A141" s="92"/>
    </row>
    <row r="142" spans="1:1" ht="15.75">
      <c r="A142" s="92"/>
    </row>
    <row r="143" spans="1:1" ht="15.75">
      <c r="A143" s="92"/>
    </row>
    <row r="144" spans="1:1" ht="15.75">
      <c r="A144" s="92"/>
    </row>
    <row r="145" spans="1:1" ht="15.75">
      <c r="A145" s="92"/>
    </row>
    <row r="146" spans="1:1" ht="15.75">
      <c r="A146" s="92"/>
    </row>
    <row r="147" spans="1:1" ht="15.75">
      <c r="A147" s="92"/>
    </row>
    <row r="148" spans="1:1" ht="15.75">
      <c r="A148" s="92"/>
    </row>
    <row r="149" spans="1:1" ht="15.75">
      <c r="A149" s="92"/>
    </row>
    <row r="150" spans="1:1" ht="15.75">
      <c r="A150" s="92"/>
    </row>
    <row r="151" spans="1:1" ht="15.75">
      <c r="A151" s="92"/>
    </row>
    <row r="152" spans="1:1" ht="15.75">
      <c r="A152" s="92"/>
    </row>
    <row r="153" spans="1:1" ht="15.75">
      <c r="A153" s="92"/>
    </row>
  </sheetData>
  <mergeCells count="1">
    <mergeCell ref="D2:G2"/>
  </mergeCells>
  <pageMargins left="0.7" right="0.7" top="0.75" bottom="0.75" header="0.3" footer="0.3"/>
  <pageSetup paperSize="9" scale="74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31"/>
  <sheetViews>
    <sheetView workbookViewId="0">
      <selection activeCell="B5" sqref="B5"/>
    </sheetView>
  </sheetViews>
  <sheetFormatPr defaultColWidth="9.16796875" defaultRowHeight="12.75"/>
  <cols>
    <col min="1" max="1" width="9.16796875" style="108"/>
    <col min="2" max="2" width="28.18359375" style="108" customWidth="1"/>
    <col min="3" max="3" width="21.171875" style="108" customWidth="1"/>
    <col min="4" max="4" width="9.16796875" style="108"/>
    <col min="5" max="5" width="18.609375" style="108" customWidth="1"/>
    <col min="6" max="6" width="4.8515625" style="108" customWidth="1"/>
    <col min="7" max="16384" width="9.16796875" style="108"/>
  </cols>
  <sheetData>
    <row r="1" spans="1:5">
      <c r="A1" s="107" t="s">
        <v>170</v>
      </c>
    </row>
    <row r="2" spans="1:5">
      <c r="A2" s="107" t="s">
        <v>236</v>
      </c>
      <c r="B2" s="107"/>
      <c r="C2" s="107"/>
      <c r="D2" s="107"/>
    </row>
    <row r="3" spans="1:5">
      <c r="A3" s="109" t="s">
        <v>171</v>
      </c>
    </row>
    <row r="4" spans="1:5">
      <c r="A4" s="107" t="s">
        <v>235</v>
      </c>
      <c r="B4" s="108">
        <v>2023</v>
      </c>
    </row>
    <row r="5" spans="1:5" ht="14.25">
      <c r="A5" s="110" t="s">
        <v>232</v>
      </c>
      <c r="B5" s="110"/>
      <c r="C5" s="110"/>
    </row>
    <row r="6" spans="1:5" ht="14.25">
      <c r="A6" s="110" t="s">
        <v>233</v>
      </c>
      <c r="B6" s="110"/>
      <c r="C6" s="110"/>
    </row>
    <row r="7" spans="1:5" ht="14.25">
      <c r="A7" s="111" t="s">
        <v>234</v>
      </c>
    </row>
    <row r="8" spans="1:5">
      <c r="D8" s="112"/>
    </row>
    <row r="9" spans="1:5">
      <c r="D9" s="112"/>
      <c r="E9" s="112">
        <v>2023</v>
      </c>
    </row>
    <row r="10" spans="1:5">
      <c r="C10" s="112" t="s">
        <v>172</v>
      </c>
      <c r="D10" s="112" t="s">
        <v>173</v>
      </c>
      <c r="E10" s="112" t="s">
        <v>174</v>
      </c>
    </row>
    <row r="11" spans="1:5">
      <c r="C11" s="112" t="s">
        <v>175</v>
      </c>
      <c r="D11" s="112" t="s">
        <v>176</v>
      </c>
      <c r="E11" s="112" t="s">
        <v>175</v>
      </c>
    </row>
    <row r="12" spans="1:5">
      <c r="D12" s="113"/>
    </row>
    <row r="13" spans="1:5" ht="15.75">
      <c r="B13" s="107" t="s">
        <v>177</v>
      </c>
      <c r="C13" s="114">
        <v>0</v>
      </c>
      <c r="D13" s="113">
        <v>0.05</v>
      </c>
      <c r="E13" s="115">
        <f>C13*0.05</f>
        <v>0</v>
      </c>
    </row>
    <row r="14" spans="1:5">
      <c r="B14" s="107"/>
      <c r="C14" s="115"/>
      <c r="D14" s="113"/>
      <c r="E14" s="115"/>
    </row>
    <row r="15" spans="1:5">
      <c r="B15" s="107" t="s">
        <v>178</v>
      </c>
      <c r="C15" s="115">
        <v>0</v>
      </c>
      <c r="D15" s="113">
        <v>0.05</v>
      </c>
      <c r="E15" s="115">
        <f>C15*0.05</f>
        <v>0</v>
      </c>
    </row>
    <row r="16" spans="1:5">
      <c r="B16" s="107"/>
      <c r="C16" s="115"/>
      <c r="D16" s="113"/>
      <c r="E16" s="115"/>
    </row>
    <row r="17" spans="2:5" ht="15.75">
      <c r="B17" s="107" t="s">
        <v>179</v>
      </c>
      <c r="C17" s="114">
        <v>0</v>
      </c>
      <c r="D17" s="113">
        <v>0.05</v>
      </c>
      <c r="E17" s="115">
        <f>C17*0.05</f>
        <v>0</v>
      </c>
    </row>
    <row r="18" spans="2:5" ht="15.75">
      <c r="B18" s="107"/>
      <c r="C18" s="114"/>
      <c r="D18" s="113"/>
      <c r="E18" s="115"/>
    </row>
    <row r="19" spans="2:5" ht="15.75">
      <c r="B19" s="107" t="s">
        <v>180</v>
      </c>
      <c r="C19" s="114">
        <v>0</v>
      </c>
      <c r="D19" s="113">
        <v>0.05</v>
      </c>
      <c r="E19" s="115">
        <f>C19*0.05</f>
        <v>0</v>
      </c>
    </row>
    <row r="20" spans="2:5" ht="15.75">
      <c r="B20" s="107"/>
      <c r="C20" s="114"/>
      <c r="D20" s="113"/>
      <c r="E20" s="115"/>
    </row>
    <row r="21" spans="2:5" ht="15.75">
      <c r="B21" s="107" t="s">
        <v>231</v>
      </c>
      <c r="C21" s="114">
        <v>0</v>
      </c>
      <c r="D21" s="113">
        <v>0.05</v>
      </c>
      <c r="E21" s="115">
        <f>C21*D21</f>
        <v>0</v>
      </c>
    </row>
    <row r="22" spans="2:5">
      <c r="B22" s="107"/>
      <c r="C22" s="115"/>
      <c r="D22" s="113"/>
      <c r="E22" s="115"/>
    </row>
    <row r="23" spans="2:5">
      <c r="B23" s="107" t="s">
        <v>181</v>
      </c>
      <c r="C23" s="115">
        <v>0</v>
      </c>
      <c r="D23" s="113">
        <v>0.1</v>
      </c>
      <c r="E23" s="115">
        <f>C23*0.1</f>
        <v>0</v>
      </c>
    </row>
    <row r="24" spans="2:5">
      <c r="B24" s="107"/>
      <c r="C24" s="115"/>
      <c r="D24" s="113"/>
      <c r="E24" s="115"/>
    </row>
    <row r="25" spans="2:5">
      <c r="B25" s="107" t="s">
        <v>182</v>
      </c>
      <c r="C25" s="115">
        <v>0</v>
      </c>
      <c r="D25" s="113">
        <v>0.1</v>
      </c>
      <c r="E25" s="115">
        <f>C25*0.1</f>
        <v>0</v>
      </c>
    </row>
    <row r="26" spans="2:5">
      <c r="B26" s="107"/>
      <c r="C26" s="115"/>
      <c r="D26" s="113"/>
      <c r="E26" s="115"/>
    </row>
    <row r="27" spans="2:5">
      <c r="B27" s="107" t="s">
        <v>183</v>
      </c>
      <c r="C27" s="115">
        <v>0</v>
      </c>
      <c r="D27" s="113">
        <v>0.1</v>
      </c>
      <c r="E27" s="115">
        <f>C27*0.1</f>
        <v>0</v>
      </c>
    </row>
    <row r="29" spans="2:5">
      <c r="B29" s="107" t="s">
        <v>184</v>
      </c>
      <c r="C29" s="115">
        <v>0</v>
      </c>
      <c r="D29" s="113">
        <v>0.1</v>
      </c>
      <c r="E29" s="115">
        <f>C29*0.1</f>
        <v>0</v>
      </c>
    </row>
    <row r="31" spans="2:5" ht="15" thickBot="1">
      <c r="C31" s="116">
        <f>SUM(C13:C30)</f>
        <v>0</v>
      </c>
      <c r="E31" s="117">
        <f>SUM(E13:E30)</f>
        <v>0</v>
      </c>
    </row>
  </sheetData>
  <printOptions gridLines="1"/>
  <pageMargins left="0.75" right="0.75" top="1.08" bottom="1" header="0.5" footer="0.5"/>
  <pageSetup paperSize="9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31"/>
  <sheetViews>
    <sheetView topLeftCell="A7" workbookViewId="0">
      <selection activeCell="G16" sqref="G16"/>
    </sheetView>
  </sheetViews>
  <sheetFormatPr defaultColWidth="9.16796875" defaultRowHeight="12.75"/>
  <cols>
    <col min="1" max="1" width="9.16796875" style="108"/>
    <col min="2" max="2" width="28.18359375" style="108" customWidth="1"/>
    <col min="3" max="3" width="21.171875" style="108" customWidth="1"/>
    <col min="4" max="4" width="9.16796875" style="108"/>
    <col min="5" max="5" width="18.609375" style="108" customWidth="1"/>
    <col min="6" max="6" width="4.8515625" style="108" customWidth="1"/>
    <col min="7" max="7" width="16.046875" style="108" bestFit="1" customWidth="1"/>
    <col min="8" max="8" width="9.16796875" style="108"/>
    <col min="9" max="9" width="14.6953125" style="108" bestFit="1" customWidth="1"/>
    <col min="10" max="16384" width="9.16796875" style="108"/>
  </cols>
  <sheetData>
    <row r="1" spans="1:9">
      <c r="A1" s="107" t="s">
        <v>170</v>
      </c>
    </row>
    <row r="2" spans="1:9">
      <c r="A2" s="107" t="s">
        <v>236</v>
      </c>
      <c r="B2" s="107"/>
      <c r="C2" s="107"/>
      <c r="D2" s="107"/>
    </row>
    <row r="3" spans="1:9">
      <c r="A3" s="109" t="s">
        <v>171</v>
      </c>
    </row>
    <row r="4" spans="1:9">
      <c r="A4" s="107" t="s">
        <v>235</v>
      </c>
      <c r="B4" s="108">
        <v>2024</v>
      </c>
    </row>
    <row r="5" spans="1:9" ht="14.25">
      <c r="A5" s="110" t="s">
        <v>232</v>
      </c>
      <c r="B5" s="110"/>
      <c r="C5" s="110"/>
    </row>
    <row r="6" spans="1:9" ht="14.25">
      <c r="A6" s="110" t="s">
        <v>233</v>
      </c>
      <c r="B6" s="110"/>
      <c r="C6" s="110"/>
    </row>
    <row r="7" spans="1:9" ht="14.25">
      <c r="A7" s="111" t="s">
        <v>234</v>
      </c>
    </row>
    <row r="8" spans="1:9">
      <c r="D8" s="112"/>
    </row>
    <row r="9" spans="1:9">
      <c r="D9" s="112"/>
      <c r="E9" s="112">
        <v>2024</v>
      </c>
      <c r="H9" s="112"/>
      <c r="I9" s="112">
        <v>2023</v>
      </c>
    </row>
    <row r="10" spans="1:9">
      <c r="C10" s="112" t="s">
        <v>172</v>
      </c>
      <c r="D10" s="112" t="s">
        <v>173</v>
      </c>
      <c r="E10" s="112" t="s">
        <v>174</v>
      </c>
      <c r="G10" s="112" t="s">
        <v>172</v>
      </c>
      <c r="H10" s="112" t="s">
        <v>173</v>
      </c>
      <c r="I10" s="112" t="s">
        <v>174</v>
      </c>
    </row>
    <row r="11" spans="1:9">
      <c r="C11" s="112" t="s">
        <v>175</v>
      </c>
      <c r="D11" s="112" t="s">
        <v>176</v>
      </c>
      <c r="E11" s="112" t="s">
        <v>175</v>
      </c>
      <c r="G11" s="112" t="s">
        <v>175</v>
      </c>
      <c r="H11" s="112" t="s">
        <v>176</v>
      </c>
      <c r="I11" s="112" t="s">
        <v>175</v>
      </c>
    </row>
    <row r="12" spans="1:9">
      <c r="D12" s="113"/>
      <c r="H12" s="113"/>
    </row>
    <row r="13" spans="1:9" ht="15.75">
      <c r="B13" s="107" t="s">
        <v>177</v>
      </c>
      <c r="C13" s="114">
        <v>0</v>
      </c>
      <c r="D13" s="113">
        <v>0.05</v>
      </c>
      <c r="E13" s="115">
        <f>C13*0.05</f>
        <v>0</v>
      </c>
      <c r="G13" s="114">
        <v>0</v>
      </c>
      <c r="H13" s="113">
        <v>0.05</v>
      </c>
      <c r="I13" s="115">
        <f>G13*0.05</f>
        <v>0</v>
      </c>
    </row>
    <row r="14" spans="1:9">
      <c r="B14" s="107"/>
      <c r="C14" s="115"/>
      <c r="D14" s="113"/>
      <c r="E14" s="115"/>
      <c r="G14" s="115"/>
      <c r="H14" s="113"/>
      <c r="I14" s="115"/>
    </row>
    <row r="15" spans="1:9">
      <c r="B15" s="107" t="s">
        <v>178</v>
      </c>
      <c r="C15" s="115">
        <v>0</v>
      </c>
      <c r="D15" s="113">
        <v>0.05</v>
      </c>
      <c r="E15" s="115">
        <f>C15*0.05</f>
        <v>0</v>
      </c>
      <c r="G15" s="115">
        <v>1000000</v>
      </c>
      <c r="H15" s="113">
        <v>0.05</v>
      </c>
      <c r="I15" s="115">
        <f>G15*0.05</f>
        <v>50000</v>
      </c>
    </row>
    <row r="16" spans="1:9">
      <c r="B16" s="107"/>
      <c r="C16" s="115"/>
      <c r="D16" s="113"/>
      <c r="E16" s="115"/>
      <c r="G16" s="115"/>
      <c r="H16" s="113"/>
      <c r="I16" s="115"/>
    </row>
    <row r="17" spans="2:9" ht="15.75">
      <c r="B17" s="107" t="s">
        <v>179</v>
      </c>
      <c r="C17" s="114">
        <v>0</v>
      </c>
      <c r="D17" s="113">
        <v>0.05</v>
      </c>
      <c r="E17" s="115">
        <f>C17*0.05</f>
        <v>0</v>
      </c>
      <c r="G17" s="114">
        <v>0</v>
      </c>
      <c r="H17" s="113">
        <v>0.05</v>
      </c>
      <c r="I17" s="115">
        <f>G17*0.05</f>
        <v>0</v>
      </c>
    </row>
    <row r="18" spans="2:9" ht="15.75">
      <c r="B18" s="107"/>
      <c r="C18" s="114"/>
      <c r="D18" s="113"/>
      <c r="E18" s="115"/>
      <c r="G18" s="114"/>
      <c r="H18" s="113"/>
      <c r="I18" s="115"/>
    </row>
    <row r="19" spans="2:9" ht="15.75">
      <c r="B19" s="107" t="s">
        <v>180</v>
      </c>
      <c r="C19" s="114">
        <v>3000000</v>
      </c>
      <c r="D19" s="113">
        <v>0.05</v>
      </c>
      <c r="E19" s="115">
        <f>C19*0.05</f>
        <v>150000</v>
      </c>
      <c r="G19" s="114">
        <v>2000000</v>
      </c>
      <c r="H19" s="113">
        <v>0.05</v>
      </c>
      <c r="I19" s="115">
        <f>G19*0.05</f>
        <v>100000</v>
      </c>
    </row>
    <row r="20" spans="2:9" ht="15.75">
      <c r="B20" s="107"/>
      <c r="C20" s="114"/>
      <c r="D20" s="113"/>
      <c r="E20" s="115"/>
      <c r="G20" s="114"/>
      <c r="H20" s="113"/>
      <c r="I20" s="115"/>
    </row>
    <row r="21" spans="2:9" ht="15.75">
      <c r="B21" s="107" t="s">
        <v>231</v>
      </c>
      <c r="C21" s="114">
        <v>0</v>
      </c>
      <c r="D21" s="113">
        <v>0.05</v>
      </c>
      <c r="E21" s="115">
        <f>C21*D21</f>
        <v>0</v>
      </c>
      <c r="G21" s="114">
        <v>0</v>
      </c>
      <c r="H21" s="113">
        <v>0.05</v>
      </c>
      <c r="I21" s="115">
        <f>G21*H21</f>
        <v>0</v>
      </c>
    </row>
    <row r="22" spans="2:9">
      <c r="B22" s="107"/>
      <c r="C22" s="115"/>
      <c r="D22" s="113"/>
      <c r="E22" s="115"/>
      <c r="G22" s="115"/>
      <c r="H22" s="113"/>
      <c r="I22" s="115"/>
    </row>
    <row r="23" spans="2:9">
      <c r="B23" s="107" t="s">
        <v>181</v>
      </c>
      <c r="C23" s="115">
        <v>0</v>
      </c>
      <c r="D23" s="113">
        <v>0.1</v>
      </c>
      <c r="E23" s="115">
        <f>C23*0.1</f>
        <v>0</v>
      </c>
      <c r="G23" s="115">
        <v>0</v>
      </c>
      <c r="H23" s="113">
        <v>0.1</v>
      </c>
      <c r="I23" s="115">
        <f>G23*0.1</f>
        <v>0</v>
      </c>
    </row>
    <row r="24" spans="2:9">
      <c r="B24" s="107"/>
      <c r="C24" s="115"/>
      <c r="D24" s="113"/>
      <c r="E24" s="115"/>
      <c r="G24" s="115"/>
      <c r="H24" s="113"/>
      <c r="I24" s="115"/>
    </row>
    <row r="25" spans="2:9">
      <c r="B25" s="107" t="s">
        <v>182</v>
      </c>
      <c r="C25" s="115">
        <v>0</v>
      </c>
      <c r="D25" s="113">
        <v>0.1</v>
      </c>
      <c r="E25" s="115">
        <f>C25*0.1</f>
        <v>0</v>
      </c>
      <c r="G25" s="115">
        <v>0</v>
      </c>
      <c r="H25" s="113">
        <v>0.1</v>
      </c>
      <c r="I25" s="115">
        <f>G25*0.1</f>
        <v>0</v>
      </c>
    </row>
    <row r="26" spans="2:9">
      <c r="B26" s="107"/>
      <c r="C26" s="115"/>
      <c r="D26" s="113"/>
      <c r="E26" s="115"/>
      <c r="G26" s="115"/>
      <c r="H26" s="113"/>
      <c r="I26" s="115"/>
    </row>
    <row r="27" spans="2:9">
      <c r="B27" s="107" t="s">
        <v>183</v>
      </c>
      <c r="C27" s="115">
        <f>E27*10</f>
        <v>11200000</v>
      </c>
      <c r="D27" s="113">
        <v>0.1</v>
      </c>
      <c r="E27" s="115">
        <f>+'WHT Remittance 2024'!C13</f>
        <v>1120000</v>
      </c>
      <c r="G27" s="115">
        <f>I27*10</f>
        <v>22500000</v>
      </c>
      <c r="H27" s="113">
        <v>0.1</v>
      </c>
      <c r="I27" s="115">
        <f>+'WHT Remittance 2023'!C12</f>
        <v>2250000</v>
      </c>
    </row>
    <row r="29" spans="2:9">
      <c r="B29" s="107" t="s">
        <v>184</v>
      </c>
      <c r="C29" s="115">
        <v>0</v>
      </c>
      <c r="D29" s="113">
        <v>0.1</v>
      </c>
      <c r="E29" s="115">
        <f>C29*0.1</f>
        <v>0</v>
      </c>
      <c r="G29" s="115">
        <v>0</v>
      </c>
      <c r="H29" s="113">
        <v>0.1</v>
      </c>
      <c r="I29" s="115">
        <f>G29*0.1</f>
        <v>0</v>
      </c>
    </row>
    <row r="31" spans="2:9" ht="15" thickBot="1">
      <c r="C31" s="116">
        <f>SUM(C13:C30)</f>
        <v>14200000</v>
      </c>
      <c r="E31" s="117">
        <f>SUM(E13:E30)</f>
        <v>1270000</v>
      </c>
      <c r="G31" s="116">
        <f>SUM(G13:G30)</f>
        <v>25500000</v>
      </c>
      <c r="I31" s="117">
        <f>SUM(I13:I30)</f>
        <v>2400000</v>
      </c>
    </row>
  </sheetData>
  <printOptions gridLines="1"/>
  <pageMargins left="0.75" right="0.75" top="1.08" bottom="1" header="0.5" footer="0.5"/>
  <pageSetup paperSize="9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3:G22"/>
  <sheetViews>
    <sheetView view="pageBreakPreview" topLeftCell="B1" zoomScaleNormal="100" zoomScaleSheetLayoutView="100" workbookViewId="0">
      <selection activeCell="D11" sqref="D11"/>
    </sheetView>
  </sheetViews>
  <sheetFormatPr defaultRowHeight="12.75"/>
  <cols>
    <col min="2" max="2" width="7.68359375" bestFit="1" customWidth="1"/>
    <col min="3" max="3" width="26.69921875" customWidth="1"/>
    <col min="4" max="4" width="23.8671875" bestFit="1" customWidth="1"/>
    <col min="5" max="5" width="23.05859375" style="10" bestFit="1" customWidth="1"/>
    <col min="6" max="6" width="26.29296875" customWidth="1"/>
    <col min="7" max="7" width="25.75390625" customWidth="1"/>
  </cols>
  <sheetData>
    <row r="3" spans="2:7" ht="18" customHeight="1">
      <c r="C3" s="3" t="s">
        <v>340</v>
      </c>
      <c r="D3" s="3"/>
      <c r="E3" s="3"/>
    </row>
    <row r="4" spans="2:7" ht="18" customHeight="1" thickBot="1">
      <c r="C4" s="3"/>
      <c r="D4" s="3"/>
      <c r="E4" s="3"/>
    </row>
    <row r="5" spans="2:7" s="9" customFormat="1" ht="18" customHeight="1">
      <c r="B5" s="46" t="s">
        <v>17</v>
      </c>
      <c r="C5" s="26" t="s">
        <v>59</v>
      </c>
      <c r="D5" s="27" t="s">
        <v>54</v>
      </c>
      <c r="E5" s="26" t="s">
        <v>57</v>
      </c>
      <c r="F5" s="26" t="s">
        <v>58</v>
      </c>
      <c r="G5" s="28" t="s">
        <v>61</v>
      </c>
    </row>
    <row r="6" spans="2:7" s="9" customFormat="1" ht="18" customHeight="1">
      <c r="B6" s="55">
        <v>1</v>
      </c>
      <c r="C6" s="55" t="s">
        <v>288</v>
      </c>
      <c r="D6" s="94">
        <v>580200</v>
      </c>
      <c r="E6" s="93" t="s">
        <v>158</v>
      </c>
      <c r="F6" s="55" t="s">
        <v>289</v>
      </c>
      <c r="G6" s="55" t="s">
        <v>290</v>
      </c>
    </row>
    <row r="7" spans="2:7" s="9" customFormat="1" ht="18" customHeight="1">
      <c r="B7" s="55">
        <v>2</v>
      </c>
      <c r="C7" s="55" t="s">
        <v>291</v>
      </c>
      <c r="D7" s="94">
        <v>585800</v>
      </c>
      <c r="E7" s="93" t="s">
        <v>159</v>
      </c>
      <c r="F7" s="55" t="s">
        <v>289</v>
      </c>
      <c r="G7" s="55" t="s">
        <v>290</v>
      </c>
    </row>
    <row r="8" spans="2:7" s="9" customFormat="1" ht="18" customHeight="1">
      <c r="B8" s="55">
        <v>3</v>
      </c>
      <c r="C8" s="55" t="s">
        <v>292</v>
      </c>
      <c r="D8" s="94">
        <v>587400</v>
      </c>
      <c r="E8" s="93" t="s">
        <v>160</v>
      </c>
      <c r="F8" s="55" t="s">
        <v>293</v>
      </c>
      <c r="G8" s="55" t="s">
        <v>270</v>
      </c>
    </row>
    <row r="9" spans="2:7" s="9" customFormat="1" ht="18" customHeight="1">
      <c r="B9" s="55">
        <v>4</v>
      </c>
      <c r="C9" s="55" t="s">
        <v>294</v>
      </c>
      <c r="D9" s="94">
        <v>572300</v>
      </c>
      <c r="E9" s="93" t="s">
        <v>161</v>
      </c>
      <c r="F9" s="55" t="s">
        <v>293</v>
      </c>
      <c r="G9" s="55" t="s">
        <v>270</v>
      </c>
    </row>
    <row r="10" spans="2:7" s="9" customFormat="1" ht="18" customHeight="1">
      <c r="B10" s="55">
        <v>5</v>
      </c>
      <c r="C10" s="55" t="s">
        <v>295</v>
      </c>
      <c r="D10" s="94">
        <v>577100</v>
      </c>
      <c r="E10" s="93" t="s">
        <v>162</v>
      </c>
      <c r="F10" s="196">
        <v>45175</v>
      </c>
      <c r="G10" s="55" t="s">
        <v>270</v>
      </c>
    </row>
    <row r="11" spans="2:7" s="9" customFormat="1" ht="18" customHeight="1">
      <c r="B11" s="55">
        <v>6</v>
      </c>
      <c r="C11" s="55" t="s">
        <v>296</v>
      </c>
      <c r="D11" s="94">
        <v>574500</v>
      </c>
      <c r="E11" s="93" t="s">
        <v>163</v>
      </c>
      <c r="F11" s="196">
        <v>45206</v>
      </c>
      <c r="G11" s="55" t="s">
        <v>270</v>
      </c>
    </row>
    <row r="12" spans="2:7" s="9" customFormat="1" ht="18" customHeight="1">
      <c r="B12" s="55">
        <v>7</v>
      </c>
      <c r="C12" s="55" t="s">
        <v>297</v>
      </c>
      <c r="D12" s="94">
        <v>577400</v>
      </c>
      <c r="E12" s="93" t="s">
        <v>164</v>
      </c>
      <c r="F12" s="196">
        <v>45238</v>
      </c>
      <c r="G12" s="55" t="s">
        <v>270</v>
      </c>
    </row>
    <row r="13" spans="2:7" s="9" customFormat="1" ht="18" customHeight="1">
      <c r="B13" s="55">
        <v>8</v>
      </c>
      <c r="C13" s="55" t="s">
        <v>298</v>
      </c>
      <c r="D13" s="94">
        <v>581500</v>
      </c>
      <c r="E13" s="93" t="s">
        <v>165</v>
      </c>
      <c r="F13" s="196">
        <v>45086</v>
      </c>
      <c r="G13" s="55" t="s">
        <v>270</v>
      </c>
    </row>
    <row r="14" spans="2:7" s="9" customFormat="1" ht="18" customHeight="1">
      <c r="B14" s="55">
        <v>9</v>
      </c>
      <c r="C14" s="55" t="s">
        <v>299</v>
      </c>
      <c r="D14" s="94">
        <v>569500</v>
      </c>
      <c r="E14" s="93" t="s">
        <v>166</v>
      </c>
      <c r="F14" s="196">
        <v>45056</v>
      </c>
      <c r="G14" s="55" t="s">
        <v>270</v>
      </c>
    </row>
    <row r="15" spans="2:7" s="9" customFormat="1" ht="18" customHeight="1">
      <c r="B15" s="55">
        <v>10</v>
      </c>
      <c r="C15" s="55" t="s">
        <v>300</v>
      </c>
      <c r="D15" s="94">
        <v>563593</v>
      </c>
      <c r="E15" s="93" t="s">
        <v>167</v>
      </c>
      <c r="F15" s="196">
        <v>44996</v>
      </c>
      <c r="G15" s="55" t="s">
        <v>270</v>
      </c>
    </row>
    <row r="16" spans="2:7" s="9" customFormat="1" ht="18" customHeight="1">
      <c r="B16" s="55">
        <v>11</v>
      </c>
      <c r="C16" s="55" t="s">
        <v>301</v>
      </c>
      <c r="D16" s="94">
        <v>562902</v>
      </c>
      <c r="E16" s="93" t="s">
        <v>168</v>
      </c>
      <c r="F16" s="196">
        <v>45272</v>
      </c>
      <c r="G16" s="55" t="s">
        <v>270</v>
      </c>
    </row>
    <row r="17" spans="2:7" s="9" customFormat="1" ht="18" customHeight="1">
      <c r="B17" s="55">
        <v>12</v>
      </c>
      <c r="C17" s="55" t="s">
        <v>302</v>
      </c>
      <c r="D17" s="94">
        <v>562902</v>
      </c>
      <c r="E17" s="93" t="s">
        <v>169</v>
      </c>
      <c r="F17" s="196">
        <v>45505</v>
      </c>
      <c r="G17" s="55" t="s">
        <v>270</v>
      </c>
    </row>
    <row r="18" spans="2:7" s="9" customFormat="1" ht="18" customHeight="1">
      <c r="B18" s="42"/>
      <c r="C18" s="42"/>
      <c r="D18" s="197">
        <v>6895097</v>
      </c>
      <c r="E18" s="42"/>
      <c r="F18" s="42"/>
      <c r="G18" s="42"/>
    </row>
    <row r="19" spans="2:7" s="9" customFormat="1" ht="18" customHeight="1">
      <c r="B19"/>
      <c r="C19"/>
      <c r="D19" s="198"/>
      <c r="E19"/>
      <c r="F19"/>
      <c r="G19"/>
    </row>
    <row r="20" spans="2:7" ht="24.95" customHeight="1"/>
    <row r="21" spans="2:7" ht="24.95" customHeight="1"/>
    <row r="22" spans="2:7" ht="24.95" customHeight="1"/>
  </sheetData>
  <pageMargins left="0.85" right="0.75" top="1" bottom="1" header="0.5" footer="0.5"/>
  <pageSetup scale="74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G40"/>
  <sheetViews>
    <sheetView view="pageBreakPreview" topLeftCell="B7" zoomScaleNormal="100" zoomScaleSheetLayoutView="100" workbookViewId="0">
      <selection activeCell="E20" sqref="E20"/>
    </sheetView>
  </sheetViews>
  <sheetFormatPr defaultRowHeight="12.75"/>
  <cols>
    <col min="2" max="2" width="7.68359375" bestFit="1" customWidth="1"/>
    <col min="3" max="3" width="26.69921875" customWidth="1"/>
    <col min="4" max="4" width="23.8671875" bestFit="1" customWidth="1"/>
    <col min="5" max="5" width="23.05859375" style="10" bestFit="1" customWidth="1"/>
    <col min="6" max="6" width="26.29296875" customWidth="1"/>
    <col min="7" max="7" width="25.75390625" customWidth="1"/>
  </cols>
  <sheetData>
    <row r="1" spans="2:7" s="15" customFormat="1" ht="18" customHeight="1">
      <c r="B1"/>
      <c r="C1"/>
      <c r="D1"/>
      <c r="E1"/>
      <c r="F1"/>
      <c r="G1"/>
    </row>
    <row r="2" spans="2:7" ht="18" customHeight="1">
      <c r="E2"/>
    </row>
    <row r="3" spans="2:7" ht="18" customHeight="1">
      <c r="C3" s="3" t="s">
        <v>303</v>
      </c>
      <c r="D3" s="3"/>
      <c r="E3" s="3"/>
    </row>
    <row r="4" spans="2:7" s="9" customFormat="1" ht="18" customHeight="1" thickBot="1">
      <c r="B4"/>
      <c r="C4"/>
      <c r="D4"/>
      <c r="E4"/>
      <c r="F4"/>
      <c r="G4"/>
    </row>
    <row r="5" spans="2:7" s="9" customFormat="1" ht="18" customHeight="1">
      <c r="B5" s="46" t="s">
        <v>17</v>
      </c>
      <c r="C5" s="26" t="s">
        <v>59</v>
      </c>
      <c r="D5" s="27" t="s">
        <v>54</v>
      </c>
      <c r="E5" s="26" t="s">
        <v>57</v>
      </c>
      <c r="F5" s="26" t="s">
        <v>58</v>
      </c>
      <c r="G5" s="28" t="s">
        <v>61</v>
      </c>
    </row>
    <row r="6" spans="2:7" s="9" customFormat="1" ht="18" customHeight="1">
      <c r="B6" s="55">
        <v>1</v>
      </c>
      <c r="C6" s="191" t="s">
        <v>319</v>
      </c>
      <c r="D6" s="94">
        <v>545253.32999999996</v>
      </c>
      <c r="E6" s="93" t="s">
        <v>158</v>
      </c>
      <c r="F6" s="191" t="s">
        <v>320</v>
      </c>
      <c r="G6" s="191" t="s">
        <v>270</v>
      </c>
    </row>
    <row r="7" spans="2:7" s="9" customFormat="1" ht="18" customHeight="1">
      <c r="B7" s="55">
        <v>2</v>
      </c>
      <c r="C7" s="191" t="s">
        <v>321</v>
      </c>
      <c r="D7" s="94">
        <v>545253.35</v>
      </c>
      <c r="E7" s="93" t="s">
        <v>159</v>
      </c>
      <c r="F7" s="191" t="s">
        <v>322</v>
      </c>
      <c r="G7" s="191" t="s">
        <v>270</v>
      </c>
    </row>
    <row r="8" spans="2:7" s="9" customFormat="1" ht="18" customHeight="1">
      <c r="B8" s="55">
        <v>3</v>
      </c>
      <c r="C8" s="191" t="s">
        <v>323</v>
      </c>
      <c r="D8" s="94">
        <v>546102.66</v>
      </c>
      <c r="E8" s="93" t="s">
        <v>160</v>
      </c>
      <c r="F8" s="191" t="s">
        <v>324</v>
      </c>
      <c r="G8" s="191" t="s">
        <v>270</v>
      </c>
    </row>
    <row r="9" spans="2:7" s="9" customFormat="1" ht="18" customHeight="1">
      <c r="B9" s="55">
        <v>4</v>
      </c>
      <c r="C9" s="150" t="s">
        <v>304</v>
      </c>
      <c r="D9" s="94">
        <v>170222</v>
      </c>
      <c r="E9" s="93" t="s">
        <v>161</v>
      </c>
      <c r="F9" s="55" t="s">
        <v>305</v>
      </c>
      <c r="G9" s="55" t="s">
        <v>270</v>
      </c>
    </row>
    <row r="10" spans="2:7" s="9" customFormat="1" ht="18" customHeight="1">
      <c r="B10" s="55">
        <v>5</v>
      </c>
      <c r="C10" s="55" t="s">
        <v>306</v>
      </c>
      <c r="D10" s="94">
        <v>170300</v>
      </c>
      <c r="E10" s="93" t="s">
        <v>162</v>
      </c>
      <c r="F10" s="191" t="s">
        <v>325</v>
      </c>
      <c r="G10" s="55" t="s">
        <v>270</v>
      </c>
    </row>
    <row r="11" spans="2:7" s="9" customFormat="1" ht="18" customHeight="1">
      <c r="B11" s="55">
        <v>6</v>
      </c>
      <c r="C11" s="55" t="s">
        <v>307</v>
      </c>
      <c r="D11" s="94">
        <v>171071</v>
      </c>
      <c r="E11" s="93" t="s">
        <v>163</v>
      </c>
      <c r="F11" s="55" t="s">
        <v>308</v>
      </c>
      <c r="G11" s="55" t="s">
        <v>270</v>
      </c>
    </row>
    <row r="12" spans="2:7" s="9" customFormat="1" ht="18" customHeight="1">
      <c r="B12" s="55">
        <v>7</v>
      </c>
      <c r="C12" s="55" t="s">
        <v>309</v>
      </c>
      <c r="D12" s="94">
        <v>170000</v>
      </c>
      <c r="E12" s="93" t="s">
        <v>164</v>
      </c>
      <c r="F12" s="55" t="s">
        <v>341</v>
      </c>
      <c r="G12" s="55" t="s">
        <v>270</v>
      </c>
    </row>
    <row r="13" spans="2:7" s="9" customFormat="1" ht="18" customHeight="1">
      <c r="B13" s="55">
        <v>8</v>
      </c>
      <c r="C13" s="55" t="s">
        <v>310</v>
      </c>
      <c r="D13" s="94">
        <v>166863</v>
      </c>
      <c r="E13" s="93" t="s">
        <v>165</v>
      </c>
      <c r="F13" s="55" t="s">
        <v>311</v>
      </c>
      <c r="G13" s="55" t="s">
        <v>270</v>
      </c>
    </row>
    <row r="14" spans="2:7" s="9" customFormat="1" ht="18" customHeight="1">
      <c r="B14" s="55">
        <v>9</v>
      </c>
      <c r="C14" s="55" t="s">
        <v>312</v>
      </c>
      <c r="D14" s="94">
        <v>159108</v>
      </c>
      <c r="E14" s="93" t="s">
        <v>166</v>
      </c>
      <c r="F14" s="55" t="s">
        <v>313</v>
      </c>
      <c r="G14" s="55" t="s">
        <v>270</v>
      </c>
    </row>
    <row r="15" spans="2:7" s="9" customFormat="1" ht="18" customHeight="1">
      <c r="B15" s="55">
        <v>10</v>
      </c>
      <c r="C15" s="55" t="s">
        <v>314</v>
      </c>
      <c r="D15" s="94">
        <v>159677</v>
      </c>
      <c r="E15" s="93" t="s">
        <v>167</v>
      </c>
      <c r="F15" s="55" t="s">
        <v>315</v>
      </c>
      <c r="G15" s="55" t="s">
        <v>270</v>
      </c>
    </row>
    <row r="16" spans="2:7" s="9" customFormat="1" ht="18" customHeight="1">
      <c r="B16" s="55">
        <v>11</v>
      </c>
      <c r="C16" s="55" t="s">
        <v>316</v>
      </c>
      <c r="D16" s="94">
        <v>154630</v>
      </c>
      <c r="E16" s="93" t="s">
        <v>168</v>
      </c>
      <c r="F16" s="196">
        <v>45809</v>
      </c>
      <c r="G16" s="55" t="s">
        <v>270</v>
      </c>
    </row>
    <row r="17" spans="2:7" s="9" customFormat="1" ht="18" customHeight="1">
      <c r="B17" s="55">
        <v>12</v>
      </c>
      <c r="C17" s="55" t="s">
        <v>317</v>
      </c>
      <c r="D17" s="94">
        <v>154630</v>
      </c>
      <c r="E17" s="93" t="s">
        <v>169</v>
      </c>
      <c r="F17" s="196">
        <v>45809</v>
      </c>
      <c r="G17" s="55" t="s">
        <v>270</v>
      </c>
    </row>
    <row r="18" spans="2:7" s="9" customFormat="1" ht="18" customHeight="1">
      <c r="B18" s="55"/>
      <c r="C18" s="55"/>
      <c r="D18" s="94"/>
      <c r="E18" s="93"/>
      <c r="F18" s="55"/>
      <c r="G18" s="55"/>
    </row>
    <row r="19" spans="2:7" s="9" customFormat="1" ht="18" customHeight="1">
      <c r="B19" s="55"/>
      <c r="C19" s="55"/>
      <c r="D19" s="207">
        <f>SUM(D6:D18)</f>
        <v>3113110.34</v>
      </c>
      <c r="E19" s="55"/>
      <c r="F19" s="55"/>
      <c r="G19" s="55"/>
    </row>
    <row r="20" spans="2:7" s="9" customFormat="1" ht="18" customHeight="1">
      <c r="B20"/>
      <c r="C20"/>
      <c r="D20"/>
      <c r="E20"/>
      <c r="F20"/>
      <c r="G20"/>
    </row>
    <row r="21" spans="2:7" s="9" customFormat="1" ht="18" customHeight="1">
      <c r="B21"/>
      <c r="C21"/>
      <c r="D21"/>
      <c r="E21"/>
      <c r="F21"/>
      <c r="G21"/>
    </row>
    <row r="22" spans="2:7" s="9" customFormat="1" ht="18" customHeight="1">
      <c r="B22"/>
      <c r="C22"/>
      <c r="D22"/>
      <c r="E22"/>
      <c r="F22"/>
      <c r="G22"/>
    </row>
    <row r="23" spans="2:7" s="9" customFormat="1" ht="18" customHeight="1">
      <c r="B23"/>
      <c r="C23"/>
      <c r="D23"/>
      <c r="E23"/>
      <c r="F23"/>
      <c r="G23"/>
    </row>
    <row r="24" spans="2:7" s="9" customFormat="1" ht="17.25" customHeight="1">
      <c r="B24"/>
      <c r="C24"/>
      <c r="D24"/>
      <c r="E24"/>
      <c r="F24"/>
      <c r="G24"/>
    </row>
    <row r="25" spans="2:7" s="9" customFormat="1" ht="19.5" customHeight="1">
      <c r="B25"/>
      <c r="C25"/>
      <c r="D25"/>
      <c r="E25"/>
      <c r="F25"/>
      <c r="G25"/>
    </row>
    <row r="26" spans="2:7" s="9" customFormat="1" ht="29.25" customHeight="1">
      <c r="B26"/>
      <c r="C26"/>
      <c r="D26"/>
      <c r="E26"/>
      <c r="F26"/>
      <c r="G26"/>
    </row>
    <row r="27" spans="2:7" ht="24.95" customHeight="1">
      <c r="E27"/>
    </row>
    <row r="28" spans="2:7" ht="24.95" customHeight="1">
      <c r="E28"/>
    </row>
    <row r="29" spans="2:7" ht="24.95" customHeight="1">
      <c r="E29"/>
    </row>
    <row r="30" spans="2:7" ht="24.95" customHeight="1">
      <c r="E30"/>
    </row>
    <row r="31" spans="2:7" ht="24.95" customHeight="1">
      <c r="E31"/>
    </row>
    <row r="32" spans="2:7" ht="24.95" customHeight="1">
      <c r="E32"/>
    </row>
    <row r="33" spans="5:5" ht="24.95" customHeight="1">
      <c r="E33"/>
    </row>
    <row r="34" spans="5:5" ht="24.95" customHeight="1">
      <c r="E34"/>
    </row>
    <row r="35" spans="5:5" ht="24.95" customHeight="1">
      <c r="E35"/>
    </row>
    <row r="36" spans="5:5" ht="24.95" customHeight="1">
      <c r="E36"/>
    </row>
    <row r="37" spans="5:5" ht="24.95" customHeight="1">
      <c r="E37"/>
    </row>
    <row r="38" spans="5:5" ht="24.95" customHeight="1"/>
    <row r="39" spans="5:5" ht="24.95" customHeight="1"/>
    <row r="40" spans="5:5" ht="24.95" customHeight="1"/>
  </sheetData>
  <phoneticPr fontId="0" type="noConversion"/>
  <pageMargins left="0.85" right="0.75" top="1" bottom="1" header="0.5" footer="0.5"/>
  <pageSetup scale="74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G28"/>
  <sheetViews>
    <sheetView view="pageBreakPreview" topLeftCell="A5" zoomScaleNormal="100" zoomScaleSheetLayoutView="100" workbookViewId="0">
      <selection activeCell="C9" sqref="C9"/>
    </sheetView>
  </sheetViews>
  <sheetFormatPr defaultRowHeight="12.75"/>
  <cols>
    <col min="2" max="2" width="7.68359375" bestFit="1" customWidth="1"/>
    <col min="3" max="3" width="26.69921875" customWidth="1"/>
    <col min="4" max="4" width="23.8671875" bestFit="1" customWidth="1"/>
    <col min="5" max="5" width="23.05859375" style="10" bestFit="1" customWidth="1"/>
    <col min="6" max="6" width="26.29296875" customWidth="1"/>
    <col min="7" max="7" width="25.75390625" customWidth="1"/>
  </cols>
  <sheetData>
    <row r="1" spans="2:7" s="15" customFormat="1" ht="18" customHeight="1">
      <c r="B1"/>
      <c r="C1"/>
      <c r="D1"/>
      <c r="E1"/>
      <c r="F1"/>
      <c r="G1"/>
    </row>
    <row r="2" spans="2:7" ht="18" customHeight="1">
      <c r="E2"/>
    </row>
    <row r="3" spans="2:7" ht="18" customHeight="1">
      <c r="C3" s="3" t="s">
        <v>336</v>
      </c>
      <c r="D3" s="3"/>
      <c r="E3" s="3"/>
    </row>
    <row r="4" spans="2:7" s="9" customFormat="1" ht="18" customHeight="1" thickBot="1">
      <c r="B4"/>
      <c r="C4"/>
      <c r="D4"/>
      <c r="E4"/>
      <c r="F4"/>
      <c r="G4"/>
    </row>
    <row r="5" spans="2:7" s="9" customFormat="1" ht="18" customHeight="1">
      <c r="B5" s="46" t="s">
        <v>17</v>
      </c>
      <c r="C5" s="26" t="s">
        <v>59</v>
      </c>
      <c r="D5" s="27" t="s">
        <v>54</v>
      </c>
      <c r="E5" s="26" t="s">
        <v>57</v>
      </c>
      <c r="F5" s="26" t="s">
        <v>58</v>
      </c>
      <c r="G5" s="28" t="s">
        <v>61</v>
      </c>
    </row>
    <row r="6" spans="2:7" s="9" customFormat="1" ht="18" customHeight="1">
      <c r="B6" s="42">
        <v>1</v>
      </c>
      <c r="C6" s="99" t="s">
        <v>333</v>
      </c>
      <c r="D6" s="94">
        <v>245980</v>
      </c>
      <c r="E6" s="93" t="s">
        <v>158</v>
      </c>
      <c r="F6" s="99" t="s">
        <v>334</v>
      </c>
      <c r="G6" s="99" t="s">
        <v>335</v>
      </c>
    </row>
    <row r="7" spans="2:7" s="9" customFormat="1" ht="18" customHeight="1">
      <c r="B7" s="42"/>
      <c r="C7" s="42"/>
      <c r="D7" s="94"/>
      <c r="E7" s="93" t="s">
        <v>159</v>
      </c>
      <c r="F7" s="42"/>
      <c r="G7" s="42"/>
    </row>
    <row r="8" spans="2:7" s="9" customFormat="1" ht="18" customHeight="1">
      <c r="B8" s="42"/>
      <c r="C8" s="42"/>
      <c r="D8" s="94"/>
      <c r="E8" s="93" t="s">
        <v>160</v>
      </c>
      <c r="F8" s="42"/>
      <c r="G8" s="42"/>
    </row>
    <row r="9" spans="2:7" s="9" customFormat="1" ht="18" customHeight="1">
      <c r="B9"/>
      <c r="C9"/>
      <c r="D9"/>
      <c r="E9"/>
      <c r="F9"/>
      <c r="G9"/>
    </row>
    <row r="10" spans="2:7" s="9" customFormat="1" ht="18" customHeight="1">
      <c r="B10"/>
      <c r="C10"/>
      <c r="D10"/>
      <c r="E10"/>
      <c r="F10"/>
      <c r="G10"/>
    </row>
    <row r="11" spans="2:7" s="9" customFormat="1" ht="18" customHeight="1">
      <c r="B11"/>
      <c r="C11" s="3" t="s">
        <v>337</v>
      </c>
      <c r="D11" s="3"/>
      <c r="E11" s="3"/>
      <c r="F11"/>
      <c r="G11"/>
    </row>
    <row r="12" spans="2:7" s="9" customFormat="1" ht="17.25" customHeight="1" thickBot="1">
      <c r="B12"/>
      <c r="C12"/>
      <c r="D12"/>
      <c r="E12"/>
      <c r="F12"/>
      <c r="G12"/>
    </row>
    <row r="13" spans="2:7" s="9" customFormat="1" ht="19.5" customHeight="1">
      <c r="B13" s="46" t="s">
        <v>17</v>
      </c>
      <c r="C13" s="26" t="s">
        <v>59</v>
      </c>
      <c r="D13" s="27" t="s">
        <v>54</v>
      </c>
      <c r="E13" s="26" t="s">
        <v>57</v>
      </c>
      <c r="F13" s="26" t="s">
        <v>58</v>
      </c>
      <c r="G13" s="28" t="s">
        <v>61</v>
      </c>
    </row>
    <row r="14" spans="2:7" s="9" customFormat="1" ht="29.25" customHeight="1">
      <c r="B14" s="42">
        <v>1</v>
      </c>
      <c r="C14" s="99" t="s">
        <v>338</v>
      </c>
      <c r="D14" s="94">
        <v>280000</v>
      </c>
      <c r="E14" s="93" t="s">
        <v>158</v>
      </c>
      <c r="F14" s="99" t="s">
        <v>339</v>
      </c>
      <c r="G14" s="99" t="s">
        <v>335</v>
      </c>
    </row>
    <row r="15" spans="2:7" ht="24.95" customHeight="1">
      <c r="B15" s="42"/>
      <c r="C15" s="42"/>
      <c r="D15" s="94"/>
      <c r="E15" s="93" t="s">
        <v>159</v>
      </c>
      <c r="F15" s="42"/>
      <c r="G15" s="42"/>
    </row>
    <row r="16" spans="2:7" ht="24.95" customHeight="1">
      <c r="B16" s="42"/>
      <c r="C16" s="42"/>
      <c r="D16" s="94"/>
      <c r="E16" s="93" t="s">
        <v>160</v>
      </c>
      <c r="F16" s="42"/>
      <c r="G16" s="42"/>
    </row>
    <row r="17" spans="5:5" ht="24.95" customHeight="1">
      <c r="E17"/>
    </row>
    <row r="18" spans="5:5" ht="24.95" customHeight="1">
      <c r="E18"/>
    </row>
    <row r="19" spans="5:5" ht="24.95" customHeight="1">
      <c r="E19"/>
    </row>
    <row r="20" spans="5:5" ht="24.95" customHeight="1">
      <c r="E20"/>
    </row>
    <row r="21" spans="5:5" ht="24.95" customHeight="1">
      <c r="E21"/>
    </row>
    <row r="22" spans="5:5" ht="24.95" customHeight="1">
      <c r="E22"/>
    </row>
    <row r="23" spans="5:5" ht="24.95" customHeight="1">
      <c r="E23"/>
    </row>
    <row r="24" spans="5:5" ht="24.95" customHeight="1">
      <c r="E24"/>
    </row>
    <row r="25" spans="5:5" ht="24.95" customHeight="1">
      <c r="E25"/>
    </row>
    <row r="26" spans="5:5" ht="24.95" customHeight="1"/>
    <row r="27" spans="5:5" ht="24.95" customHeight="1"/>
    <row r="28" spans="5:5" ht="24.95" customHeight="1"/>
  </sheetData>
  <pageMargins left="0.85" right="0.75" top="1" bottom="1" header="0.5" footer="0.5"/>
  <pageSetup scale="74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H35"/>
  <sheetViews>
    <sheetView view="pageBreakPreview" zoomScaleNormal="70" zoomScaleSheetLayoutView="100" workbookViewId="0">
      <selection activeCell="C12" sqref="C12"/>
    </sheetView>
  </sheetViews>
  <sheetFormatPr defaultRowHeight="12.75"/>
  <cols>
    <col min="2" max="2" width="9.70703125" customWidth="1"/>
    <col min="3" max="3" width="25.62109375" style="16" customWidth="1"/>
    <col min="4" max="4" width="21.84375" customWidth="1"/>
    <col min="5" max="5" width="29.39453125" customWidth="1"/>
    <col min="6" max="6" width="24.9453125" style="10" bestFit="1" customWidth="1"/>
    <col min="7" max="7" width="30.74609375" bestFit="1" customWidth="1"/>
    <col min="8" max="8" width="18.33984375" customWidth="1"/>
    <col min="9" max="9" width="10.3828125" bestFit="1" customWidth="1"/>
  </cols>
  <sheetData>
    <row r="1" spans="2:8" s="15" customFormat="1" ht="20.25"/>
    <row r="2" spans="2:8" ht="20.25">
      <c r="B2" s="395" t="s">
        <v>6</v>
      </c>
      <c r="C2" s="396"/>
      <c r="D2" s="396"/>
      <c r="E2" s="396"/>
      <c r="F2" s="396"/>
      <c r="G2" s="396"/>
      <c r="H2" s="396"/>
    </row>
    <row r="3" spans="2:8" ht="13.5" thickBot="1">
      <c r="C3" s="25"/>
    </row>
    <row r="4" spans="2:8" s="2" customFormat="1" ht="24.95" customHeight="1">
      <c r="B4" s="47" t="s">
        <v>17</v>
      </c>
      <c r="C4" s="48" t="s">
        <v>56</v>
      </c>
      <c r="D4" s="49" t="s">
        <v>57</v>
      </c>
      <c r="E4" s="50" t="s">
        <v>58</v>
      </c>
      <c r="F4" s="49" t="s">
        <v>59</v>
      </c>
      <c r="G4" s="50" t="s">
        <v>60</v>
      </c>
      <c r="H4" s="51" t="s">
        <v>61</v>
      </c>
    </row>
    <row r="5" spans="2:8" s="14" customFormat="1" ht="26.25" customHeight="1">
      <c r="B5" s="52">
        <v>1</v>
      </c>
      <c r="C5" s="53">
        <v>150000</v>
      </c>
      <c r="D5" s="150" t="s">
        <v>158</v>
      </c>
      <c r="E5" s="12" t="s">
        <v>271</v>
      </c>
      <c r="F5" s="189" t="s">
        <v>269</v>
      </c>
      <c r="G5" s="150" t="s">
        <v>183</v>
      </c>
      <c r="H5" s="190" t="s">
        <v>270</v>
      </c>
    </row>
    <row r="6" spans="2:8" s="14" customFormat="1" ht="26.25" customHeight="1">
      <c r="B6" s="52">
        <v>2</v>
      </c>
      <c r="C6" s="53">
        <v>800000</v>
      </c>
      <c r="D6" s="150" t="s">
        <v>159</v>
      </c>
      <c r="E6" s="150" t="s">
        <v>271</v>
      </c>
      <c r="F6" s="150" t="s">
        <v>272</v>
      </c>
      <c r="G6" s="150" t="s">
        <v>183</v>
      </c>
      <c r="H6" s="190" t="s">
        <v>270</v>
      </c>
    </row>
    <row r="7" spans="2:8" s="14" customFormat="1" ht="22.5" customHeight="1">
      <c r="B7" s="52">
        <v>3</v>
      </c>
      <c r="C7" s="53">
        <v>300000</v>
      </c>
      <c r="D7" s="150" t="s">
        <v>160</v>
      </c>
      <c r="E7" s="189" t="s">
        <v>271</v>
      </c>
      <c r="F7" s="150" t="s">
        <v>273</v>
      </c>
      <c r="G7" s="150" t="s">
        <v>183</v>
      </c>
      <c r="H7" s="190" t="s">
        <v>270</v>
      </c>
    </row>
    <row r="8" spans="2:8" ht="22.5" customHeight="1">
      <c r="B8" s="52">
        <v>4</v>
      </c>
      <c r="C8" s="190">
        <v>250000</v>
      </c>
      <c r="D8" s="150" t="s">
        <v>161</v>
      </c>
      <c r="E8" s="150" t="s">
        <v>271</v>
      </c>
      <c r="F8" s="150" t="s">
        <v>274</v>
      </c>
      <c r="G8" s="150" t="s">
        <v>183</v>
      </c>
      <c r="H8" s="150" t="s">
        <v>270</v>
      </c>
    </row>
    <row r="9" spans="2:8" ht="22.5" customHeight="1">
      <c r="B9" s="52">
        <v>5</v>
      </c>
      <c r="C9" s="190">
        <v>300000</v>
      </c>
      <c r="D9" s="150" t="s">
        <v>162</v>
      </c>
      <c r="E9" s="150" t="s">
        <v>271</v>
      </c>
      <c r="F9" s="150" t="s">
        <v>275</v>
      </c>
      <c r="G9" s="150" t="s">
        <v>183</v>
      </c>
      <c r="H9" s="150" t="s">
        <v>270</v>
      </c>
    </row>
    <row r="10" spans="2:8" ht="22.5" customHeight="1">
      <c r="B10" s="52">
        <v>6</v>
      </c>
      <c r="C10" s="190">
        <v>300000</v>
      </c>
      <c r="D10" s="150" t="s">
        <v>163</v>
      </c>
      <c r="E10" s="150" t="s">
        <v>271</v>
      </c>
      <c r="F10" s="150" t="s">
        <v>276</v>
      </c>
      <c r="G10" s="150" t="s">
        <v>183</v>
      </c>
      <c r="H10" s="150" t="s">
        <v>270</v>
      </c>
    </row>
    <row r="11" spans="2:8" ht="22.5" customHeight="1">
      <c r="B11" s="52">
        <v>7</v>
      </c>
      <c r="C11" s="190">
        <v>150000</v>
      </c>
      <c r="D11" s="150" t="s">
        <v>164</v>
      </c>
      <c r="E11" s="150" t="s">
        <v>271</v>
      </c>
      <c r="F11" s="150" t="s">
        <v>269</v>
      </c>
      <c r="G11" s="150" t="s">
        <v>183</v>
      </c>
      <c r="H11" s="150" t="s">
        <v>270</v>
      </c>
    </row>
    <row r="12" spans="2:8" ht="22.5" customHeight="1">
      <c r="C12" s="192">
        <v>2250000</v>
      </c>
    </row>
    <row r="13" spans="2:8" ht="22.5" customHeight="1">
      <c r="C13" s="25"/>
    </row>
    <row r="14" spans="2:8" ht="22.5" customHeight="1">
      <c r="C14" s="25"/>
    </row>
    <row r="15" spans="2:8" ht="22.5" customHeight="1">
      <c r="C15" s="25"/>
    </row>
    <row r="16" spans="2:8" ht="22.5" customHeight="1">
      <c r="C16" s="25"/>
    </row>
    <row r="17" spans="3:3">
      <c r="C17" s="25"/>
    </row>
    <row r="18" spans="3:3">
      <c r="C18" s="25"/>
    </row>
    <row r="19" spans="3:3">
      <c r="C19" s="25"/>
    </row>
    <row r="20" spans="3:3">
      <c r="C20" s="25"/>
    </row>
    <row r="21" spans="3:3">
      <c r="C21" s="25"/>
    </row>
    <row r="22" spans="3:3">
      <c r="C22" s="25"/>
    </row>
    <row r="23" spans="3:3">
      <c r="C23" s="25"/>
    </row>
    <row r="24" spans="3:3">
      <c r="C24" s="25"/>
    </row>
    <row r="25" spans="3:3">
      <c r="C25" s="25"/>
    </row>
    <row r="26" spans="3:3">
      <c r="C26" s="25"/>
    </row>
    <row r="27" spans="3:3">
      <c r="C27" s="25"/>
    </row>
    <row r="28" spans="3:3">
      <c r="C28" s="25"/>
    </row>
    <row r="29" spans="3:3">
      <c r="C29" s="25"/>
    </row>
    <row r="30" spans="3:3">
      <c r="C30" s="25"/>
    </row>
    <row r="31" spans="3:3">
      <c r="C31" s="25"/>
    </row>
    <row r="32" spans="3:3">
      <c r="C32" s="25"/>
    </row>
    <row r="33" spans="3:3">
      <c r="C33" s="25"/>
    </row>
    <row r="34" spans="3:3">
      <c r="C34" s="25"/>
    </row>
    <row r="35" spans="3:3">
      <c r="C35" s="25"/>
    </row>
  </sheetData>
  <mergeCells count="1">
    <mergeCell ref="B2:H2"/>
  </mergeCells>
  <pageMargins left="0.75" right="0.3" top="1" bottom="1" header="0.5" footer="0.5"/>
  <pageSetup paperSize="9" scale="74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H36"/>
  <sheetViews>
    <sheetView view="pageBreakPreview" zoomScaleNormal="70" zoomScaleSheetLayoutView="100" workbookViewId="0">
      <selection activeCell="D1" sqref="D1"/>
    </sheetView>
  </sheetViews>
  <sheetFormatPr defaultRowHeight="12.75"/>
  <cols>
    <col min="2" max="2" width="9.70703125" customWidth="1"/>
    <col min="3" max="3" width="25.62109375" style="16" customWidth="1"/>
    <col min="4" max="4" width="21.84375" customWidth="1"/>
    <col min="5" max="5" width="29.39453125" customWidth="1"/>
    <col min="6" max="6" width="24.8125" style="10" bestFit="1" customWidth="1"/>
    <col min="7" max="7" width="30.74609375" bestFit="1" customWidth="1"/>
    <col min="8" max="8" width="18.33984375" customWidth="1"/>
    <col min="9" max="9" width="10.3828125" bestFit="1" customWidth="1"/>
  </cols>
  <sheetData>
    <row r="1" spans="2:8" s="15" customFormat="1" ht="20.25"/>
    <row r="2" spans="2:8" ht="20.25">
      <c r="B2" s="395" t="s">
        <v>6</v>
      </c>
      <c r="C2" s="396"/>
      <c r="D2" s="396"/>
      <c r="E2" s="396"/>
      <c r="F2" s="396"/>
      <c r="G2" s="396"/>
      <c r="H2" s="396"/>
    </row>
    <row r="3" spans="2:8" ht="13.5" thickBot="1">
      <c r="C3" s="25"/>
    </row>
    <row r="4" spans="2:8" s="2" customFormat="1" ht="24.95" customHeight="1">
      <c r="B4" s="47" t="s">
        <v>17</v>
      </c>
      <c r="C4" s="48" t="s">
        <v>56</v>
      </c>
      <c r="D4" s="49" t="s">
        <v>57</v>
      </c>
      <c r="E4" s="50" t="s">
        <v>58</v>
      </c>
      <c r="F4" s="49" t="s">
        <v>59</v>
      </c>
      <c r="G4" s="50" t="s">
        <v>60</v>
      </c>
      <c r="H4" s="51" t="s">
        <v>61</v>
      </c>
    </row>
    <row r="5" spans="2:8" s="14" customFormat="1" ht="26.25" customHeight="1">
      <c r="B5" s="52">
        <v>1</v>
      </c>
      <c r="C5" s="53">
        <v>140000</v>
      </c>
      <c r="D5" s="150" t="s">
        <v>158</v>
      </c>
      <c r="E5" s="189" t="s">
        <v>277</v>
      </c>
      <c r="F5" s="150" t="s">
        <v>278</v>
      </c>
      <c r="G5" s="150" t="s">
        <v>183</v>
      </c>
      <c r="H5" s="190" t="s">
        <v>270</v>
      </c>
    </row>
    <row r="6" spans="2:8" s="14" customFormat="1" ht="26.25" customHeight="1">
      <c r="B6" s="52">
        <v>2</v>
      </c>
      <c r="C6" s="53">
        <v>90000</v>
      </c>
      <c r="D6" s="150" t="s">
        <v>159</v>
      </c>
      <c r="E6" s="150" t="s">
        <v>277</v>
      </c>
      <c r="F6" s="150" t="s">
        <v>279</v>
      </c>
      <c r="G6" s="150" t="s">
        <v>183</v>
      </c>
      <c r="H6" s="190" t="s">
        <v>270</v>
      </c>
    </row>
    <row r="7" spans="2:8" s="14" customFormat="1" ht="22.5" customHeight="1">
      <c r="B7" s="52">
        <v>3</v>
      </c>
      <c r="C7" s="53">
        <v>250000</v>
      </c>
      <c r="D7" s="150" t="s">
        <v>160</v>
      </c>
      <c r="E7" s="189" t="s">
        <v>277</v>
      </c>
      <c r="F7" s="150" t="s">
        <v>280</v>
      </c>
      <c r="G7" s="150" t="s">
        <v>183</v>
      </c>
      <c r="H7" s="190" t="s">
        <v>270</v>
      </c>
    </row>
    <row r="8" spans="2:8" s="9" customFormat="1" ht="22.5" customHeight="1">
      <c r="B8" s="150">
        <v>4</v>
      </c>
      <c r="C8" s="190">
        <v>150000</v>
      </c>
      <c r="D8" s="150" t="s">
        <v>161</v>
      </c>
      <c r="E8" s="150" t="s">
        <v>277</v>
      </c>
      <c r="F8" s="150" t="s">
        <v>281</v>
      </c>
      <c r="G8" s="150" t="s">
        <v>183</v>
      </c>
      <c r="H8" s="150" t="s">
        <v>270</v>
      </c>
    </row>
    <row r="9" spans="2:8" s="9" customFormat="1" ht="22.5" customHeight="1">
      <c r="B9" s="150">
        <v>5</v>
      </c>
      <c r="C9" s="190">
        <v>300000</v>
      </c>
      <c r="D9" s="150" t="s">
        <v>162</v>
      </c>
      <c r="E9" s="150" t="s">
        <v>277</v>
      </c>
      <c r="F9" s="150" t="s">
        <v>282</v>
      </c>
      <c r="G9" s="150" t="s">
        <v>183</v>
      </c>
      <c r="H9" s="150" t="s">
        <v>270</v>
      </c>
    </row>
    <row r="10" spans="2:8" s="9" customFormat="1" ht="22.5" customHeight="1">
      <c r="B10" s="150">
        <v>6</v>
      </c>
      <c r="C10" s="190">
        <v>100000</v>
      </c>
      <c r="D10" s="150" t="s">
        <v>163</v>
      </c>
      <c r="E10" s="150" t="s">
        <v>277</v>
      </c>
      <c r="F10" s="150" t="s">
        <v>283</v>
      </c>
      <c r="G10" s="150" t="s">
        <v>183</v>
      </c>
      <c r="H10" s="150" t="s">
        <v>270</v>
      </c>
    </row>
    <row r="11" spans="2:8" s="9" customFormat="1" ht="22.5" customHeight="1">
      <c r="B11" s="150">
        <v>7</v>
      </c>
      <c r="C11" s="190">
        <v>90000</v>
      </c>
      <c r="D11" s="150" t="s">
        <v>164</v>
      </c>
      <c r="E11" s="150" t="s">
        <v>277</v>
      </c>
      <c r="F11" s="150" t="s">
        <v>284</v>
      </c>
      <c r="G11" s="150" t="s">
        <v>183</v>
      </c>
      <c r="H11" s="150" t="s">
        <v>270</v>
      </c>
    </row>
    <row r="12" spans="2:8" ht="22.5" customHeight="1">
      <c r="B12" s="52"/>
      <c r="C12" s="54"/>
      <c r="D12" s="150"/>
      <c r="E12" s="191"/>
      <c r="F12" s="191"/>
      <c r="G12" s="191"/>
      <c r="H12" s="191"/>
    </row>
    <row r="13" spans="2:8" ht="22.5" customHeight="1">
      <c r="B13" s="52"/>
      <c r="C13" s="193">
        <f>SUM(C5:C12)</f>
        <v>1120000</v>
      </c>
      <c r="D13" s="150"/>
      <c r="E13" s="42"/>
      <c r="F13" s="55"/>
      <c r="G13" s="42"/>
      <c r="H13" s="42"/>
    </row>
    <row r="14" spans="2:8" ht="22.5" customHeight="1">
      <c r="C14" s="25"/>
    </row>
    <row r="15" spans="2:8" ht="22.5" customHeight="1">
      <c r="C15" s="25"/>
    </row>
    <row r="16" spans="2:8" ht="22.5" customHeight="1">
      <c r="C16" s="25"/>
    </row>
    <row r="17" spans="3:3" ht="22.5" customHeight="1">
      <c r="C17" s="25"/>
    </row>
    <row r="18" spans="3:3">
      <c r="C18" s="25"/>
    </row>
    <row r="19" spans="3:3">
      <c r="C19" s="25"/>
    </row>
    <row r="20" spans="3:3">
      <c r="C20" s="25"/>
    </row>
    <row r="21" spans="3:3">
      <c r="C21" s="25"/>
    </row>
    <row r="22" spans="3:3">
      <c r="C22" s="25"/>
    </row>
    <row r="23" spans="3:3">
      <c r="C23" s="25"/>
    </row>
    <row r="24" spans="3:3">
      <c r="C24" s="25"/>
    </row>
    <row r="25" spans="3:3">
      <c r="C25" s="25"/>
    </row>
    <row r="26" spans="3:3">
      <c r="C26" s="25"/>
    </row>
    <row r="27" spans="3:3">
      <c r="C27" s="25"/>
    </row>
    <row r="28" spans="3:3">
      <c r="C28" s="25"/>
    </row>
    <row r="29" spans="3:3">
      <c r="C29" s="25"/>
    </row>
    <row r="30" spans="3:3">
      <c r="C30" s="25"/>
    </row>
    <row r="31" spans="3:3">
      <c r="C31" s="25"/>
    </row>
    <row r="32" spans="3:3">
      <c r="C32" s="25"/>
    </row>
    <row r="33" spans="3:3">
      <c r="C33" s="25"/>
    </row>
    <row r="34" spans="3:3">
      <c r="C34" s="25"/>
    </row>
    <row r="35" spans="3:3">
      <c r="C35" s="25"/>
    </row>
    <row r="36" spans="3:3">
      <c r="C36" s="25"/>
    </row>
  </sheetData>
  <mergeCells count="1">
    <mergeCell ref="B2:H2"/>
  </mergeCells>
  <phoneticPr fontId="0" type="noConversion"/>
  <pageMargins left="0.75" right="0.3" top="1" bottom="1" header="0.5" footer="0.5"/>
  <pageSetup paperSize="9" scale="74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4:H12"/>
  <sheetViews>
    <sheetView view="pageBreakPreview" zoomScaleNormal="63" zoomScaleSheetLayoutView="100" workbookViewId="0">
      <selection activeCell="C14" sqref="C14"/>
    </sheetView>
  </sheetViews>
  <sheetFormatPr defaultColWidth="8.76171875" defaultRowHeight="12.75"/>
  <cols>
    <col min="2" max="2" width="7.8203125" bestFit="1" customWidth="1"/>
    <col min="3" max="3" width="45.71484375" customWidth="1"/>
    <col min="4" max="4" width="17.80078125" bestFit="1" customWidth="1"/>
    <col min="5" max="5" width="23.4609375" customWidth="1"/>
    <col min="6" max="6" width="21.57421875" customWidth="1"/>
    <col min="7" max="7" width="37.21875" customWidth="1"/>
  </cols>
  <sheetData>
    <row r="4" spans="2:8" s="7" customFormat="1" ht="20.25">
      <c r="B4"/>
      <c r="C4"/>
      <c r="D4"/>
      <c r="E4"/>
      <c r="F4"/>
      <c r="G4"/>
      <c r="H4"/>
    </row>
    <row r="5" spans="2:8" ht="14.1" customHeight="1"/>
    <row r="6" spans="2:8" ht="32.450000000000003" customHeight="1">
      <c r="B6" s="3"/>
      <c r="C6" s="3" t="s">
        <v>55</v>
      </c>
      <c r="D6" s="3"/>
      <c r="E6" s="3"/>
      <c r="F6" s="3"/>
      <c r="G6" s="3"/>
    </row>
    <row r="7" spans="2:8" s="2" customFormat="1" ht="18" customHeight="1">
      <c r="B7" s="3"/>
      <c r="C7" s="3"/>
      <c r="D7" s="3"/>
      <c r="E7" s="3"/>
      <c r="F7" s="3"/>
      <c r="G7" s="3"/>
      <c r="H7"/>
    </row>
    <row r="8" spans="2:8" s="12" customFormat="1" ht="20.100000000000001" customHeight="1" thickBot="1">
      <c r="B8" s="3"/>
      <c r="C8" s="3"/>
      <c r="D8" s="3"/>
      <c r="E8" s="3"/>
      <c r="F8" s="3"/>
      <c r="G8" s="3"/>
      <c r="H8"/>
    </row>
    <row r="9" spans="2:8" s="12" customFormat="1" ht="20.100000000000001" customHeight="1">
      <c r="B9" s="84" t="s">
        <v>17</v>
      </c>
      <c r="C9" s="49" t="s">
        <v>62</v>
      </c>
      <c r="D9" s="50" t="s">
        <v>63</v>
      </c>
      <c r="E9" s="49" t="s">
        <v>56</v>
      </c>
      <c r="F9" s="49" t="s">
        <v>57</v>
      </c>
      <c r="G9" s="50" t="s">
        <v>64</v>
      </c>
      <c r="H9"/>
    </row>
    <row r="10" spans="2:8" s="9" customFormat="1" ht="20.100000000000001" customHeight="1">
      <c r="B10" s="42">
        <v>1</v>
      </c>
      <c r="C10" s="55" t="s">
        <v>251</v>
      </c>
      <c r="D10" s="54">
        <v>5000</v>
      </c>
      <c r="E10" s="54">
        <v>5000</v>
      </c>
      <c r="F10" s="194">
        <v>2023</v>
      </c>
      <c r="G10" s="191" t="s">
        <v>285</v>
      </c>
      <c r="H10"/>
    </row>
    <row r="11" spans="2:8" s="9" customFormat="1" ht="20.100000000000001" customHeight="1">
      <c r="B11" s="42"/>
      <c r="C11" s="42"/>
      <c r="D11" s="42"/>
      <c r="E11" s="42"/>
      <c r="F11" s="42"/>
      <c r="G11" s="42"/>
      <c r="H11"/>
    </row>
    <row r="12" spans="2:8" s="9" customFormat="1" ht="20.100000000000001" customHeight="1">
      <c r="B12" s="42"/>
      <c r="C12" s="42"/>
      <c r="D12" s="42"/>
      <c r="E12" s="42"/>
      <c r="F12" s="42"/>
      <c r="G12" s="42"/>
      <c r="H12"/>
    </row>
  </sheetData>
  <pageMargins left="0.74803149606299213" right="0.74803149606299213" top="0.98425196850393704" bottom="0.98425196850393704" header="0.51181102362204722" footer="0.51181102362204722"/>
  <pageSetup scale="72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4:H11"/>
  <sheetViews>
    <sheetView view="pageBreakPreview" zoomScaleNormal="63" zoomScaleSheetLayoutView="100" workbookViewId="0">
      <selection activeCell="F7" sqref="F7"/>
    </sheetView>
  </sheetViews>
  <sheetFormatPr defaultColWidth="8.76171875" defaultRowHeight="12.75"/>
  <cols>
    <col min="2" max="2" width="7.8203125" bestFit="1" customWidth="1"/>
    <col min="3" max="3" width="43.15234375" customWidth="1"/>
    <col min="4" max="4" width="24.8125" customWidth="1"/>
    <col min="5" max="5" width="23.4609375" customWidth="1"/>
    <col min="6" max="6" width="21.57421875" customWidth="1"/>
    <col min="7" max="7" width="37.21875" customWidth="1"/>
  </cols>
  <sheetData>
    <row r="4" spans="2:8" s="7" customFormat="1" ht="20.25">
      <c r="B4"/>
      <c r="C4"/>
      <c r="D4"/>
      <c r="E4"/>
      <c r="F4"/>
      <c r="G4"/>
      <c r="H4"/>
    </row>
    <row r="5" spans="2:8" ht="14.1" customHeight="1"/>
    <row r="6" spans="2:8" ht="32.450000000000003" customHeight="1">
      <c r="B6" s="3"/>
      <c r="C6" s="3" t="s">
        <v>55</v>
      </c>
      <c r="D6" s="3"/>
      <c r="E6" s="3"/>
      <c r="F6" s="3"/>
      <c r="G6" s="3"/>
    </row>
    <row r="7" spans="2:8" s="2" customFormat="1" ht="18" customHeight="1">
      <c r="B7" s="3"/>
      <c r="C7" s="3"/>
      <c r="D7" s="3"/>
      <c r="E7" s="3"/>
      <c r="F7" s="3"/>
      <c r="G7" s="3"/>
      <c r="H7"/>
    </row>
    <row r="8" spans="2:8" s="12" customFormat="1" ht="20.100000000000001" customHeight="1" thickBot="1">
      <c r="B8" s="3"/>
      <c r="C8" s="3"/>
      <c r="D8" s="3"/>
      <c r="E8" s="3"/>
      <c r="F8" s="3"/>
      <c r="G8" s="3"/>
      <c r="H8"/>
    </row>
    <row r="9" spans="2:8" s="12" customFormat="1" ht="20.100000000000001" customHeight="1">
      <c r="B9" s="84" t="s">
        <v>17</v>
      </c>
      <c r="C9" s="49" t="s">
        <v>62</v>
      </c>
      <c r="D9" s="50" t="s">
        <v>63</v>
      </c>
      <c r="E9" s="49" t="s">
        <v>56</v>
      </c>
      <c r="F9" s="49" t="s">
        <v>57</v>
      </c>
      <c r="G9" s="50" t="s">
        <v>64</v>
      </c>
      <c r="H9"/>
    </row>
    <row r="10" spans="2:8" s="9" customFormat="1" ht="20.100000000000001" customHeight="1">
      <c r="B10" s="55">
        <v>1</v>
      </c>
      <c r="C10" s="55" t="s">
        <v>251</v>
      </c>
      <c r="D10" s="54">
        <v>5000</v>
      </c>
      <c r="E10" s="54">
        <v>5000</v>
      </c>
      <c r="F10" s="194">
        <v>2024</v>
      </c>
      <c r="G10" s="191" t="s">
        <v>286</v>
      </c>
      <c r="H10"/>
    </row>
    <row r="11" spans="2:8" s="9" customFormat="1" ht="20.100000000000001" customHeight="1">
      <c r="B11" s="42"/>
      <c r="C11" s="42"/>
      <c r="D11" s="42"/>
      <c r="E11" s="42"/>
      <c r="F11" s="42"/>
      <c r="G11" s="42"/>
      <c r="H11"/>
    </row>
  </sheetData>
  <phoneticPr fontId="0" type="noConversion"/>
  <pageMargins left="0.74803149606299213" right="0.74803149606299213" top="0.98425196850393704" bottom="0.98425196850393704" header="0.51181102362204722" footer="0.51181102362204722"/>
  <pageSetup scale="7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I23"/>
  <sheetViews>
    <sheetView view="pageBreakPreview" topLeftCell="A4" zoomScaleNormal="64" zoomScaleSheetLayoutView="100" workbookViewId="0">
      <selection activeCell="C19" sqref="C19"/>
    </sheetView>
  </sheetViews>
  <sheetFormatPr defaultRowHeight="12.75"/>
  <cols>
    <col min="2" max="2" width="17.52734375" customWidth="1"/>
    <col min="3" max="3" width="17.80078125" bestFit="1" customWidth="1"/>
    <col min="4" max="4" width="22.3828125" bestFit="1" customWidth="1"/>
    <col min="5" max="5" width="22.3828125" customWidth="1"/>
    <col min="6" max="6" width="22.3828125" bestFit="1" customWidth="1"/>
    <col min="7" max="8" width="16.71875" bestFit="1" customWidth="1"/>
  </cols>
  <sheetData>
    <row r="2" spans="1:9" ht="18">
      <c r="C2" s="3"/>
    </row>
    <row r="3" spans="1:9" ht="18">
      <c r="B3" s="89" t="s">
        <v>326</v>
      </c>
      <c r="D3" s="90"/>
      <c r="E3" s="90"/>
    </row>
    <row r="4" spans="1:9" ht="18">
      <c r="C4" s="3"/>
    </row>
    <row r="6" spans="1:9" s="12" customFormat="1" ht="20.100000000000001" customHeight="1">
      <c r="A6" s="199" t="s">
        <v>17</v>
      </c>
      <c r="B6" s="199" t="s">
        <v>63</v>
      </c>
      <c r="C6" s="200" t="s">
        <v>56</v>
      </c>
      <c r="D6" s="200" t="s">
        <v>57</v>
      </c>
      <c r="E6" s="200" t="s">
        <v>58</v>
      </c>
      <c r="F6" s="200" t="s">
        <v>64</v>
      </c>
      <c r="I6"/>
    </row>
    <row r="7" spans="1:9">
      <c r="A7" s="42">
        <v>1</v>
      </c>
      <c r="B7" s="201"/>
      <c r="C7" s="201">
        <v>14000</v>
      </c>
      <c r="D7" s="42">
        <v>2023</v>
      </c>
      <c r="E7" s="202">
        <v>45505</v>
      </c>
      <c r="F7" s="99" t="s">
        <v>287</v>
      </c>
    </row>
    <row r="8" spans="1:9">
      <c r="A8" s="42"/>
      <c r="B8" s="42"/>
      <c r="C8" s="42"/>
      <c r="D8" s="42"/>
      <c r="E8" s="42"/>
      <c r="F8" s="42"/>
    </row>
    <row r="9" spans="1:9">
      <c r="A9" s="42"/>
      <c r="B9" s="42"/>
      <c r="C9" s="42"/>
      <c r="D9" s="42"/>
      <c r="E9" s="42"/>
      <c r="F9" s="42"/>
    </row>
    <row r="10" spans="1:9">
      <c r="A10" s="42"/>
      <c r="B10" s="42"/>
      <c r="C10" s="42"/>
      <c r="D10" s="42"/>
      <c r="E10" s="42"/>
      <c r="F10" s="42"/>
    </row>
    <row r="11" spans="1:9">
      <c r="A11" s="42"/>
      <c r="B11" s="42"/>
      <c r="C11" s="42"/>
      <c r="D11" s="42"/>
      <c r="E11" s="42"/>
      <c r="F11" s="42"/>
    </row>
    <row r="15" spans="1:9" ht="18">
      <c r="B15" s="89" t="s">
        <v>327</v>
      </c>
      <c r="D15" s="90"/>
      <c r="E15" s="90"/>
    </row>
    <row r="16" spans="1:9" ht="18">
      <c r="C16" s="3"/>
    </row>
    <row r="18" spans="1:6" ht="18">
      <c r="A18" s="199" t="s">
        <v>17</v>
      </c>
      <c r="B18" s="199" t="s">
        <v>63</v>
      </c>
      <c r="C18" s="200" t="s">
        <v>56</v>
      </c>
      <c r="D18" s="200" t="s">
        <v>57</v>
      </c>
      <c r="E18" s="200" t="s">
        <v>58</v>
      </c>
      <c r="F18" s="200" t="s">
        <v>64</v>
      </c>
    </row>
    <row r="19" spans="1:6">
      <c r="A19" s="203">
        <v>1</v>
      </c>
      <c r="B19" s="204"/>
      <c r="C19" s="204"/>
      <c r="D19" s="203">
        <v>2023</v>
      </c>
      <c r="E19" s="205"/>
      <c r="F19" s="203"/>
    </row>
    <row r="20" spans="1:6">
      <c r="A20" s="42"/>
      <c r="B20" s="42"/>
      <c r="C20" s="42"/>
      <c r="D20" s="42"/>
      <c r="E20" s="42"/>
      <c r="F20" s="42"/>
    </row>
    <row r="21" spans="1:6">
      <c r="A21" s="42"/>
      <c r="B21" s="42"/>
      <c r="C21" s="42"/>
      <c r="D21" s="42"/>
      <c r="E21" s="42"/>
      <c r="F21" s="42"/>
    </row>
    <row r="22" spans="1:6">
      <c r="A22" s="42"/>
      <c r="B22" s="42"/>
      <c r="C22" s="42"/>
      <c r="D22" s="42"/>
      <c r="E22" s="42"/>
      <c r="F22" s="42"/>
    </row>
    <row r="23" spans="1:6">
      <c r="A23" s="42"/>
      <c r="B23" s="42"/>
      <c r="C23" s="42"/>
      <c r="D23" s="42"/>
      <c r="E23" s="42"/>
      <c r="F23" s="42"/>
    </row>
  </sheetData>
  <pageMargins left="0.70866141732283472" right="0.70866141732283472" top="0.74803149606299213" bottom="0.74803149606299213" header="0.31496062992125984" footer="0.31496062992125984"/>
  <pageSetup scale="71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I21"/>
  <sheetViews>
    <sheetView view="pageBreakPreview" zoomScaleNormal="64" zoomScaleSheetLayoutView="100" workbookViewId="0">
      <selection activeCell="C1" sqref="C1"/>
    </sheetView>
  </sheetViews>
  <sheetFormatPr defaultRowHeight="12.75"/>
  <cols>
    <col min="2" max="2" width="17.52734375" customWidth="1"/>
    <col min="3" max="3" width="17.80078125" bestFit="1" customWidth="1"/>
    <col min="4" max="4" width="22.3828125" bestFit="1" customWidth="1"/>
    <col min="5" max="5" width="22.3828125" customWidth="1"/>
    <col min="6" max="6" width="22.3828125" bestFit="1" customWidth="1"/>
    <col min="7" max="8" width="16.71875" bestFit="1" customWidth="1"/>
  </cols>
  <sheetData>
    <row r="2" spans="1:9" ht="18">
      <c r="C2" s="3"/>
    </row>
    <row r="3" spans="1:9" ht="18">
      <c r="B3" s="89" t="s">
        <v>328</v>
      </c>
      <c r="D3" s="90"/>
      <c r="E3" s="90"/>
    </row>
    <row r="4" spans="1:9" ht="18">
      <c r="C4" s="3"/>
    </row>
    <row r="5" spans="1:9" ht="13.5" thickBot="1"/>
    <row r="6" spans="1:9" s="12" customFormat="1" ht="20.100000000000001" customHeight="1" thickBot="1">
      <c r="A6" s="85" t="s">
        <v>17</v>
      </c>
      <c r="B6" s="86" t="s">
        <v>63</v>
      </c>
      <c r="C6" s="87" t="s">
        <v>56</v>
      </c>
      <c r="D6" s="87" t="s">
        <v>57</v>
      </c>
      <c r="E6" s="87" t="s">
        <v>58</v>
      </c>
      <c r="F6" s="88" t="s">
        <v>64</v>
      </c>
      <c r="I6"/>
    </row>
    <row r="7" spans="1:9">
      <c r="A7" s="59">
        <v>1</v>
      </c>
      <c r="B7" s="173"/>
      <c r="C7" s="173">
        <v>10700</v>
      </c>
      <c r="D7" s="59">
        <v>2024</v>
      </c>
      <c r="E7" s="206" t="s">
        <v>330</v>
      </c>
      <c r="F7" s="195" t="s">
        <v>331</v>
      </c>
    </row>
    <row r="8" spans="1:9">
      <c r="A8" s="42"/>
      <c r="B8" s="42"/>
      <c r="C8" s="42"/>
      <c r="D8" s="42"/>
      <c r="E8" s="42"/>
      <c r="F8" s="42"/>
    </row>
    <row r="9" spans="1:9">
      <c r="A9" s="42"/>
      <c r="B9" s="42"/>
      <c r="C9" s="42"/>
      <c r="D9" s="42"/>
      <c r="E9" s="42"/>
      <c r="F9" s="42"/>
    </row>
    <row r="10" spans="1:9">
      <c r="A10" s="42"/>
      <c r="B10" s="42"/>
      <c r="C10" s="42"/>
      <c r="D10" s="42"/>
      <c r="E10" s="42"/>
      <c r="F10" s="42"/>
    </row>
    <row r="11" spans="1:9">
      <c r="A11" s="42"/>
      <c r="B11" s="42"/>
      <c r="C11" s="42"/>
      <c r="D11" s="42"/>
      <c r="E11" s="42"/>
      <c r="F11" s="42"/>
    </row>
    <row r="14" spans="1:9" ht="18">
      <c r="B14" s="89" t="s">
        <v>329</v>
      </c>
      <c r="D14" s="90"/>
      <c r="E14" s="90"/>
    </row>
    <row r="15" spans="1:9" ht="18">
      <c r="C15" s="3"/>
    </row>
    <row r="16" spans="1:9" ht="13.5" thickBot="1"/>
    <row r="17" spans="1:6" ht="18.75" thickBot="1">
      <c r="A17" s="85" t="s">
        <v>17</v>
      </c>
      <c r="B17" s="86" t="s">
        <v>63</v>
      </c>
      <c r="C17" s="87" t="s">
        <v>56</v>
      </c>
      <c r="D17" s="87" t="s">
        <v>57</v>
      </c>
      <c r="E17" s="87" t="s">
        <v>58</v>
      </c>
      <c r="F17" s="88" t="s">
        <v>64</v>
      </c>
    </row>
    <row r="18" spans="1:6">
      <c r="A18" s="59">
        <v>1</v>
      </c>
      <c r="B18" s="173">
        <v>500</v>
      </c>
      <c r="C18" s="173">
        <v>500</v>
      </c>
      <c r="D18" s="59">
        <v>2024</v>
      </c>
      <c r="E18" s="206" t="s">
        <v>330</v>
      </c>
      <c r="F18" s="195" t="s">
        <v>332</v>
      </c>
    </row>
    <row r="19" spans="1:6">
      <c r="A19" s="42"/>
      <c r="B19" s="42"/>
      <c r="C19" s="42"/>
      <c r="D19" s="42"/>
      <c r="E19" s="42"/>
      <c r="F19" s="42"/>
    </row>
    <row r="20" spans="1:6">
      <c r="A20" s="42"/>
      <c r="B20" s="42"/>
      <c r="C20" s="42"/>
      <c r="D20" s="42"/>
      <c r="E20" s="42"/>
      <c r="F20" s="42"/>
    </row>
    <row r="21" spans="1:6">
      <c r="A21" s="42"/>
      <c r="B21" s="42"/>
      <c r="C21" s="42"/>
      <c r="D21" s="42"/>
      <c r="E21" s="42"/>
      <c r="F21" s="42"/>
    </row>
  </sheetData>
  <pageMargins left="0.70866141732283472" right="0.70866141732283472" top="0.74803149606299213" bottom="0.74803149606299213" header="0.31496062992125984" footer="0.31496062992125984"/>
  <pageSetup scale="71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7:L685"/>
  <sheetViews>
    <sheetView topLeftCell="C1" workbookViewId="0">
      <selection activeCell="D7" sqref="D7:L8"/>
    </sheetView>
  </sheetViews>
  <sheetFormatPr defaultColWidth="9.16796875" defaultRowHeight="15"/>
  <cols>
    <col min="1" max="1" width="5.12109375" style="118" bestFit="1" customWidth="1"/>
    <col min="2" max="2" width="33.84765625" style="119" customWidth="1"/>
    <col min="3" max="3" width="23.59765625" style="119" customWidth="1"/>
    <col min="4" max="4" width="21.44140625" style="119" customWidth="1"/>
    <col min="5" max="5" width="14.5625" style="119" customWidth="1"/>
    <col min="6" max="6" width="21.44140625" style="119" customWidth="1"/>
    <col min="7" max="7" width="14.5625" style="119" bestFit="1" customWidth="1"/>
    <col min="8" max="8" width="19.55078125" style="119" bestFit="1" customWidth="1"/>
    <col min="9" max="9" width="17.52734375" style="119" customWidth="1"/>
    <col min="10" max="10" width="18.203125" style="119" customWidth="1"/>
    <col min="11" max="11" width="9.16796875" style="118"/>
    <col min="12" max="12" width="14.83203125" style="119" bestFit="1" customWidth="1"/>
    <col min="13" max="16384" width="9.16796875" style="119"/>
  </cols>
  <sheetData>
    <row r="7" spans="1:12" ht="27.75">
      <c r="A7" s="120" t="s">
        <v>185</v>
      </c>
      <c r="B7" s="120" t="s">
        <v>186</v>
      </c>
      <c r="C7" s="120" t="s">
        <v>187</v>
      </c>
      <c r="D7" s="121" t="s">
        <v>188</v>
      </c>
      <c r="E7" s="120" t="s">
        <v>195</v>
      </c>
      <c r="F7" s="121" t="s">
        <v>237</v>
      </c>
      <c r="G7" s="120" t="s">
        <v>189</v>
      </c>
      <c r="H7" s="120" t="s">
        <v>190</v>
      </c>
      <c r="I7" s="120" t="s">
        <v>191</v>
      </c>
      <c r="J7" s="120" t="s">
        <v>192</v>
      </c>
      <c r="K7" s="120" t="s">
        <v>193</v>
      </c>
      <c r="L7" s="120" t="s">
        <v>194</v>
      </c>
    </row>
    <row r="8" spans="1:12">
      <c r="A8" s="122">
        <v>1</v>
      </c>
      <c r="B8" s="126"/>
      <c r="C8" s="126"/>
      <c r="D8" s="123"/>
      <c r="E8" s="128">
        <f t="shared" ref="E8:E71" si="0">D8*0.08</f>
        <v>0</v>
      </c>
      <c r="F8" s="123">
        <f>D8-E8</f>
        <v>0</v>
      </c>
      <c r="G8" s="128">
        <f>IF(F8&lt;=300000,0,IF(F8&gt;=20000000,(F8*0.21),(F8*0.2)+200000))</f>
        <v>0</v>
      </c>
      <c r="H8" s="127">
        <f t="shared" ref="H8:H71" si="1">+D8-G8-E8</f>
        <v>0</v>
      </c>
      <c r="I8" s="123">
        <f t="shared" ref="I8:I71" si="2">IF(G8=0,(D8*0.01),IF(H8&lt;=0,0.01*D8,IF(AND(H8&gt;0,H8&lt;=300000),H8*7%,IF(AND(H8&gt;=300000,H8&lt;600000),21000+(H8-300000)*11%,IF(AND(H8&gt;=600000,H8&lt;1100000),54000+(H8-600000)*15%,IF(AND(H8&gt;=1100000,H8&lt;1600000),129000+(H8-1100000)*19%,IF(AND(H8&gt;=1600000,H8&lt;3200000),224000+(H8-1600000)*21%,560000+(H8-3200000)*24%)))))))</f>
        <v>0</v>
      </c>
      <c r="J8" s="124">
        <f t="shared" ref="J8:J71" si="3">I8/12</f>
        <v>0</v>
      </c>
      <c r="K8" s="125">
        <v>12</v>
      </c>
      <c r="L8" s="129">
        <f t="shared" ref="L8:L71" si="4">+J8*K8</f>
        <v>0</v>
      </c>
    </row>
    <row r="9" spans="1:12">
      <c r="A9" s="122">
        <v>2</v>
      </c>
      <c r="B9" s="126"/>
      <c r="C9" s="126"/>
      <c r="D9" s="123">
        <v>0</v>
      </c>
      <c r="E9" s="128">
        <f t="shared" si="0"/>
        <v>0</v>
      </c>
      <c r="F9" s="123">
        <f t="shared" ref="F9:F72" si="5">D9-E9</f>
        <v>0</v>
      </c>
      <c r="G9" s="128">
        <f t="shared" ref="G9:G72" si="6">IF(F9&lt;=300000,0,IF(F9&gt;=20000000,(F9*0.21),(F9*0.2)+200000))</f>
        <v>0</v>
      </c>
      <c r="H9" s="127">
        <f t="shared" si="1"/>
        <v>0</v>
      </c>
      <c r="I9" s="123">
        <f t="shared" si="2"/>
        <v>0</v>
      </c>
      <c r="J9" s="124">
        <f t="shared" si="3"/>
        <v>0</v>
      </c>
      <c r="K9" s="125">
        <v>0</v>
      </c>
      <c r="L9" s="129">
        <f t="shared" si="4"/>
        <v>0</v>
      </c>
    </row>
    <row r="10" spans="1:12">
      <c r="A10" s="122">
        <v>3</v>
      </c>
      <c r="B10" s="126"/>
      <c r="C10" s="126"/>
      <c r="D10" s="123">
        <v>0</v>
      </c>
      <c r="E10" s="128">
        <f t="shared" si="0"/>
        <v>0</v>
      </c>
      <c r="F10" s="123">
        <f t="shared" si="5"/>
        <v>0</v>
      </c>
      <c r="G10" s="128">
        <f t="shared" si="6"/>
        <v>0</v>
      </c>
      <c r="H10" s="127">
        <f t="shared" si="1"/>
        <v>0</v>
      </c>
      <c r="I10" s="123">
        <f t="shared" si="2"/>
        <v>0</v>
      </c>
      <c r="J10" s="124">
        <f t="shared" si="3"/>
        <v>0</v>
      </c>
      <c r="K10" s="125">
        <v>0</v>
      </c>
      <c r="L10" s="129">
        <f t="shared" si="4"/>
        <v>0</v>
      </c>
    </row>
    <row r="11" spans="1:12">
      <c r="A11" s="122">
        <v>4</v>
      </c>
      <c r="B11" s="126"/>
      <c r="C11" s="126"/>
      <c r="D11" s="123">
        <v>0</v>
      </c>
      <c r="E11" s="128">
        <f t="shared" si="0"/>
        <v>0</v>
      </c>
      <c r="F11" s="123">
        <f t="shared" si="5"/>
        <v>0</v>
      </c>
      <c r="G11" s="128">
        <f t="shared" si="6"/>
        <v>0</v>
      </c>
      <c r="H11" s="127">
        <f t="shared" si="1"/>
        <v>0</v>
      </c>
      <c r="I11" s="123">
        <f t="shared" si="2"/>
        <v>0</v>
      </c>
      <c r="J11" s="124">
        <f t="shared" si="3"/>
        <v>0</v>
      </c>
      <c r="K11" s="125">
        <v>0</v>
      </c>
      <c r="L11" s="129">
        <f t="shared" si="4"/>
        <v>0</v>
      </c>
    </row>
    <row r="12" spans="1:12">
      <c r="A12" s="122">
        <v>5</v>
      </c>
      <c r="B12" s="126"/>
      <c r="C12" s="126"/>
      <c r="D12" s="123">
        <v>0</v>
      </c>
      <c r="E12" s="128">
        <f t="shared" si="0"/>
        <v>0</v>
      </c>
      <c r="F12" s="123">
        <f t="shared" si="5"/>
        <v>0</v>
      </c>
      <c r="G12" s="128">
        <f t="shared" si="6"/>
        <v>0</v>
      </c>
      <c r="H12" s="127">
        <f t="shared" si="1"/>
        <v>0</v>
      </c>
      <c r="I12" s="123">
        <f t="shared" si="2"/>
        <v>0</v>
      </c>
      <c r="J12" s="124">
        <f t="shared" si="3"/>
        <v>0</v>
      </c>
      <c r="K12" s="125">
        <v>0</v>
      </c>
      <c r="L12" s="129">
        <f t="shared" si="4"/>
        <v>0</v>
      </c>
    </row>
    <row r="13" spans="1:12">
      <c r="A13" s="122">
        <v>6</v>
      </c>
      <c r="B13" s="126"/>
      <c r="C13" s="126"/>
      <c r="D13" s="123">
        <v>0</v>
      </c>
      <c r="E13" s="128">
        <f t="shared" si="0"/>
        <v>0</v>
      </c>
      <c r="F13" s="123">
        <f t="shared" si="5"/>
        <v>0</v>
      </c>
      <c r="G13" s="128">
        <f t="shared" si="6"/>
        <v>0</v>
      </c>
      <c r="H13" s="127">
        <f t="shared" si="1"/>
        <v>0</v>
      </c>
      <c r="I13" s="123">
        <f t="shared" si="2"/>
        <v>0</v>
      </c>
      <c r="J13" s="124">
        <f t="shared" si="3"/>
        <v>0</v>
      </c>
      <c r="K13" s="125">
        <v>0</v>
      </c>
      <c r="L13" s="129">
        <f t="shared" si="4"/>
        <v>0</v>
      </c>
    </row>
    <row r="14" spans="1:12">
      <c r="A14" s="122">
        <v>7</v>
      </c>
      <c r="B14" s="126"/>
      <c r="C14" s="126"/>
      <c r="D14" s="123">
        <v>0</v>
      </c>
      <c r="E14" s="128">
        <f t="shared" si="0"/>
        <v>0</v>
      </c>
      <c r="F14" s="123">
        <f t="shared" si="5"/>
        <v>0</v>
      </c>
      <c r="G14" s="128">
        <f t="shared" si="6"/>
        <v>0</v>
      </c>
      <c r="H14" s="127">
        <f t="shared" si="1"/>
        <v>0</v>
      </c>
      <c r="I14" s="123">
        <f t="shared" si="2"/>
        <v>0</v>
      </c>
      <c r="J14" s="124">
        <f t="shared" si="3"/>
        <v>0</v>
      </c>
      <c r="K14" s="125">
        <v>0</v>
      </c>
      <c r="L14" s="129">
        <f t="shared" si="4"/>
        <v>0</v>
      </c>
    </row>
    <row r="15" spans="1:12">
      <c r="A15" s="122">
        <v>8</v>
      </c>
      <c r="B15" s="126"/>
      <c r="C15" s="126"/>
      <c r="D15" s="123">
        <v>0</v>
      </c>
      <c r="E15" s="128">
        <f t="shared" si="0"/>
        <v>0</v>
      </c>
      <c r="F15" s="123">
        <f t="shared" si="5"/>
        <v>0</v>
      </c>
      <c r="G15" s="128">
        <f t="shared" si="6"/>
        <v>0</v>
      </c>
      <c r="H15" s="127">
        <f t="shared" si="1"/>
        <v>0</v>
      </c>
      <c r="I15" s="123">
        <f t="shared" si="2"/>
        <v>0</v>
      </c>
      <c r="J15" s="124">
        <f t="shared" si="3"/>
        <v>0</v>
      </c>
      <c r="K15" s="125">
        <v>0</v>
      </c>
      <c r="L15" s="129">
        <f t="shared" si="4"/>
        <v>0</v>
      </c>
    </row>
    <row r="16" spans="1:12">
      <c r="A16" s="122">
        <v>9</v>
      </c>
      <c r="B16" s="126"/>
      <c r="C16" s="126"/>
      <c r="D16" s="123">
        <v>0</v>
      </c>
      <c r="E16" s="128">
        <f t="shared" si="0"/>
        <v>0</v>
      </c>
      <c r="F16" s="123">
        <f t="shared" si="5"/>
        <v>0</v>
      </c>
      <c r="G16" s="128">
        <f t="shared" si="6"/>
        <v>0</v>
      </c>
      <c r="H16" s="127">
        <f t="shared" si="1"/>
        <v>0</v>
      </c>
      <c r="I16" s="123">
        <f t="shared" si="2"/>
        <v>0</v>
      </c>
      <c r="J16" s="124">
        <f t="shared" si="3"/>
        <v>0</v>
      </c>
      <c r="K16" s="125">
        <v>0</v>
      </c>
      <c r="L16" s="129">
        <f t="shared" si="4"/>
        <v>0</v>
      </c>
    </row>
    <row r="17" spans="1:12">
      <c r="A17" s="122">
        <v>10</v>
      </c>
      <c r="B17" s="126"/>
      <c r="C17" s="126"/>
      <c r="D17" s="123">
        <v>0</v>
      </c>
      <c r="E17" s="128">
        <f t="shared" si="0"/>
        <v>0</v>
      </c>
      <c r="F17" s="123">
        <f t="shared" si="5"/>
        <v>0</v>
      </c>
      <c r="G17" s="128">
        <f t="shared" si="6"/>
        <v>0</v>
      </c>
      <c r="H17" s="127">
        <f t="shared" si="1"/>
        <v>0</v>
      </c>
      <c r="I17" s="123">
        <f t="shared" si="2"/>
        <v>0</v>
      </c>
      <c r="J17" s="124">
        <f t="shared" si="3"/>
        <v>0</v>
      </c>
      <c r="K17" s="125">
        <v>0</v>
      </c>
      <c r="L17" s="129">
        <f t="shared" si="4"/>
        <v>0</v>
      </c>
    </row>
    <row r="18" spans="1:12">
      <c r="A18" s="122">
        <v>11</v>
      </c>
      <c r="B18" s="126"/>
      <c r="C18" s="126"/>
      <c r="D18" s="123">
        <v>0</v>
      </c>
      <c r="E18" s="128">
        <f t="shared" si="0"/>
        <v>0</v>
      </c>
      <c r="F18" s="123">
        <f t="shared" si="5"/>
        <v>0</v>
      </c>
      <c r="G18" s="128">
        <f t="shared" si="6"/>
        <v>0</v>
      </c>
      <c r="H18" s="127">
        <f t="shared" si="1"/>
        <v>0</v>
      </c>
      <c r="I18" s="123">
        <f t="shared" si="2"/>
        <v>0</v>
      </c>
      <c r="J18" s="124">
        <f t="shared" si="3"/>
        <v>0</v>
      </c>
      <c r="K18" s="125">
        <v>0</v>
      </c>
      <c r="L18" s="129">
        <f t="shared" si="4"/>
        <v>0</v>
      </c>
    </row>
    <row r="19" spans="1:12">
      <c r="A19" s="122">
        <v>12</v>
      </c>
      <c r="B19" s="126"/>
      <c r="C19" s="126"/>
      <c r="D19" s="123">
        <v>0</v>
      </c>
      <c r="E19" s="128">
        <f t="shared" si="0"/>
        <v>0</v>
      </c>
      <c r="F19" s="123">
        <f t="shared" si="5"/>
        <v>0</v>
      </c>
      <c r="G19" s="128">
        <f t="shared" si="6"/>
        <v>0</v>
      </c>
      <c r="H19" s="127">
        <f t="shared" si="1"/>
        <v>0</v>
      </c>
      <c r="I19" s="123">
        <f t="shared" si="2"/>
        <v>0</v>
      </c>
      <c r="J19" s="124">
        <f t="shared" si="3"/>
        <v>0</v>
      </c>
      <c r="K19" s="125">
        <v>0</v>
      </c>
      <c r="L19" s="129">
        <f t="shared" si="4"/>
        <v>0</v>
      </c>
    </row>
    <row r="20" spans="1:12">
      <c r="A20" s="122">
        <v>13</v>
      </c>
      <c r="B20" s="126"/>
      <c r="C20" s="126"/>
      <c r="D20" s="123">
        <v>0</v>
      </c>
      <c r="E20" s="128">
        <f t="shared" si="0"/>
        <v>0</v>
      </c>
      <c r="F20" s="123">
        <f t="shared" si="5"/>
        <v>0</v>
      </c>
      <c r="G20" s="128">
        <f t="shared" si="6"/>
        <v>0</v>
      </c>
      <c r="H20" s="127">
        <f t="shared" si="1"/>
        <v>0</v>
      </c>
      <c r="I20" s="123">
        <f t="shared" si="2"/>
        <v>0</v>
      </c>
      <c r="J20" s="124">
        <f t="shared" si="3"/>
        <v>0</v>
      </c>
      <c r="K20" s="125">
        <v>0</v>
      </c>
      <c r="L20" s="129">
        <f t="shared" si="4"/>
        <v>0</v>
      </c>
    </row>
    <row r="21" spans="1:12">
      <c r="A21" s="122">
        <v>14</v>
      </c>
      <c r="B21" s="126"/>
      <c r="C21" s="126"/>
      <c r="D21" s="123">
        <v>0</v>
      </c>
      <c r="E21" s="128">
        <f t="shared" si="0"/>
        <v>0</v>
      </c>
      <c r="F21" s="123">
        <f t="shared" si="5"/>
        <v>0</v>
      </c>
      <c r="G21" s="128">
        <f t="shared" si="6"/>
        <v>0</v>
      </c>
      <c r="H21" s="127">
        <f t="shared" si="1"/>
        <v>0</v>
      </c>
      <c r="I21" s="123">
        <f t="shared" si="2"/>
        <v>0</v>
      </c>
      <c r="J21" s="124">
        <f t="shared" si="3"/>
        <v>0</v>
      </c>
      <c r="K21" s="125">
        <v>0</v>
      </c>
      <c r="L21" s="129">
        <f t="shared" si="4"/>
        <v>0</v>
      </c>
    </row>
    <row r="22" spans="1:12">
      <c r="A22" s="122">
        <v>15</v>
      </c>
      <c r="B22" s="126"/>
      <c r="C22" s="126"/>
      <c r="D22" s="123">
        <v>0</v>
      </c>
      <c r="E22" s="128">
        <f t="shared" si="0"/>
        <v>0</v>
      </c>
      <c r="F22" s="123">
        <f t="shared" si="5"/>
        <v>0</v>
      </c>
      <c r="G22" s="128">
        <f t="shared" si="6"/>
        <v>0</v>
      </c>
      <c r="H22" s="127">
        <f t="shared" si="1"/>
        <v>0</v>
      </c>
      <c r="I22" s="123">
        <f t="shared" si="2"/>
        <v>0</v>
      </c>
      <c r="J22" s="124">
        <f t="shared" si="3"/>
        <v>0</v>
      </c>
      <c r="K22" s="125">
        <v>0</v>
      </c>
      <c r="L22" s="129">
        <f t="shared" si="4"/>
        <v>0</v>
      </c>
    </row>
    <row r="23" spans="1:12">
      <c r="A23" s="122">
        <v>16</v>
      </c>
      <c r="B23" s="126"/>
      <c r="C23" s="126"/>
      <c r="D23" s="123">
        <v>0</v>
      </c>
      <c r="E23" s="128">
        <f t="shared" si="0"/>
        <v>0</v>
      </c>
      <c r="F23" s="123">
        <f t="shared" si="5"/>
        <v>0</v>
      </c>
      <c r="G23" s="128">
        <f t="shared" si="6"/>
        <v>0</v>
      </c>
      <c r="H23" s="127">
        <f t="shared" si="1"/>
        <v>0</v>
      </c>
      <c r="I23" s="123">
        <f t="shared" si="2"/>
        <v>0</v>
      </c>
      <c r="J23" s="124">
        <f t="shared" si="3"/>
        <v>0</v>
      </c>
      <c r="K23" s="125">
        <v>0</v>
      </c>
      <c r="L23" s="129">
        <f t="shared" si="4"/>
        <v>0</v>
      </c>
    </row>
    <row r="24" spans="1:12">
      <c r="A24" s="122">
        <v>17</v>
      </c>
      <c r="B24" s="126"/>
      <c r="C24" s="126"/>
      <c r="D24" s="123">
        <v>0</v>
      </c>
      <c r="E24" s="128">
        <f t="shared" si="0"/>
        <v>0</v>
      </c>
      <c r="F24" s="123">
        <f t="shared" si="5"/>
        <v>0</v>
      </c>
      <c r="G24" s="128">
        <f t="shared" si="6"/>
        <v>0</v>
      </c>
      <c r="H24" s="127">
        <f t="shared" si="1"/>
        <v>0</v>
      </c>
      <c r="I24" s="123">
        <f t="shared" si="2"/>
        <v>0</v>
      </c>
      <c r="J24" s="124">
        <f t="shared" si="3"/>
        <v>0</v>
      </c>
      <c r="K24" s="125">
        <v>0</v>
      </c>
      <c r="L24" s="129">
        <f t="shared" si="4"/>
        <v>0</v>
      </c>
    </row>
    <row r="25" spans="1:12">
      <c r="A25" s="122">
        <v>18</v>
      </c>
      <c r="B25" s="126"/>
      <c r="C25" s="126"/>
      <c r="D25" s="123">
        <v>0</v>
      </c>
      <c r="E25" s="128">
        <f t="shared" si="0"/>
        <v>0</v>
      </c>
      <c r="F25" s="123">
        <f t="shared" si="5"/>
        <v>0</v>
      </c>
      <c r="G25" s="128">
        <f t="shared" si="6"/>
        <v>0</v>
      </c>
      <c r="H25" s="127">
        <f t="shared" si="1"/>
        <v>0</v>
      </c>
      <c r="I25" s="123">
        <f t="shared" si="2"/>
        <v>0</v>
      </c>
      <c r="J25" s="124">
        <f t="shared" si="3"/>
        <v>0</v>
      </c>
      <c r="K25" s="125">
        <v>0</v>
      </c>
      <c r="L25" s="129">
        <f t="shared" si="4"/>
        <v>0</v>
      </c>
    </row>
    <row r="26" spans="1:12">
      <c r="A26" s="122">
        <v>19</v>
      </c>
      <c r="B26" s="126"/>
      <c r="C26" s="126"/>
      <c r="D26" s="123">
        <v>0</v>
      </c>
      <c r="E26" s="128">
        <f t="shared" si="0"/>
        <v>0</v>
      </c>
      <c r="F26" s="123">
        <f t="shared" si="5"/>
        <v>0</v>
      </c>
      <c r="G26" s="128">
        <f t="shared" si="6"/>
        <v>0</v>
      </c>
      <c r="H26" s="127">
        <f t="shared" si="1"/>
        <v>0</v>
      </c>
      <c r="I26" s="123">
        <f t="shared" si="2"/>
        <v>0</v>
      </c>
      <c r="J26" s="124">
        <f t="shared" si="3"/>
        <v>0</v>
      </c>
      <c r="K26" s="125">
        <v>0</v>
      </c>
      <c r="L26" s="129">
        <f t="shared" si="4"/>
        <v>0</v>
      </c>
    </row>
    <row r="27" spans="1:12">
      <c r="A27" s="122">
        <v>20</v>
      </c>
      <c r="B27" s="126"/>
      <c r="C27" s="126"/>
      <c r="D27" s="123">
        <v>0</v>
      </c>
      <c r="E27" s="128">
        <f t="shared" si="0"/>
        <v>0</v>
      </c>
      <c r="F27" s="123">
        <f t="shared" si="5"/>
        <v>0</v>
      </c>
      <c r="G27" s="128">
        <f t="shared" si="6"/>
        <v>0</v>
      </c>
      <c r="H27" s="127">
        <f t="shared" si="1"/>
        <v>0</v>
      </c>
      <c r="I27" s="123">
        <f t="shared" si="2"/>
        <v>0</v>
      </c>
      <c r="J27" s="124">
        <f t="shared" si="3"/>
        <v>0</v>
      </c>
      <c r="K27" s="125">
        <v>0</v>
      </c>
      <c r="L27" s="129">
        <f t="shared" si="4"/>
        <v>0</v>
      </c>
    </row>
    <row r="28" spans="1:12">
      <c r="A28" s="122">
        <v>21</v>
      </c>
      <c r="B28" s="126"/>
      <c r="C28" s="126"/>
      <c r="D28" s="123">
        <v>0</v>
      </c>
      <c r="E28" s="128">
        <f t="shared" si="0"/>
        <v>0</v>
      </c>
      <c r="F28" s="123">
        <f t="shared" si="5"/>
        <v>0</v>
      </c>
      <c r="G28" s="128">
        <f t="shared" si="6"/>
        <v>0</v>
      </c>
      <c r="H28" s="127">
        <f t="shared" si="1"/>
        <v>0</v>
      </c>
      <c r="I28" s="123">
        <f t="shared" si="2"/>
        <v>0</v>
      </c>
      <c r="J28" s="124">
        <f t="shared" si="3"/>
        <v>0</v>
      </c>
      <c r="K28" s="125">
        <v>0</v>
      </c>
      <c r="L28" s="129">
        <f t="shared" si="4"/>
        <v>0</v>
      </c>
    </row>
    <row r="29" spans="1:12">
      <c r="A29" s="122">
        <v>22</v>
      </c>
      <c r="B29" s="126"/>
      <c r="C29" s="126"/>
      <c r="D29" s="123">
        <v>0</v>
      </c>
      <c r="E29" s="128">
        <f t="shared" si="0"/>
        <v>0</v>
      </c>
      <c r="F29" s="123">
        <f t="shared" si="5"/>
        <v>0</v>
      </c>
      <c r="G29" s="128">
        <f t="shared" si="6"/>
        <v>0</v>
      </c>
      <c r="H29" s="127">
        <f t="shared" si="1"/>
        <v>0</v>
      </c>
      <c r="I29" s="123">
        <f t="shared" si="2"/>
        <v>0</v>
      </c>
      <c r="J29" s="124">
        <f t="shared" si="3"/>
        <v>0</v>
      </c>
      <c r="K29" s="125">
        <v>0</v>
      </c>
      <c r="L29" s="129">
        <f t="shared" si="4"/>
        <v>0</v>
      </c>
    </row>
    <row r="30" spans="1:12">
      <c r="A30" s="122">
        <v>23</v>
      </c>
      <c r="B30" s="126"/>
      <c r="C30" s="126"/>
      <c r="D30" s="123">
        <v>0</v>
      </c>
      <c r="E30" s="128">
        <f t="shared" si="0"/>
        <v>0</v>
      </c>
      <c r="F30" s="123">
        <f t="shared" si="5"/>
        <v>0</v>
      </c>
      <c r="G30" s="128">
        <f t="shared" si="6"/>
        <v>0</v>
      </c>
      <c r="H30" s="127">
        <f t="shared" si="1"/>
        <v>0</v>
      </c>
      <c r="I30" s="123">
        <f t="shared" si="2"/>
        <v>0</v>
      </c>
      <c r="J30" s="124">
        <f t="shared" si="3"/>
        <v>0</v>
      </c>
      <c r="K30" s="125">
        <v>0</v>
      </c>
      <c r="L30" s="129">
        <f t="shared" si="4"/>
        <v>0</v>
      </c>
    </row>
    <row r="31" spans="1:12">
      <c r="A31" s="122">
        <v>24</v>
      </c>
      <c r="B31" s="126"/>
      <c r="C31" s="126"/>
      <c r="D31" s="123">
        <v>0</v>
      </c>
      <c r="E31" s="128">
        <f t="shared" si="0"/>
        <v>0</v>
      </c>
      <c r="F31" s="123">
        <f t="shared" si="5"/>
        <v>0</v>
      </c>
      <c r="G31" s="128">
        <f t="shared" si="6"/>
        <v>0</v>
      </c>
      <c r="H31" s="127">
        <f t="shared" si="1"/>
        <v>0</v>
      </c>
      <c r="I31" s="123">
        <f t="shared" si="2"/>
        <v>0</v>
      </c>
      <c r="J31" s="124">
        <f t="shared" si="3"/>
        <v>0</v>
      </c>
      <c r="K31" s="125">
        <v>0</v>
      </c>
      <c r="L31" s="129">
        <f t="shared" si="4"/>
        <v>0</v>
      </c>
    </row>
    <row r="32" spans="1:12">
      <c r="A32" s="122">
        <v>25</v>
      </c>
      <c r="B32" s="126"/>
      <c r="C32" s="126"/>
      <c r="D32" s="123">
        <v>0</v>
      </c>
      <c r="E32" s="128">
        <f t="shared" si="0"/>
        <v>0</v>
      </c>
      <c r="F32" s="123">
        <f t="shared" si="5"/>
        <v>0</v>
      </c>
      <c r="G32" s="128">
        <f t="shared" si="6"/>
        <v>0</v>
      </c>
      <c r="H32" s="127">
        <f t="shared" si="1"/>
        <v>0</v>
      </c>
      <c r="I32" s="123">
        <f t="shared" si="2"/>
        <v>0</v>
      </c>
      <c r="J32" s="124">
        <f t="shared" si="3"/>
        <v>0</v>
      </c>
      <c r="K32" s="125">
        <v>0</v>
      </c>
      <c r="L32" s="129">
        <f t="shared" si="4"/>
        <v>0</v>
      </c>
    </row>
    <row r="33" spans="1:12">
      <c r="A33" s="122">
        <v>26</v>
      </c>
      <c r="B33" s="126"/>
      <c r="C33" s="126"/>
      <c r="D33" s="123">
        <v>0</v>
      </c>
      <c r="E33" s="128">
        <f t="shared" si="0"/>
        <v>0</v>
      </c>
      <c r="F33" s="123">
        <f t="shared" si="5"/>
        <v>0</v>
      </c>
      <c r="G33" s="128">
        <f t="shared" si="6"/>
        <v>0</v>
      </c>
      <c r="H33" s="127">
        <f t="shared" si="1"/>
        <v>0</v>
      </c>
      <c r="I33" s="123">
        <f t="shared" si="2"/>
        <v>0</v>
      </c>
      <c r="J33" s="124">
        <f t="shared" si="3"/>
        <v>0</v>
      </c>
      <c r="K33" s="125">
        <v>0</v>
      </c>
      <c r="L33" s="129">
        <f t="shared" si="4"/>
        <v>0</v>
      </c>
    </row>
    <row r="34" spans="1:12">
      <c r="A34" s="122">
        <v>27</v>
      </c>
      <c r="B34" s="126"/>
      <c r="C34" s="126"/>
      <c r="D34" s="123">
        <v>0</v>
      </c>
      <c r="E34" s="128">
        <f t="shared" si="0"/>
        <v>0</v>
      </c>
      <c r="F34" s="123">
        <f t="shared" si="5"/>
        <v>0</v>
      </c>
      <c r="G34" s="128">
        <f t="shared" si="6"/>
        <v>0</v>
      </c>
      <c r="H34" s="127">
        <f t="shared" si="1"/>
        <v>0</v>
      </c>
      <c r="I34" s="123">
        <f t="shared" si="2"/>
        <v>0</v>
      </c>
      <c r="J34" s="124">
        <f t="shared" si="3"/>
        <v>0</v>
      </c>
      <c r="K34" s="125">
        <v>0</v>
      </c>
      <c r="L34" s="129">
        <f t="shared" si="4"/>
        <v>0</v>
      </c>
    </row>
    <row r="35" spans="1:12">
      <c r="A35" s="122">
        <v>28</v>
      </c>
      <c r="B35" s="126"/>
      <c r="C35" s="126"/>
      <c r="D35" s="123">
        <v>0</v>
      </c>
      <c r="E35" s="128">
        <f t="shared" si="0"/>
        <v>0</v>
      </c>
      <c r="F35" s="123">
        <f t="shared" si="5"/>
        <v>0</v>
      </c>
      <c r="G35" s="128">
        <f t="shared" si="6"/>
        <v>0</v>
      </c>
      <c r="H35" s="127">
        <f t="shared" si="1"/>
        <v>0</v>
      </c>
      <c r="I35" s="123">
        <f t="shared" si="2"/>
        <v>0</v>
      </c>
      <c r="J35" s="124">
        <f t="shared" si="3"/>
        <v>0</v>
      </c>
      <c r="K35" s="125">
        <v>0</v>
      </c>
      <c r="L35" s="129">
        <f t="shared" si="4"/>
        <v>0</v>
      </c>
    </row>
    <row r="36" spans="1:12">
      <c r="A36" s="122">
        <v>29</v>
      </c>
      <c r="B36" s="126"/>
      <c r="C36" s="126"/>
      <c r="D36" s="123">
        <v>0</v>
      </c>
      <c r="E36" s="128">
        <f t="shared" si="0"/>
        <v>0</v>
      </c>
      <c r="F36" s="123">
        <f t="shared" si="5"/>
        <v>0</v>
      </c>
      <c r="G36" s="128">
        <f t="shared" si="6"/>
        <v>0</v>
      </c>
      <c r="H36" s="127">
        <f t="shared" si="1"/>
        <v>0</v>
      </c>
      <c r="I36" s="123">
        <f t="shared" si="2"/>
        <v>0</v>
      </c>
      <c r="J36" s="124">
        <f t="shared" si="3"/>
        <v>0</v>
      </c>
      <c r="K36" s="125">
        <v>0</v>
      </c>
      <c r="L36" s="129">
        <f t="shared" si="4"/>
        <v>0</v>
      </c>
    </row>
    <row r="37" spans="1:12">
      <c r="A37" s="122">
        <v>30</v>
      </c>
      <c r="B37" s="126"/>
      <c r="C37" s="126"/>
      <c r="D37" s="123">
        <v>0</v>
      </c>
      <c r="E37" s="128">
        <f t="shared" si="0"/>
        <v>0</v>
      </c>
      <c r="F37" s="123">
        <f t="shared" si="5"/>
        <v>0</v>
      </c>
      <c r="G37" s="128">
        <f t="shared" si="6"/>
        <v>0</v>
      </c>
      <c r="H37" s="127">
        <f t="shared" si="1"/>
        <v>0</v>
      </c>
      <c r="I37" s="123">
        <f t="shared" si="2"/>
        <v>0</v>
      </c>
      <c r="J37" s="124">
        <f t="shared" si="3"/>
        <v>0</v>
      </c>
      <c r="K37" s="125">
        <v>0</v>
      </c>
      <c r="L37" s="129">
        <f t="shared" si="4"/>
        <v>0</v>
      </c>
    </row>
    <row r="38" spans="1:12">
      <c r="A38" s="122">
        <v>31</v>
      </c>
      <c r="B38" s="126"/>
      <c r="C38" s="126"/>
      <c r="D38" s="123">
        <v>0</v>
      </c>
      <c r="E38" s="128">
        <f t="shared" si="0"/>
        <v>0</v>
      </c>
      <c r="F38" s="123">
        <f t="shared" si="5"/>
        <v>0</v>
      </c>
      <c r="G38" s="128">
        <f t="shared" si="6"/>
        <v>0</v>
      </c>
      <c r="H38" s="127">
        <f t="shared" si="1"/>
        <v>0</v>
      </c>
      <c r="I38" s="123">
        <f t="shared" si="2"/>
        <v>0</v>
      </c>
      <c r="J38" s="124">
        <f t="shared" si="3"/>
        <v>0</v>
      </c>
      <c r="K38" s="125">
        <v>0</v>
      </c>
      <c r="L38" s="129">
        <f t="shared" si="4"/>
        <v>0</v>
      </c>
    </row>
    <row r="39" spans="1:12">
      <c r="A39" s="122">
        <v>32</v>
      </c>
      <c r="B39" s="126"/>
      <c r="C39" s="126"/>
      <c r="D39" s="123">
        <v>0</v>
      </c>
      <c r="E39" s="128">
        <f t="shared" si="0"/>
        <v>0</v>
      </c>
      <c r="F39" s="123">
        <f t="shared" si="5"/>
        <v>0</v>
      </c>
      <c r="G39" s="128">
        <f t="shared" si="6"/>
        <v>0</v>
      </c>
      <c r="H39" s="127">
        <f t="shared" si="1"/>
        <v>0</v>
      </c>
      <c r="I39" s="123">
        <f t="shared" si="2"/>
        <v>0</v>
      </c>
      <c r="J39" s="124">
        <f t="shared" si="3"/>
        <v>0</v>
      </c>
      <c r="K39" s="125">
        <v>0</v>
      </c>
      <c r="L39" s="129">
        <f t="shared" si="4"/>
        <v>0</v>
      </c>
    </row>
    <row r="40" spans="1:12">
      <c r="A40" s="122">
        <v>33</v>
      </c>
      <c r="B40" s="126"/>
      <c r="C40" s="126"/>
      <c r="D40" s="123">
        <v>0</v>
      </c>
      <c r="E40" s="128">
        <f t="shared" si="0"/>
        <v>0</v>
      </c>
      <c r="F40" s="123">
        <f t="shared" si="5"/>
        <v>0</v>
      </c>
      <c r="G40" s="128">
        <f t="shared" si="6"/>
        <v>0</v>
      </c>
      <c r="H40" s="127">
        <f t="shared" si="1"/>
        <v>0</v>
      </c>
      <c r="I40" s="123">
        <f t="shared" si="2"/>
        <v>0</v>
      </c>
      <c r="J40" s="124">
        <f t="shared" si="3"/>
        <v>0</v>
      </c>
      <c r="K40" s="125">
        <v>0</v>
      </c>
      <c r="L40" s="129">
        <f t="shared" si="4"/>
        <v>0</v>
      </c>
    </row>
    <row r="41" spans="1:12">
      <c r="A41" s="122">
        <v>34</v>
      </c>
      <c r="B41" s="126"/>
      <c r="C41" s="126"/>
      <c r="D41" s="123">
        <v>0</v>
      </c>
      <c r="E41" s="128">
        <f t="shared" si="0"/>
        <v>0</v>
      </c>
      <c r="F41" s="123">
        <f t="shared" si="5"/>
        <v>0</v>
      </c>
      <c r="G41" s="128">
        <f t="shared" si="6"/>
        <v>0</v>
      </c>
      <c r="H41" s="127">
        <f t="shared" si="1"/>
        <v>0</v>
      </c>
      <c r="I41" s="123">
        <f t="shared" si="2"/>
        <v>0</v>
      </c>
      <c r="J41" s="124">
        <f t="shared" si="3"/>
        <v>0</v>
      </c>
      <c r="K41" s="125">
        <v>0</v>
      </c>
      <c r="L41" s="129">
        <f t="shared" si="4"/>
        <v>0</v>
      </c>
    </row>
    <row r="42" spans="1:12">
      <c r="A42" s="122">
        <v>35</v>
      </c>
      <c r="B42" s="126"/>
      <c r="C42" s="126"/>
      <c r="D42" s="123">
        <v>0</v>
      </c>
      <c r="E42" s="128">
        <f t="shared" si="0"/>
        <v>0</v>
      </c>
      <c r="F42" s="123">
        <f t="shared" si="5"/>
        <v>0</v>
      </c>
      <c r="G42" s="128">
        <f t="shared" si="6"/>
        <v>0</v>
      </c>
      <c r="H42" s="127">
        <f t="shared" si="1"/>
        <v>0</v>
      </c>
      <c r="I42" s="123">
        <f t="shared" si="2"/>
        <v>0</v>
      </c>
      <c r="J42" s="124">
        <f t="shared" si="3"/>
        <v>0</v>
      </c>
      <c r="K42" s="125">
        <v>0</v>
      </c>
      <c r="L42" s="129">
        <f t="shared" si="4"/>
        <v>0</v>
      </c>
    </row>
    <row r="43" spans="1:12">
      <c r="A43" s="122">
        <v>36</v>
      </c>
      <c r="B43" s="126"/>
      <c r="C43" s="126"/>
      <c r="D43" s="123">
        <v>0</v>
      </c>
      <c r="E43" s="128">
        <f t="shared" si="0"/>
        <v>0</v>
      </c>
      <c r="F43" s="123">
        <f t="shared" si="5"/>
        <v>0</v>
      </c>
      <c r="G43" s="128">
        <f t="shared" si="6"/>
        <v>0</v>
      </c>
      <c r="H43" s="127">
        <f t="shared" si="1"/>
        <v>0</v>
      </c>
      <c r="I43" s="123">
        <f t="shared" si="2"/>
        <v>0</v>
      </c>
      <c r="J43" s="124">
        <f t="shared" si="3"/>
        <v>0</v>
      </c>
      <c r="K43" s="125">
        <v>0</v>
      </c>
      <c r="L43" s="129">
        <f t="shared" si="4"/>
        <v>0</v>
      </c>
    </row>
    <row r="44" spans="1:12">
      <c r="A44" s="122">
        <v>37</v>
      </c>
      <c r="B44" s="126"/>
      <c r="C44" s="126"/>
      <c r="D44" s="123">
        <v>0</v>
      </c>
      <c r="E44" s="128">
        <f t="shared" si="0"/>
        <v>0</v>
      </c>
      <c r="F44" s="123">
        <f t="shared" si="5"/>
        <v>0</v>
      </c>
      <c r="G44" s="128">
        <f t="shared" si="6"/>
        <v>0</v>
      </c>
      <c r="H44" s="127">
        <f t="shared" si="1"/>
        <v>0</v>
      </c>
      <c r="I44" s="123">
        <f t="shared" si="2"/>
        <v>0</v>
      </c>
      <c r="J44" s="124">
        <f t="shared" si="3"/>
        <v>0</v>
      </c>
      <c r="K44" s="125">
        <v>0</v>
      </c>
      <c r="L44" s="129">
        <f t="shared" si="4"/>
        <v>0</v>
      </c>
    </row>
    <row r="45" spans="1:12">
      <c r="A45" s="122">
        <v>38</v>
      </c>
      <c r="B45" s="126"/>
      <c r="C45" s="126"/>
      <c r="D45" s="123">
        <v>0</v>
      </c>
      <c r="E45" s="128">
        <f t="shared" si="0"/>
        <v>0</v>
      </c>
      <c r="F45" s="123">
        <f t="shared" si="5"/>
        <v>0</v>
      </c>
      <c r="G45" s="128">
        <f t="shared" si="6"/>
        <v>0</v>
      </c>
      <c r="H45" s="127">
        <f t="shared" si="1"/>
        <v>0</v>
      </c>
      <c r="I45" s="123">
        <f t="shared" si="2"/>
        <v>0</v>
      </c>
      <c r="J45" s="124">
        <f t="shared" si="3"/>
        <v>0</v>
      </c>
      <c r="K45" s="125">
        <v>0</v>
      </c>
      <c r="L45" s="129">
        <f t="shared" si="4"/>
        <v>0</v>
      </c>
    </row>
    <row r="46" spans="1:12">
      <c r="A46" s="122">
        <v>39</v>
      </c>
      <c r="B46" s="126"/>
      <c r="C46" s="126"/>
      <c r="D46" s="123">
        <v>0</v>
      </c>
      <c r="E46" s="128">
        <f t="shared" si="0"/>
        <v>0</v>
      </c>
      <c r="F46" s="123">
        <f t="shared" si="5"/>
        <v>0</v>
      </c>
      <c r="G46" s="128">
        <f t="shared" si="6"/>
        <v>0</v>
      </c>
      <c r="H46" s="127">
        <f t="shared" si="1"/>
        <v>0</v>
      </c>
      <c r="I46" s="123">
        <f t="shared" si="2"/>
        <v>0</v>
      </c>
      <c r="J46" s="124">
        <f t="shared" si="3"/>
        <v>0</v>
      </c>
      <c r="K46" s="125">
        <v>0</v>
      </c>
      <c r="L46" s="129">
        <f t="shared" si="4"/>
        <v>0</v>
      </c>
    </row>
    <row r="47" spans="1:12">
      <c r="A47" s="122">
        <v>40</v>
      </c>
      <c r="B47" s="126"/>
      <c r="C47" s="126"/>
      <c r="D47" s="123">
        <v>0</v>
      </c>
      <c r="E47" s="128">
        <f t="shared" si="0"/>
        <v>0</v>
      </c>
      <c r="F47" s="123">
        <f t="shared" si="5"/>
        <v>0</v>
      </c>
      <c r="G47" s="128">
        <f t="shared" si="6"/>
        <v>0</v>
      </c>
      <c r="H47" s="127">
        <f t="shared" si="1"/>
        <v>0</v>
      </c>
      <c r="I47" s="123">
        <f t="shared" si="2"/>
        <v>0</v>
      </c>
      <c r="J47" s="124">
        <f t="shared" si="3"/>
        <v>0</v>
      </c>
      <c r="K47" s="125">
        <v>0</v>
      </c>
      <c r="L47" s="129">
        <f t="shared" si="4"/>
        <v>0</v>
      </c>
    </row>
    <row r="48" spans="1:12">
      <c r="A48" s="122">
        <v>41</v>
      </c>
      <c r="B48" s="126"/>
      <c r="C48" s="126"/>
      <c r="D48" s="123">
        <v>0</v>
      </c>
      <c r="E48" s="128">
        <f t="shared" si="0"/>
        <v>0</v>
      </c>
      <c r="F48" s="123">
        <f t="shared" si="5"/>
        <v>0</v>
      </c>
      <c r="G48" s="128">
        <f t="shared" si="6"/>
        <v>0</v>
      </c>
      <c r="H48" s="127">
        <f t="shared" si="1"/>
        <v>0</v>
      </c>
      <c r="I48" s="123">
        <f t="shared" si="2"/>
        <v>0</v>
      </c>
      <c r="J48" s="124">
        <f t="shared" si="3"/>
        <v>0</v>
      </c>
      <c r="K48" s="125">
        <v>0</v>
      </c>
      <c r="L48" s="129">
        <f t="shared" si="4"/>
        <v>0</v>
      </c>
    </row>
    <row r="49" spans="1:12">
      <c r="A49" s="122">
        <v>42</v>
      </c>
      <c r="B49" s="126"/>
      <c r="C49" s="126"/>
      <c r="D49" s="123">
        <v>0</v>
      </c>
      <c r="E49" s="128">
        <f t="shared" si="0"/>
        <v>0</v>
      </c>
      <c r="F49" s="123">
        <f t="shared" si="5"/>
        <v>0</v>
      </c>
      <c r="G49" s="128">
        <f t="shared" si="6"/>
        <v>0</v>
      </c>
      <c r="H49" s="127">
        <f t="shared" si="1"/>
        <v>0</v>
      </c>
      <c r="I49" s="123">
        <f t="shared" si="2"/>
        <v>0</v>
      </c>
      <c r="J49" s="124">
        <f t="shared" si="3"/>
        <v>0</v>
      </c>
      <c r="K49" s="125">
        <v>0</v>
      </c>
      <c r="L49" s="129">
        <f t="shared" si="4"/>
        <v>0</v>
      </c>
    </row>
    <row r="50" spans="1:12">
      <c r="A50" s="122">
        <v>43</v>
      </c>
      <c r="B50" s="126"/>
      <c r="C50" s="126"/>
      <c r="D50" s="123">
        <v>0</v>
      </c>
      <c r="E50" s="128">
        <f t="shared" si="0"/>
        <v>0</v>
      </c>
      <c r="F50" s="123">
        <f t="shared" si="5"/>
        <v>0</v>
      </c>
      <c r="G50" s="128">
        <f t="shared" si="6"/>
        <v>0</v>
      </c>
      <c r="H50" s="127">
        <f t="shared" si="1"/>
        <v>0</v>
      </c>
      <c r="I50" s="123">
        <f t="shared" si="2"/>
        <v>0</v>
      </c>
      <c r="J50" s="124">
        <f t="shared" si="3"/>
        <v>0</v>
      </c>
      <c r="K50" s="125">
        <v>0</v>
      </c>
      <c r="L50" s="129">
        <f t="shared" si="4"/>
        <v>0</v>
      </c>
    </row>
    <row r="51" spans="1:12">
      <c r="A51" s="122">
        <v>44</v>
      </c>
      <c r="B51" s="126"/>
      <c r="C51" s="126"/>
      <c r="D51" s="123">
        <v>0</v>
      </c>
      <c r="E51" s="128">
        <f t="shared" si="0"/>
        <v>0</v>
      </c>
      <c r="F51" s="123">
        <f t="shared" si="5"/>
        <v>0</v>
      </c>
      <c r="G51" s="128">
        <f t="shared" si="6"/>
        <v>0</v>
      </c>
      <c r="H51" s="127">
        <f t="shared" si="1"/>
        <v>0</v>
      </c>
      <c r="I51" s="123">
        <f t="shared" si="2"/>
        <v>0</v>
      </c>
      <c r="J51" s="124">
        <f t="shared" si="3"/>
        <v>0</v>
      </c>
      <c r="K51" s="125">
        <v>0</v>
      </c>
      <c r="L51" s="129">
        <f t="shared" si="4"/>
        <v>0</v>
      </c>
    </row>
    <row r="52" spans="1:12">
      <c r="A52" s="122">
        <v>45</v>
      </c>
      <c r="B52" s="126"/>
      <c r="C52" s="126"/>
      <c r="D52" s="123">
        <v>0</v>
      </c>
      <c r="E52" s="128">
        <f t="shared" si="0"/>
        <v>0</v>
      </c>
      <c r="F52" s="123">
        <f t="shared" si="5"/>
        <v>0</v>
      </c>
      <c r="G52" s="128">
        <f t="shared" si="6"/>
        <v>0</v>
      </c>
      <c r="H52" s="127">
        <f t="shared" si="1"/>
        <v>0</v>
      </c>
      <c r="I52" s="123">
        <f t="shared" si="2"/>
        <v>0</v>
      </c>
      <c r="J52" s="124">
        <f t="shared" si="3"/>
        <v>0</v>
      </c>
      <c r="K52" s="125">
        <v>0</v>
      </c>
      <c r="L52" s="129">
        <f t="shared" si="4"/>
        <v>0</v>
      </c>
    </row>
    <row r="53" spans="1:12">
      <c r="A53" s="122">
        <v>46</v>
      </c>
      <c r="B53" s="126"/>
      <c r="C53" s="126"/>
      <c r="D53" s="123">
        <v>0</v>
      </c>
      <c r="E53" s="128">
        <f t="shared" si="0"/>
        <v>0</v>
      </c>
      <c r="F53" s="123">
        <f t="shared" si="5"/>
        <v>0</v>
      </c>
      <c r="G53" s="128">
        <f t="shared" si="6"/>
        <v>0</v>
      </c>
      <c r="H53" s="127">
        <f t="shared" si="1"/>
        <v>0</v>
      </c>
      <c r="I53" s="123">
        <f t="shared" si="2"/>
        <v>0</v>
      </c>
      <c r="J53" s="124">
        <f t="shared" si="3"/>
        <v>0</v>
      </c>
      <c r="K53" s="125">
        <v>0</v>
      </c>
      <c r="L53" s="129">
        <f t="shared" si="4"/>
        <v>0</v>
      </c>
    </row>
    <row r="54" spans="1:12">
      <c r="A54" s="122">
        <v>47</v>
      </c>
      <c r="B54" s="126"/>
      <c r="C54" s="126"/>
      <c r="D54" s="123">
        <v>0</v>
      </c>
      <c r="E54" s="128">
        <f t="shared" si="0"/>
        <v>0</v>
      </c>
      <c r="F54" s="123">
        <f t="shared" si="5"/>
        <v>0</v>
      </c>
      <c r="G54" s="128">
        <f t="shared" si="6"/>
        <v>0</v>
      </c>
      <c r="H54" s="127">
        <f t="shared" si="1"/>
        <v>0</v>
      </c>
      <c r="I54" s="123">
        <f t="shared" si="2"/>
        <v>0</v>
      </c>
      <c r="J54" s="124">
        <f t="shared" si="3"/>
        <v>0</v>
      </c>
      <c r="K54" s="125">
        <v>0</v>
      </c>
      <c r="L54" s="129">
        <f t="shared" si="4"/>
        <v>0</v>
      </c>
    </row>
    <row r="55" spans="1:12">
      <c r="A55" s="122">
        <v>48</v>
      </c>
      <c r="B55" s="126"/>
      <c r="C55" s="126"/>
      <c r="D55" s="123">
        <v>0</v>
      </c>
      <c r="E55" s="128">
        <f t="shared" si="0"/>
        <v>0</v>
      </c>
      <c r="F55" s="123">
        <f t="shared" si="5"/>
        <v>0</v>
      </c>
      <c r="G55" s="128">
        <f t="shared" si="6"/>
        <v>0</v>
      </c>
      <c r="H55" s="127">
        <f t="shared" si="1"/>
        <v>0</v>
      </c>
      <c r="I55" s="123">
        <f t="shared" si="2"/>
        <v>0</v>
      </c>
      <c r="J55" s="124">
        <f t="shared" si="3"/>
        <v>0</v>
      </c>
      <c r="K55" s="125">
        <v>0</v>
      </c>
      <c r="L55" s="129">
        <f t="shared" si="4"/>
        <v>0</v>
      </c>
    </row>
    <row r="56" spans="1:12">
      <c r="A56" s="122">
        <v>49</v>
      </c>
      <c r="B56" s="126"/>
      <c r="C56" s="126"/>
      <c r="D56" s="123">
        <v>0</v>
      </c>
      <c r="E56" s="128">
        <f t="shared" si="0"/>
        <v>0</v>
      </c>
      <c r="F56" s="123">
        <f t="shared" si="5"/>
        <v>0</v>
      </c>
      <c r="G56" s="128">
        <f t="shared" si="6"/>
        <v>0</v>
      </c>
      <c r="H56" s="127">
        <f t="shared" si="1"/>
        <v>0</v>
      </c>
      <c r="I56" s="123">
        <f t="shared" si="2"/>
        <v>0</v>
      </c>
      <c r="J56" s="124">
        <f t="shared" si="3"/>
        <v>0</v>
      </c>
      <c r="K56" s="125">
        <v>0</v>
      </c>
      <c r="L56" s="129">
        <f t="shared" si="4"/>
        <v>0</v>
      </c>
    </row>
    <row r="57" spans="1:12">
      <c r="A57" s="122">
        <v>50</v>
      </c>
      <c r="B57" s="126"/>
      <c r="C57" s="126"/>
      <c r="D57" s="123">
        <v>0</v>
      </c>
      <c r="E57" s="128">
        <f t="shared" si="0"/>
        <v>0</v>
      </c>
      <c r="F57" s="123">
        <f t="shared" si="5"/>
        <v>0</v>
      </c>
      <c r="G57" s="128">
        <f t="shared" si="6"/>
        <v>0</v>
      </c>
      <c r="H57" s="127">
        <f t="shared" si="1"/>
        <v>0</v>
      </c>
      <c r="I57" s="123">
        <f t="shared" si="2"/>
        <v>0</v>
      </c>
      <c r="J57" s="124">
        <f t="shared" si="3"/>
        <v>0</v>
      </c>
      <c r="K57" s="125">
        <v>0</v>
      </c>
      <c r="L57" s="129">
        <f t="shared" si="4"/>
        <v>0</v>
      </c>
    </row>
    <row r="58" spans="1:12">
      <c r="A58" s="122">
        <v>51</v>
      </c>
      <c r="B58" s="126"/>
      <c r="C58" s="126"/>
      <c r="D58" s="123">
        <v>0</v>
      </c>
      <c r="E58" s="128">
        <f t="shared" si="0"/>
        <v>0</v>
      </c>
      <c r="F58" s="123">
        <f t="shared" si="5"/>
        <v>0</v>
      </c>
      <c r="G58" s="128">
        <f t="shared" si="6"/>
        <v>0</v>
      </c>
      <c r="H58" s="127">
        <f t="shared" si="1"/>
        <v>0</v>
      </c>
      <c r="I58" s="123">
        <f t="shared" si="2"/>
        <v>0</v>
      </c>
      <c r="J58" s="124">
        <f t="shared" si="3"/>
        <v>0</v>
      </c>
      <c r="K58" s="125">
        <v>0</v>
      </c>
      <c r="L58" s="129">
        <f t="shared" si="4"/>
        <v>0</v>
      </c>
    </row>
    <row r="59" spans="1:12">
      <c r="A59" s="122">
        <v>52</v>
      </c>
      <c r="B59" s="126"/>
      <c r="C59" s="126"/>
      <c r="D59" s="123">
        <v>0</v>
      </c>
      <c r="E59" s="128">
        <f t="shared" si="0"/>
        <v>0</v>
      </c>
      <c r="F59" s="123">
        <f t="shared" si="5"/>
        <v>0</v>
      </c>
      <c r="G59" s="128">
        <f t="shared" si="6"/>
        <v>0</v>
      </c>
      <c r="H59" s="127">
        <f t="shared" si="1"/>
        <v>0</v>
      </c>
      <c r="I59" s="123">
        <f t="shared" si="2"/>
        <v>0</v>
      </c>
      <c r="J59" s="124">
        <f t="shared" si="3"/>
        <v>0</v>
      </c>
      <c r="K59" s="125">
        <v>0</v>
      </c>
      <c r="L59" s="129">
        <f t="shared" si="4"/>
        <v>0</v>
      </c>
    </row>
    <row r="60" spans="1:12">
      <c r="A60" s="122">
        <v>53</v>
      </c>
      <c r="B60" s="126"/>
      <c r="C60" s="126"/>
      <c r="D60" s="123">
        <v>0</v>
      </c>
      <c r="E60" s="128">
        <f t="shared" si="0"/>
        <v>0</v>
      </c>
      <c r="F60" s="123">
        <f t="shared" si="5"/>
        <v>0</v>
      </c>
      <c r="G60" s="128">
        <f t="shared" si="6"/>
        <v>0</v>
      </c>
      <c r="H60" s="127">
        <f t="shared" si="1"/>
        <v>0</v>
      </c>
      <c r="I60" s="123">
        <f t="shared" si="2"/>
        <v>0</v>
      </c>
      <c r="J60" s="124">
        <f t="shared" si="3"/>
        <v>0</v>
      </c>
      <c r="K60" s="125">
        <v>0</v>
      </c>
      <c r="L60" s="129">
        <f t="shared" si="4"/>
        <v>0</v>
      </c>
    </row>
    <row r="61" spans="1:12">
      <c r="A61" s="122">
        <v>54</v>
      </c>
      <c r="B61" s="126"/>
      <c r="C61" s="126"/>
      <c r="D61" s="123">
        <v>0</v>
      </c>
      <c r="E61" s="128">
        <f t="shared" si="0"/>
        <v>0</v>
      </c>
      <c r="F61" s="123">
        <f t="shared" si="5"/>
        <v>0</v>
      </c>
      <c r="G61" s="128">
        <f t="shared" si="6"/>
        <v>0</v>
      </c>
      <c r="H61" s="127">
        <f t="shared" si="1"/>
        <v>0</v>
      </c>
      <c r="I61" s="123">
        <f t="shared" si="2"/>
        <v>0</v>
      </c>
      <c r="J61" s="124">
        <f t="shared" si="3"/>
        <v>0</v>
      </c>
      <c r="K61" s="125">
        <v>0</v>
      </c>
      <c r="L61" s="129">
        <f t="shared" si="4"/>
        <v>0</v>
      </c>
    </row>
    <row r="62" spans="1:12">
      <c r="A62" s="122">
        <v>55</v>
      </c>
      <c r="B62" s="126"/>
      <c r="C62" s="126"/>
      <c r="D62" s="123">
        <v>0</v>
      </c>
      <c r="E62" s="128">
        <f t="shared" si="0"/>
        <v>0</v>
      </c>
      <c r="F62" s="123">
        <f t="shared" si="5"/>
        <v>0</v>
      </c>
      <c r="G62" s="128">
        <f t="shared" si="6"/>
        <v>0</v>
      </c>
      <c r="H62" s="127">
        <f t="shared" si="1"/>
        <v>0</v>
      </c>
      <c r="I62" s="123">
        <f t="shared" si="2"/>
        <v>0</v>
      </c>
      <c r="J62" s="124">
        <f t="shared" si="3"/>
        <v>0</v>
      </c>
      <c r="K62" s="125">
        <v>0</v>
      </c>
      <c r="L62" s="129">
        <f t="shared" si="4"/>
        <v>0</v>
      </c>
    </row>
    <row r="63" spans="1:12">
      <c r="A63" s="122">
        <v>56</v>
      </c>
      <c r="B63" s="126"/>
      <c r="C63" s="126"/>
      <c r="D63" s="123">
        <v>0</v>
      </c>
      <c r="E63" s="128">
        <f t="shared" si="0"/>
        <v>0</v>
      </c>
      <c r="F63" s="123">
        <f t="shared" si="5"/>
        <v>0</v>
      </c>
      <c r="G63" s="128">
        <f t="shared" si="6"/>
        <v>0</v>
      </c>
      <c r="H63" s="127">
        <f t="shared" si="1"/>
        <v>0</v>
      </c>
      <c r="I63" s="123">
        <f t="shared" si="2"/>
        <v>0</v>
      </c>
      <c r="J63" s="124">
        <f t="shared" si="3"/>
        <v>0</v>
      </c>
      <c r="K63" s="125">
        <v>0</v>
      </c>
      <c r="L63" s="129">
        <f t="shared" si="4"/>
        <v>0</v>
      </c>
    </row>
    <row r="64" spans="1:12">
      <c r="A64" s="122">
        <v>57</v>
      </c>
      <c r="B64" s="126"/>
      <c r="C64" s="126"/>
      <c r="D64" s="123">
        <v>0</v>
      </c>
      <c r="E64" s="128">
        <f t="shared" si="0"/>
        <v>0</v>
      </c>
      <c r="F64" s="123">
        <f t="shared" si="5"/>
        <v>0</v>
      </c>
      <c r="G64" s="128">
        <f t="shared" si="6"/>
        <v>0</v>
      </c>
      <c r="H64" s="127">
        <f t="shared" si="1"/>
        <v>0</v>
      </c>
      <c r="I64" s="123">
        <f t="shared" si="2"/>
        <v>0</v>
      </c>
      <c r="J64" s="124">
        <f t="shared" si="3"/>
        <v>0</v>
      </c>
      <c r="K64" s="125">
        <v>0</v>
      </c>
      <c r="L64" s="129">
        <f t="shared" si="4"/>
        <v>0</v>
      </c>
    </row>
    <row r="65" spans="1:12">
      <c r="A65" s="122">
        <v>58</v>
      </c>
      <c r="B65" s="126"/>
      <c r="C65" s="126"/>
      <c r="D65" s="123">
        <v>0</v>
      </c>
      <c r="E65" s="128">
        <f t="shared" si="0"/>
        <v>0</v>
      </c>
      <c r="F65" s="123">
        <f t="shared" si="5"/>
        <v>0</v>
      </c>
      <c r="G65" s="128">
        <f t="shared" si="6"/>
        <v>0</v>
      </c>
      <c r="H65" s="127">
        <f t="shared" si="1"/>
        <v>0</v>
      </c>
      <c r="I65" s="123">
        <f t="shared" si="2"/>
        <v>0</v>
      </c>
      <c r="J65" s="124">
        <f t="shared" si="3"/>
        <v>0</v>
      </c>
      <c r="K65" s="125">
        <v>0</v>
      </c>
      <c r="L65" s="129">
        <f t="shared" si="4"/>
        <v>0</v>
      </c>
    </row>
    <row r="66" spans="1:12">
      <c r="A66" s="122">
        <v>59</v>
      </c>
      <c r="B66" s="126"/>
      <c r="C66" s="126"/>
      <c r="D66" s="123">
        <v>0</v>
      </c>
      <c r="E66" s="128">
        <f t="shared" si="0"/>
        <v>0</v>
      </c>
      <c r="F66" s="123">
        <f t="shared" si="5"/>
        <v>0</v>
      </c>
      <c r="G66" s="128">
        <f t="shared" si="6"/>
        <v>0</v>
      </c>
      <c r="H66" s="127">
        <f t="shared" si="1"/>
        <v>0</v>
      </c>
      <c r="I66" s="123">
        <f t="shared" si="2"/>
        <v>0</v>
      </c>
      <c r="J66" s="124">
        <f t="shared" si="3"/>
        <v>0</v>
      </c>
      <c r="K66" s="125">
        <v>0</v>
      </c>
      <c r="L66" s="129">
        <f t="shared" si="4"/>
        <v>0</v>
      </c>
    </row>
    <row r="67" spans="1:12">
      <c r="A67" s="122">
        <v>60</v>
      </c>
      <c r="B67" s="126"/>
      <c r="C67" s="126"/>
      <c r="D67" s="123">
        <v>0</v>
      </c>
      <c r="E67" s="128">
        <f t="shared" si="0"/>
        <v>0</v>
      </c>
      <c r="F67" s="123">
        <f t="shared" si="5"/>
        <v>0</v>
      </c>
      <c r="G67" s="128">
        <f t="shared" si="6"/>
        <v>0</v>
      </c>
      <c r="H67" s="127">
        <f t="shared" si="1"/>
        <v>0</v>
      </c>
      <c r="I67" s="123">
        <f t="shared" si="2"/>
        <v>0</v>
      </c>
      <c r="J67" s="124">
        <f t="shared" si="3"/>
        <v>0</v>
      </c>
      <c r="K67" s="125">
        <v>0</v>
      </c>
      <c r="L67" s="129">
        <f t="shared" si="4"/>
        <v>0</v>
      </c>
    </row>
    <row r="68" spans="1:12">
      <c r="A68" s="122">
        <v>61</v>
      </c>
      <c r="B68" s="126"/>
      <c r="C68" s="126"/>
      <c r="D68" s="123">
        <v>0</v>
      </c>
      <c r="E68" s="128">
        <f t="shared" si="0"/>
        <v>0</v>
      </c>
      <c r="F68" s="123">
        <f t="shared" si="5"/>
        <v>0</v>
      </c>
      <c r="G68" s="128">
        <f t="shared" si="6"/>
        <v>0</v>
      </c>
      <c r="H68" s="127">
        <f t="shared" si="1"/>
        <v>0</v>
      </c>
      <c r="I68" s="123">
        <f t="shared" si="2"/>
        <v>0</v>
      </c>
      <c r="J68" s="124">
        <f t="shared" si="3"/>
        <v>0</v>
      </c>
      <c r="K68" s="125">
        <v>0</v>
      </c>
      <c r="L68" s="129">
        <f t="shared" si="4"/>
        <v>0</v>
      </c>
    </row>
    <row r="69" spans="1:12">
      <c r="A69" s="122">
        <v>62</v>
      </c>
      <c r="B69" s="126"/>
      <c r="C69" s="126"/>
      <c r="D69" s="123">
        <v>0</v>
      </c>
      <c r="E69" s="128">
        <f t="shared" si="0"/>
        <v>0</v>
      </c>
      <c r="F69" s="123">
        <f t="shared" si="5"/>
        <v>0</v>
      </c>
      <c r="G69" s="128">
        <f t="shared" si="6"/>
        <v>0</v>
      </c>
      <c r="H69" s="127">
        <f t="shared" si="1"/>
        <v>0</v>
      </c>
      <c r="I69" s="123">
        <f t="shared" si="2"/>
        <v>0</v>
      </c>
      <c r="J69" s="124">
        <f t="shared" si="3"/>
        <v>0</v>
      </c>
      <c r="K69" s="125">
        <v>0</v>
      </c>
      <c r="L69" s="129">
        <f t="shared" si="4"/>
        <v>0</v>
      </c>
    </row>
    <row r="70" spans="1:12">
      <c r="A70" s="122">
        <v>63</v>
      </c>
      <c r="B70" s="126"/>
      <c r="C70" s="126"/>
      <c r="D70" s="123">
        <v>0</v>
      </c>
      <c r="E70" s="128">
        <f t="shared" si="0"/>
        <v>0</v>
      </c>
      <c r="F70" s="123">
        <f t="shared" si="5"/>
        <v>0</v>
      </c>
      <c r="G70" s="128">
        <f t="shared" si="6"/>
        <v>0</v>
      </c>
      <c r="H70" s="127">
        <f t="shared" si="1"/>
        <v>0</v>
      </c>
      <c r="I70" s="123">
        <f t="shared" si="2"/>
        <v>0</v>
      </c>
      <c r="J70" s="124">
        <f t="shared" si="3"/>
        <v>0</v>
      </c>
      <c r="K70" s="125">
        <v>0</v>
      </c>
      <c r="L70" s="129">
        <f t="shared" si="4"/>
        <v>0</v>
      </c>
    </row>
    <row r="71" spans="1:12">
      <c r="A71" s="122">
        <v>64</v>
      </c>
      <c r="B71" s="126"/>
      <c r="C71" s="126"/>
      <c r="D71" s="123">
        <v>0</v>
      </c>
      <c r="E71" s="128">
        <f t="shared" si="0"/>
        <v>0</v>
      </c>
      <c r="F71" s="123">
        <f t="shared" si="5"/>
        <v>0</v>
      </c>
      <c r="G71" s="128">
        <f t="shared" si="6"/>
        <v>0</v>
      </c>
      <c r="H71" s="127">
        <f t="shared" si="1"/>
        <v>0</v>
      </c>
      <c r="I71" s="123">
        <f t="shared" si="2"/>
        <v>0</v>
      </c>
      <c r="J71" s="124">
        <f t="shared" si="3"/>
        <v>0</v>
      </c>
      <c r="K71" s="125">
        <v>0</v>
      </c>
      <c r="L71" s="129">
        <f t="shared" si="4"/>
        <v>0</v>
      </c>
    </row>
    <row r="72" spans="1:12">
      <c r="A72" s="122">
        <v>65</v>
      </c>
      <c r="B72" s="126"/>
      <c r="C72" s="126"/>
      <c r="D72" s="123">
        <v>0</v>
      </c>
      <c r="E72" s="128">
        <f t="shared" ref="E72:E135" si="7">D72*0.08</f>
        <v>0</v>
      </c>
      <c r="F72" s="123">
        <f t="shared" si="5"/>
        <v>0</v>
      </c>
      <c r="G72" s="128">
        <f t="shared" si="6"/>
        <v>0</v>
      </c>
      <c r="H72" s="127">
        <f t="shared" ref="H72:H135" si="8">+D72-G72-E72</f>
        <v>0</v>
      </c>
      <c r="I72" s="123">
        <f t="shared" ref="I72:I135" si="9">IF(G72=0,(D72*0.01),IF(H72&lt;=0,0.01*D72,IF(AND(H72&gt;0,H72&lt;=300000),H72*7%,IF(AND(H72&gt;=300000,H72&lt;600000),21000+(H72-300000)*11%,IF(AND(H72&gt;=600000,H72&lt;1100000),54000+(H72-600000)*15%,IF(AND(H72&gt;=1100000,H72&lt;1600000),129000+(H72-1100000)*19%,IF(AND(H72&gt;=1600000,H72&lt;3200000),224000+(H72-1600000)*21%,560000+(H72-3200000)*24%)))))))</f>
        <v>0</v>
      </c>
      <c r="J72" s="124">
        <f t="shared" ref="J72:J135" si="10">I72/12</f>
        <v>0</v>
      </c>
      <c r="K72" s="125">
        <v>0</v>
      </c>
      <c r="L72" s="129">
        <f t="shared" ref="L72:L135" si="11">+J72*K72</f>
        <v>0</v>
      </c>
    </row>
    <row r="73" spans="1:12">
      <c r="A73" s="122">
        <v>66</v>
      </c>
      <c r="B73" s="126"/>
      <c r="C73" s="126"/>
      <c r="D73" s="123">
        <v>0</v>
      </c>
      <c r="E73" s="128">
        <f t="shared" si="7"/>
        <v>0</v>
      </c>
      <c r="F73" s="123">
        <f t="shared" ref="F73:F136" si="12">D73-E73</f>
        <v>0</v>
      </c>
      <c r="G73" s="128">
        <f t="shared" ref="G73:G136" si="13">IF(F73&lt;=300000,0,IF(F73&gt;=20000000,(F73*0.21),(F73*0.2)+200000))</f>
        <v>0</v>
      </c>
      <c r="H73" s="127">
        <f t="shared" si="8"/>
        <v>0</v>
      </c>
      <c r="I73" s="123">
        <f t="shared" si="9"/>
        <v>0</v>
      </c>
      <c r="J73" s="124">
        <f t="shared" si="10"/>
        <v>0</v>
      </c>
      <c r="K73" s="125">
        <v>0</v>
      </c>
      <c r="L73" s="129">
        <f t="shared" si="11"/>
        <v>0</v>
      </c>
    </row>
    <row r="74" spans="1:12">
      <c r="A74" s="122">
        <v>67</v>
      </c>
      <c r="B74" s="126"/>
      <c r="C74" s="126"/>
      <c r="D74" s="123">
        <v>0</v>
      </c>
      <c r="E74" s="128">
        <f t="shared" si="7"/>
        <v>0</v>
      </c>
      <c r="F74" s="123">
        <f t="shared" si="12"/>
        <v>0</v>
      </c>
      <c r="G74" s="128">
        <f t="shared" si="13"/>
        <v>0</v>
      </c>
      <c r="H74" s="127">
        <f t="shared" si="8"/>
        <v>0</v>
      </c>
      <c r="I74" s="123">
        <f t="shared" si="9"/>
        <v>0</v>
      </c>
      <c r="J74" s="124">
        <f t="shared" si="10"/>
        <v>0</v>
      </c>
      <c r="K74" s="125">
        <v>0</v>
      </c>
      <c r="L74" s="129">
        <f t="shared" si="11"/>
        <v>0</v>
      </c>
    </row>
    <row r="75" spans="1:12">
      <c r="A75" s="122">
        <v>68</v>
      </c>
      <c r="B75" s="126"/>
      <c r="C75" s="126"/>
      <c r="D75" s="123">
        <v>0</v>
      </c>
      <c r="E75" s="128">
        <f t="shared" si="7"/>
        <v>0</v>
      </c>
      <c r="F75" s="123">
        <f t="shared" si="12"/>
        <v>0</v>
      </c>
      <c r="G75" s="128">
        <f t="shared" si="13"/>
        <v>0</v>
      </c>
      <c r="H75" s="127">
        <f t="shared" si="8"/>
        <v>0</v>
      </c>
      <c r="I75" s="123">
        <f t="shared" si="9"/>
        <v>0</v>
      </c>
      <c r="J75" s="124">
        <f t="shared" si="10"/>
        <v>0</v>
      </c>
      <c r="K75" s="125">
        <v>0</v>
      </c>
      <c r="L75" s="129">
        <f t="shared" si="11"/>
        <v>0</v>
      </c>
    </row>
    <row r="76" spans="1:12">
      <c r="A76" s="122">
        <v>69</v>
      </c>
      <c r="B76" s="126"/>
      <c r="C76" s="126"/>
      <c r="D76" s="123">
        <v>0</v>
      </c>
      <c r="E76" s="128">
        <f t="shared" si="7"/>
        <v>0</v>
      </c>
      <c r="F76" s="123">
        <f t="shared" si="12"/>
        <v>0</v>
      </c>
      <c r="G76" s="128">
        <f t="shared" si="13"/>
        <v>0</v>
      </c>
      <c r="H76" s="127">
        <f t="shared" si="8"/>
        <v>0</v>
      </c>
      <c r="I76" s="123">
        <f t="shared" si="9"/>
        <v>0</v>
      </c>
      <c r="J76" s="124">
        <f t="shared" si="10"/>
        <v>0</v>
      </c>
      <c r="K76" s="125">
        <v>0</v>
      </c>
      <c r="L76" s="129">
        <f t="shared" si="11"/>
        <v>0</v>
      </c>
    </row>
    <row r="77" spans="1:12">
      <c r="A77" s="122">
        <v>70</v>
      </c>
      <c r="B77" s="126"/>
      <c r="C77" s="126"/>
      <c r="D77" s="123">
        <v>0</v>
      </c>
      <c r="E77" s="128">
        <f t="shared" si="7"/>
        <v>0</v>
      </c>
      <c r="F77" s="123">
        <f t="shared" si="12"/>
        <v>0</v>
      </c>
      <c r="G77" s="128">
        <f t="shared" si="13"/>
        <v>0</v>
      </c>
      <c r="H77" s="127">
        <f t="shared" si="8"/>
        <v>0</v>
      </c>
      <c r="I77" s="123">
        <f t="shared" si="9"/>
        <v>0</v>
      </c>
      <c r="J77" s="124">
        <f t="shared" si="10"/>
        <v>0</v>
      </c>
      <c r="K77" s="125">
        <v>0</v>
      </c>
      <c r="L77" s="129">
        <f t="shared" si="11"/>
        <v>0</v>
      </c>
    </row>
    <row r="78" spans="1:12">
      <c r="A78" s="122">
        <v>71</v>
      </c>
      <c r="B78" s="126"/>
      <c r="C78" s="126"/>
      <c r="D78" s="123">
        <v>0</v>
      </c>
      <c r="E78" s="128">
        <f t="shared" si="7"/>
        <v>0</v>
      </c>
      <c r="F78" s="123">
        <f t="shared" si="12"/>
        <v>0</v>
      </c>
      <c r="G78" s="128">
        <f t="shared" si="13"/>
        <v>0</v>
      </c>
      <c r="H78" s="127">
        <f t="shared" si="8"/>
        <v>0</v>
      </c>
      <c r="I78" s="123">
        <f t="shared" si="9"/>
        <v>0</v>
      </c>
      <c r="J78" s="124">
        <f t="shared" si="10"/>
        <v>0</v>
      </c>
      <c r="K78" s="125">
        <v>0</v>
      </c>
      <c r="L78" s="129">
        <f t="shared" si="11"/>
        <v>0</v>
      </c>
    </row>
    <row r="79" spans="1:12">
      <c r="A79" s="122">
        <v>72</v>
      </c>
      <c r="B79" s="126"/>
      <c r="C79" s="126"/>
      <c r="D79" s="123">
        <v>0</v>
      </c>
      <c r="E79" s="128">
        <f t="shared" si="7"/>
        <v>0</v>
      </c>
      <c r="F79" s="123">
        <f t="shared" si="12"/>
        <v>0</v>
      </c>
      <c r="G79" s="128">
        <f t="shared" si="13"/>
        <v>0</v>
      </c>
      <c r="H79" s="127">
        <f t="shared" si="8"/>
        <v>0</v>
      </c>
      <c r="I79" s="123">
        <f t="shared" si="9"/>
        <v>0</v>
      </c>
      <c r="J79" s="124">
        <f t="shared" si="10"/>
        <v>0</v>
      </c>
      <c r="K79" s="125">
        <v>0</v>
      </c>
      <c r="L79" s="129">
        <f t="shared" si="11"/>
        <v>0</v>
      </c>
    </row>
    <row r="80" spans="1:12">
      <c r="A80" s="122">
        <v>73</v>
      </c>
      <c r="B80" s="126"/>
      <c r="C80" s="126"/>
      <c r="D80" s="123">
        <v>0</v>
      </c>
      <c r="E80" s="128">
        <f t="shared" si="7"/>
        <v>0</v>
      </c>
      <c r="F80" s="123">
        <f t="shared" si="12"/>
        <v>0</v>
      </c>
      <c r="G80" s="128">
        <f t="shared" si="13"/>
        <v>0</v>
      </c>
      <c r="H80" s="127">
        <f t="shared" si="8"/>
        <v>0</v>
      </c>
      <c r="I80" s="123">
        <f t="shared" si="9"/>
        <v>0</v>
      </c>
      <c r="J80" s="124">
        <f t="shared" si="10"/>
        <v>0</v>
      </c>
      <c r="K80" s="125">
        <v>0</v>
      </c>
      <c r="L80" s="129">
        <f t="shared" si="11"/>
        <v>0</v>
      </c>
    </row>
    <row r="81" spans="1:12">
      <c r="A81" s="122">
        <v>74</v>
      </c>
      <c r="B81" s="126"/>
      <c r="C81" s="126"/>
      <c r="D81" s="123">
        <v>0</v>
      </c>
      <c r="E81" s="128">
        <f t="shared" si="7"/>
        <v>0</v>
      </c>
      <c r="F81" s="123">
        <f t="shared" si="12"/>
        <v>0</v>
      </c>
      <c r="G81" s="128">
        <f t="shared" si="13"/>
        <v>0</v>
      </c>
      <c r="H81" s="127">
        <f t="shared" si="8"/>
        <v>0</v>
      </c>
      <c r="I81" s="123">
        <f t="shared" si="9"/>
        <v>0</v>
      </c>
      <c r="J81" s="124">
        <f t="shared" si="10"/>
        <v>0</v>
      </c>
      <c r="K81" s="125">
        <v>0</v>
      </c>
      <c r="L81" s="129">
        <f t="shared" si="11"/>
        <v>0</v>
      </c>
    </row>
    <row r="82" spans="1:12">
      <c r="A82" s="122">
        <v>75</v>
      </c>
      <c r="D82" s="130">
        <v>0</v>
      </c>
      <c r="E82" s="128">
        <f t="shared" si="7"/>
        <v>0</v>
      </c>
      <c r="F82" s="123">
        <f t="shared" si="12"/>
        <v>0</v>
      </c>
      <c r="G82" s="128">
        <f t="shared" si="13"/>
        <v>0</v>
      </c>
      <c r="H82" s="127">
        <f t="shared" si="8"/>
        <v>0</v>
      </c>
      <c r="I82" s="130">
        <f t="shared" si="9"/>
        <v>0</v>
      </c>
      <c r="J82" s="133">
        <f t="shared" si="10"/>
        <v>0</v>
      </c>
      <c r="K82" s="134">
        <v>0</v>
      </c>
      <c r="L82" s="129">
        <f t="shared" si="11"/>
        <v>0</v>
      </c>
    </row>
    <row r="83" spans="1:12">
      <c r="A83" s="122">
        <v>76</v>
      </c>
      <c r="D83" s="130">
        <v>0</v>
      </c>
      <c r="E83" s="128">
        <f t="shared" si="7"/>
        <v>0</v>
      </c>
      <c r="F83" s="123">
        <f t="shared" si="12"/>
        <v>0</v>
      </c>
      <c r="G83" s="128">
        <f t="shared" si="13"/>
        <v>0</v>
      </c>
      <c r="H83" s="127">
        <f t="shared" si="8"/>
        <v>0</v>
      </c>
      <c r="I83" s="130">
        <f t="shared" si="9"/>
        <v>0</v>
      </c>
      <c r="J83" s="133">
        <f t="shared" si="10"/>
        <v>0</v>
      </c>
      <c r="K83" s="134">
        <v>0</v>
      </c>
      <c r="L83" s="129">
        <f t="shared" si="11"/>
        <v>0</v>
      </c>
    </row>
    <row r="84" spans="1:12">
      <c r="A84" s="122">
        <v>77</v>
      </c>
      <c r="D84" s="130">
        <v>0</v>
      </c>
      <c r="E84" s="128">
        <f t="shared" si="7"/>
        <v>0</v>
      </c>
      <c r="F84" s="123">
        <f t="shared" si="12"/>
        <v>0</v>
      </c>
      <c r="G84" s="128">
        <f t="shared" si="13"/>
        <v>0</v>
      </c>
      <c r="H84" s="127">
        <f t="shared" si="8"/>
        <v>0</v>
      </c>
      <c r="I84" s="130">
        <f t="shared" si="9"/>
        <v>0</v>
      </c>
      <c r="J84" s="133">
        <f t="shared" si="10"/>
        <v>0</v>
      </c>
      <c r="K84" s="134">
        <v>0</v>
      </c>
      <c r="L84" s="129">
        <f t="shared" si="11"/>
        <v>0</v>
      </c>
    </row>
    <row r="85" spans="1:12">
      <c r="A85" s="122">
        <v>78</v>
      </c>
      <c r="D85" s="130">
        <v>0</v>
      </c>
      <c r="E85" s="128">
        <f t="shared" si="7"/>
        <v>0</v>
      </c>
      <c r="F85" s="123">
        <f t="shared" si="12"/>
        <v>0</v>
      </c>
      <c r="G85" s="128">
        <f t="shared" si="13"/>
        <v>0</v>
      </c>
      <c r="H85" s="127">
        <f t="shared" si="8"/>
        <v>0</v>
      </c>
      <c r="I85" s="130">
        <f t="shared" si="9"/>
        <v>0</v>
      </c>
      <c r="J85" s="133">
        <f t="shared" si="10"/>
        <v>0</v>
      </c>
      <c r="K85" s="134">
        <v>0</v>
      </c>
      <c r="L85" s="129">
        <f t="shared" si="11"/>
        <v>0</v>
      </c>
    </row>
    <row r="86" spans="1:12">
      <c r="A86" s="122">
        <v>79</v>
      </c>
      <c r="D86" s="130">
        <v>0</v>
      </c>
      <c r="E86" s="128">
        <f t="shared" si="7"/>
        <v>0</v>
      </c>
      <c r="F86" s="123">
        <f t="shared" si="12"/>
        <v>0</v>
      </c>
      <c r="G86" s="128">
        <f t="shared" si="13"/>
        <v>0</v>
      </c>
      <c r="H86" s="127">
        <f t="shared" si="8"/>
        <v>0</v>
      </c>
      <c r="I86" s="130">
        <f t="shared" si="9"/>
        <v>0</v>
      </c>
      <c r="J86" s="133">
        <f t="shared" si="10"/>
        <v>0</v>
      </c>
      <c r="K86" s="134">
        <v>0</v>
      </c>
      <c r="L86" s="129">
        <f t="shared" si="11"/>
        <v>0</v>
      </c>
    </row>
    <row r="87" spans="1:12">
      <c r="A87" s="122">
        <v>80</v>
      </c>
      <c r="D87" s="130">
        <v>0</v>
      </c>
      <c r="E87" s="128">
        <f t="shared" si="7"/>
        <v>0</v>
      </c>
      <c r="F87" s="123">
        <f t="shared" si="12"/>
        <v>0</v>
      </c>
      <c r="G87" s="128">
        <f t="shared" si="13"/>
        <v>0</v>
      </c>
      <c r="H87" s="127">
        <f t="shared" si="8"/>
        <v>0</v>
      </c>
      <c r="I87" s="130">
        <f t="shared" si="9"/>
        <v>0</v>
      </c>
      <c r="J87" s="133">
        <f t="shared" si="10"/>
        <v>0</v>
      </c>
      <c r="K87" s="134">
        <v>0</v>
      </c>
      <c r="L87" s="129">
        <f t="shared" si="11"/>
        <v>0</v>
      </c>
    </row>
    <row r="88" spans="1:12">
      <c r="A88" s="122">
        <v>81</v>
      </c>
      <c r="D88" s="130">
        <v>0</v>
      </c>
      <c r="E88" s="128">
        <f t="shared" si="7"/>
        <v>0</v>
      </c>
      <c r="F88" s="123">
        <f t="shared" si="12"/>
        <v>0</v>
      </c>
      <c r="G88" s="128">
        <f t="shared" si="13"/>
        <v>0</v>
      </c>
      <c r="H88" s="127">
        <f t="shared" si="8"/>
        <v>0</v>
      </c>
      <c r="I88" s="130">
        <f t="shared" si="9"/>
        <v>0</v>
      </c>
      <c r="J88" s="133">
        <f t="shared" si="10"/>
        <v>0</v>
      </c>
      <c r="K88" s="134">
        <v>0</v>
      </c>
      <c r="L88" s="129">
        <f t="shared" si="11"/>
        <v>0</v>
      </c>
    </row>
    <row r="89" spans="1:12">
      <c r="A89" s="122">
        <v>82</v>
      </c>
      <c r="D89" s="130">
        <v>0</v>
      </c>
      <c r="E89" s="128">
        <f t="shared" si="7"/>
        <v>0</v>
      </c>
      <c r="F89" s="123">
        <f t="shared" si="12"/>
        <v>0</v>
      </c>
      <c r="G89" s="128">
        <f t="shared" si="13"/>
        <v>0</v>
      </c>
      <c r="H89" s="127">
        <f t="shared" si="8"/>
        <v>0</v>
      </c>
      <c r="I89" s="130">
        <f t="shared" si="9"/>
        <v>0</v>
      </c>
      <c r="J89" s="133">
        <f t="shared" si="10"/>
        <v>0</v>
      </c>
      <c r="K89" s="134">
        <v>0</v>
      </c>
      <c r="L89" s="129">
        <f t="shared" si="11"/>
        <v>0</v>
      </c>
    </row>
    <row r="90" spans="1:12">
      <c r="A90" s="122">
        <v>83</v>
      </c>
      <c r="D90" s="130">
        <v>0</v>
      </c>
      <c r="E90" s="128">
        <f t="shared" si="7"/>
        <v>0</v>
      </c>
      <c r="F90" s="123">
        <f t="shared" si="12"/>
        <v>0</v>
      </c>
      <c r="G90" s="128">
        <f t="shared" si="13"/>
        <v>0</v>
      </c>
      <c r="H90" s="127">
        <f t="shared" si="8"/>
        <v>0</v>
      </c>
      <c r="I90" s="130">
        <f t="shared" si="9"/>
        <v>0</v>
      </c>
      <c r="J90" s="133">
        <f t="shared" si="10"/>
        <v>0</v>
      </c>
      <c r="K90" s="134">
        <v>0</v>
      </c>
      <c r="L90" s="129">
        <f t="shared" si="11"/>
        <v>0</v>
      </c>
    </row>
    <row r="91" spans="1:12">
      <c r="A91" s="122">
        <v>84</v>
      </c>
      <c r="D91" s="130">
        <v>0</v>
      </c>
      <c r="E91" s="128">
        <f t="shared" si="7"/>
        <v>0</v>
      </c>
      <c r="F91" s="123">
        <f t="shared" si="12"/>
        <v>0</v>
      </c>
      <c r="G91" s="128">
        <f t="shared" si="13"/>
        <v>0</v>
      </c>
      <c r="H91" s="127">
        <f t="shared" si="8"/>
        <v>0</v>
      </c>
      <c r="I91" s="130">
        <f t="shared" si="9"/>
        <v>0</v>
      </c>
      <c r="J91" s="133">
        <f t="shared" si="10"/>
        <v>0</v>
      </c>
      <c r="K91" s="134">
        <v>0</v>
      </c>
      <c r="L91" s="129">
        <f t="shared" si="11"/>
        <v>0</v>
      </c>
    </row>
    <row r="92" spans="1:12">
      <c r="A92" s="122">
        <v>85</v>
      </c>
      <c r="D92" s="130">
        <v>0</v>
      </c>
      <c r="E92" s="128">
        <f t="shared" si="7"/>
        <v>0</v>
      </c>
      <c r="F92" s="123">
        <f t="shared" si="12"/>
        <v>0</v>
      </c>
      <c r="G92" s="128">
        <f t="shared" si="13"/>
        <v>0</v>
      </c>
      <c r="H92" s="127">
        <f t="shared" si="8"/>
        <v>0</v>
      </c>
      <c r="I92" s="130">
        <f t="shared" si="9"/>
        <v>0</v>
      </c>
      <c r="J92" s="133">
        <f t="shared" si="10"/>
        <v>0</v>
      </c>
      <c r="K92" s="134">
        <v>0</v>
      </c>
      <c r="L92" s="129">
        <f t="shared" si="11"/>
        <v>0</v>
      </c>
    </row>
    <row r="93" spans="1:12">
      <c r="A93" s="122">
        <v>86</v>
      </c>
      <c r="D93" s="130">
        <v>0</v>
      </c>
      <c r="E93" s="128">
        <f t="shared" si="7"/>
        <v>0</v>
      </c>
      <c r="F93" s="123">
        <f t="shared" si="12"/>
        <v>0</v>
      </c>
      <c r="G93" s="128">
        <f t="shared" si="13"/>
        <v>0</v>
      </c>
      <c r="H93" s="127">
        <f t="shared" si="8"/>
        <v>0</v>
      </c>
      <c r="I93" s="130">
        <f t="shared" si="9"/>
        <v>0</v>
      </c>
      <c r="J93" s="133">
        <f t="shared" si="10"/>
        <v>0</v>
      </c>
      <c r="K93" s="134">
        <v>0</v>
      </c>
      <c r="L93" s="129">
        <f t="shared" si="11"/>
        <v>0</v>
      </c>
    </row>
    <row r="94" spans="1:12">
      <c r="A94" s="122">
        <v>87</v>
      </c>
      <c r="D94" s="130">
        <v>0</v>
      </c>
      <c r="E94" s="128">
        <f t="shared" si="7"/>
        <v>0</v>
      </c>
      <c r="F94" s="123">
        <f t="shared" si="12"/>
        <v>0</v>
      </c>
      <c r="G94" s="128">
        <f t="shared" si="13"/>
        <v>0</v>
      </c>
      <c r="H94" s="127">
        <f t="shared" si="8"/>
        <v>0</v>
      </c>
      <c r="I94" s="130">
        <f t="shared" si="9"/>
        <v>0</v>
      </c>
      <c r="J94" s="133">
        <f t="shared" si="10"/>
        <v>0</v>
      </c>
      <c r="K94" s="134">
        <v>0</v>
      </c>
      <c r="L94" s="129">
        <f t="shared" si="11"/>
        <v>0</v>
      </c>
    </row>
    <row r="95" spans="1:12">
      <c r="A95" s="122">
        <v>88</v>
      </c>
      <c r="D95" s="130">
        <v>0</v>
      </c>
      <c r="E95" s="128">
        <f t="shared" si="7"/>
        <v>0</v>
      </c>
      <c r="F95" s="123">
        <f t="shared" si="12"/>
        <v>0</v>
      </c>
      <c r="G95" s="128">
        <f t="shared" si="13"/>
        <v>0</v>
      </c>
      <c r="H95" s="127">
        <f t="shared" si="8"/>
        <v>0</v>
      </c>
      <c r="I95" s="130">
        <f t="shared" si="9"/>
        <v>0</v>
      </c>
      <c r="J95" s="133">
        <f t="shared" si="10"/>
        <v>0</v>
      </c>
      <c r="K95" s="134">
        <v>0</v>
      </c>
      <c r="L95" s="129">
        <f t="shared" si="11"/>
        <v>0</v>
      </c>
    </row>
    <row r="96" spans="1:12">
      <c r="A96" s="122">
        <v>89</v>
      </c>
      <c r="D96" s="130">
        <v>0</v>
      </c>
      <c r="E96" s="128">
        <f t="shared" si="7"/>
        <v>0</v>
      </c>
      <c r="F96" s="123">
        <f t="shared" si="12"/>
        <v>0</v>
      </c>
      <c r="G96" s="128">
        <f t="shared" si="13"/>
        <v>0</v>
      </c>
      <c r="H96" s="127">
        <f t="shared" si="8"/>
        <v>0</v>
      </c>
      <c r="I96" s="130">
        <f t="shared" si="9"/>
        <v>0</v>
      </c>
      <c r="J96" s="133">
        <f t="shared" si="10"/>
        <v>0</v>
      </c>
      <c r="K96" s="134">
        <v>0</v>
      </c>
      <c r="L96" s="129">
        <f t="shared" si="11"/>
        <v>0</v>
      </c>
    </row>
    <row r="97" spans="1:12">
      <c r="A97" s="122">
        <v>90</v>
      </c>
      <c r="D97" s="130">
        <v>0</v>
      </c>
      <c r="E97" s="128">
        <f t="shared" si="7"/>
        <v>0</v>
      </c>
      <c r="F97" s="123">
        <f t="shared" si="12"/>
        <v>0</v>
      </c>
      <c r="G97" s="128">
        <f t="shared" si="13"/>
        <v>0</v>
      </c>
      <c r="H97" s="127">
        <f t="shared" si="8"/>
        <v>0</v>
      </c>
      <c r="I97" s="130">
        <f t="shared" si="9"/>
        <v>0</v>
      </c>
      <c r="J97" s="133">
        <f t="shared" si="10"/>
        <v>0</v>
      </c>
      <c r="K97" s="134">
        <v>0</v>
      </c>
      <c r="L97" s="129">
        <f t="shared" si="11"/>
        <v>0</v>
      </c>
    </row>
    <row r="98" spans="1:12">
      <c r="A98" s="122">
        <v>91</v>
      </c>
      <c r="D98" s="130">
        <v>0</v>
      </c>
      <c r="E98" s="128">
        <f t="shared" si="7"/>
        <v>0</v>
      </c>
      <c r="F98" s="123">
        <f t="shared" si="12"/>
        <v>0</v>
      </c>
      <c r="G98" s="128">
        <f t="shared" si="13"/>
        <v>0</v>
      </c>
      <c r="H98" s="127">
        <f t="shared" si="8"/>
        <v>0</v>
      </c>
      <c r="I98" s="130">
        <f t="shared" si="9"/>
        <v>0</v>
      </c>
      <c r="J98" s="133">
        <f t="shared" si="10"/>
        <v>0</v>
      </c>
      <c r="K98" s="134">
        <v>0</v>
      </c>
      <c r="L98" s="129">
        <f t="shared" si="11"/>
        <v>0</v>
      </c>
    </row>
    <row r="99" spans="1:12">
      <c r="A99" s="122">
        <v>92</v>
      </c>
      <c r="D99" s="130">
        <v>0</v>
      </c>
      <c r="E99" s="128">
        <f t="shared" si="7"/>
        <v>0</v>
      </c>
      <c r="F99" s="123">
        <f t="shared" si="12"/>
        <v>0</v>
      </c>
      <c r="G99" s="128">
        <f t="shared" si="13"/>
        <v>0</v>
      </c>
      <c r="H99" s="127">
        <f t="shared" si="8"/>
        <v>0</v>
      </c>
      <c r="I99" s="130">
        <f t="shared" si="9"/>
        <v>0</v>
      </c>
      <c r="J99" s="133">
        <f t="shared" si="10"/>
        <v>0</v>
      </c>
      <c r="K99" s="134">
        <v>0</v>
      </c>
      <c r="L99" s="129">
        <f t="shared" si="11"/>
        <v>0</v>
      </c>
    </row>
    <row r="100" spans="1:12">
      <c r="A100" s="122">
        <v>93</v>
      </c>
      <c r="D100" s="130">
        <v>0</v>
      </c>
      <c r="E100" s="128">
        <f t="shared" si="7"/>
        <v>0</v>
      </c>
      <c r="F100" s="123">
        <f t="shared" si="12"/>
        <v>0</v>
      </c>
      <c r="G100" s="128">
        <f t="shared" si="13"/>
        <v>0</v>
      </c>
      <c r="H100" s="127">
        <f t="shared" si="8"/>
        <v>0</v>
      </c>
      <c r="I100" s="130">
        <f t="shared" si="9"/>
        <v>0</v>
      </c>
      <c r="J100" s="133">
        <f t="shared" si="10"/>
        <v>0</v>
      </c>
      <c r="K100" s="134">
        <v>0</v>
      </c>
      <c r="L100" s="129">
        <f t="shared" si="11"/>
        <v>0</v>
      </c>
    </row>
    <row r="101" spans="1:12">
      <c r="A101" s="122">
        <v>94</v>
      </c>
      <c r="D101" s="130">
        <v>0</v>
      </c>
      <c r="E101" s="128">
        <f t="shared" si="7"/>
        <v>0</v>
      </c>
      <c r="F101" s="123">
        <f t="shared" si="12"/>
        <v>0</v>
      </c>
      <c r="G101" s="128">
        <f t="shared" si="13"/>
        <v>0</v>
      </c>
      <c r="H101" s="127">
        <f t="shared" si="8"/>
        <v>0</v>
      </c>
      <c r="I101" s="130">
        <f t="shared" si="9"/>
        <v>0</v>
      </c>
      <c r="J101" s="133">
        <f t="shared" si="10"/>
        <v>0</v>
      </c>
      <c r="K101" s="134">
        <v>0</v>
      </c>
      <c r="L101" s="129">
        <f t="shared" si="11"/>
        <v>0</v>
      </c>
    </row>
    <row r="102" spans="1:12">
      <c r="A102" s="122">
        <v>95</v>
      </c>
      <c r="D102" s="130">
        <v>0</v>
      </c>
      <c r="E102" s="128">
        <f t="shared" si="7"/>
        <v>0</v>
      </c>
      <c r="F102" s="123">
        <f t="shared" si="12"/>
        <v>0</v>
      </c>
      <c r="G102" s="128">
        <f t="shared" si="13"/>
        <v>0</v>
      </c>
      <c r="H102" s="127">
        <f t="shared" si="8"/>
        <v>0</v>
      </c>
      <c r="I102" s="130">
        <f t="shared" si="9"/>
        <v>0</v>
      </c>
      <c r="J102" s="133">
        <f t="shared" si="10"/>
        <v>0</v>
      </c>
      <c r="K102" s="134">
        <v>0</v>
      </c>
      <c r="L102" s="129">
        <f t="shared" si="11"/>
        <v>0</v>
      </c>
    </row>
    <row r="103" spans="1:12">
      <c r="A103" s="122">
        <v>96</v>
      </c>
      <c r="D103" s="130">
        <v>0</v>
      </c>
      <c r="E103" s="128">
        <f t="shared" si="7"/>
        <v>0</v>
      </c>
      <c r="F103" s="123">
        <f t="shared" si="12"/>
        <v>0</v>
      </c>
      <c r="G103" s="128">
        <f t="shared" si="13"/>
        <v>0</v>
      </c>
      <c r="H103" s="127">
        <f t="shared" si="8"/>
        <v>0</v>
      </c>
      <c r="I103" s="130">
        <f t="shared" si="9"/>
        <v>0</v>
      </c>
      <c r="J103" s="133">
        <f t="shared" si="10"/>
        <v>0</v>
      </c>
      <c r="K103" s="134">
        <v>0</v>
      </c>
      <c r="L103" s="129">
        <f t="shared" si="11"/>
        <v>0</v>
      </c>
    </row>
    <row r="104" spans="1:12">
      <c r="A104" s="122">
        <v>97</v>
      </c>
      <c r="D104" s="130">
        <v>0</v>
      </c>
      <c r="E104" s="128">
        <f t="shared" si="7"/>
        <v>0</v>
      </c>
      <c r="F104" s="123">
        <f t="shared" si="12"/>
        <v>0</v>
      </c>
      <c r="G104" s="128">
        <f t="shared" si="13"/>
        <v>0</v>
      </c>
      <c r="H104" s="127">
        <f t="shared" si="8"/>
        <v>0</v>
      </c>
      <c r="I104" s="130">
        <f t="shared" si="9"/>
        <v>0</v>
      </c>
      <c r="J104" s="133">
        <f t="shared" si="10"/>
        <v>0</v>
      </c>
      <c r="K104" s="134">
        <v>0</v>
      </c>
      <c r="L104" s="129">
        <f t="shared" si="11"/>
        <v>0</v>
      </c>
    </row>
    <row r="105" spans="1:12">
      <c r="A105" s="122">
        <v>98</v>
      </c>
      <c r="D105" s="130">
        <v>0</v>
      </c>
      <c r="E105" s="128">
        <f t="shared" si="7"/>
        <v>0</v>
      </c>
      <c r="F105" s="123">
        <f t="shared" si="12"/>
        <v>0</v>
      </c>
      <c r="G105" s="128">
        <f t="shared" si="13"/>
        <v>0</v>
      </c>
      <c r="H105" s="127">
        <f t="shared" si="8"/>
        <v>0</v>
      </c>
      <c r="I105" s="130">
        <f t="shared" si="9"/>
        <v>0</v>
      </c>
      <c r="J105" s="133">
        <f t="shared" si="10"/>
        <v>0</v>
      </c>
      <c r="K105" s="134">
        <v>0</v>
      </c>
      <c r="L105" s="129">
        <f t="shared" si="11"/>
        <v>0</v>
      </c>
    </row>
    <row r="106" spans="1:12">
      <c r="A106" s="122">
        <v>99</v>
      </c>
      <c r="D106" s="130">
        <v>0</v>
      </c>
      <c r="E106" s="128">
        <f t="shared" si="7"/>
        <v>0</v>
      </c>
      <c r="F106" s="123">
        <f t="shared" si="12"/>
        <v>0</v>
      </c>
      <c r="G106" s="128">
        <f t="shared" si="13"/>
        <v>0</v>
      </c>
      <c r="H106" s="127">
        <f t="shared" si="8"/>
        <v>0</v>
      </c>
      <c r="I106" s="130">
        <f t="shared" si="9"/>
        <v>0</v>
      </c>
      <c r="J106" s="133">
        <f t="shared" si="10"/>
        <v>0</v>
      </c>
      <c r="K106" s="134">
        <v>0</v>
      </c>
      <c r="L106" s="129">
        <f t="shared" si="11"/>
        <v>0</v>
      </c>
    </row>
    <row r="107" spans="1:12">
      <c r="A107" s="122">
        <v>100</v>
      </c>
      <c r="D107" s="130">
        <v>0</v>
      </c>
      <c r="E107" s="128">
        <f t="shared" si="7"/>
        <v>0</v>
      </c>
      <c r="F107" s="123">
        <f t="shared" si="12"/>
        <v>0</v>
      </c>
      <c r="G107" s="128">
        <f t="shared" si="13"/>
        <v>0</v>
      </c>
      <c r="H107" s="127">
        <f t="shared" si="8"/>
        <v>0</v>
      </c>
      <c r="I107" s="130">
        <f t="shared" si="9"/>
        <v>0</v>
      </c>
      <c r="J107" s="133">
        <f t="shared" si="10"/>
        <v>0</v>
      </c>
      <c r="K107" s="134">
        <v>0</v>
      </c>
      <c r="L107" s="129">
        <f t="shared" si="11"/>
        <v>0</v>
      </c>
    </row>
    <row r="108" spans="1:12">
      <c r="A108" s="122">
        <v>101</v>
      </c>
      <c r="D108" s="130">
        <v>0</v>
      </c>
      <c r="E108" s="128">
        <f t="shared" si="7"/>
        <v>0</v>
      </c>
      <c r="F108" s="123">
        <f t="shared" si="12"/>
        <v>0</v>
      </c>
      <c r="G108" s="128">
        <f t="shared" si="13"/>
        <v>0</v>
      </c>
      <c r="H108" s="127">
        <f t="shared" si="8"/>
        <v>0</v>
      </c>
      <c r="I108" s="130">
        <f t="shared" si="9"/>
        <v>0</v>
      </c>
      <c r="J108" s="133">
        <f t="shared" si="10"/>
        <v>0</v>
      </c>
      <c r="K108" s="134">
        <v>0</v>
      </c>
      <c r="L108" s="129">
        <f t="shared" si="11"/>
        <v>0</v>
      </c>
    </row>
    <row r="109" spans="1:12">
      <c r="A109" s="122">
        <v>102</v>
      </c>
      <c r="D109" s="130">
        <v>0</v>
      </c>
      <c r="E109" s="128">
        <f t="shared" si="7"/>
        <v>0</v>
      </c>
      <c r="F109" s="123">
        <f t="shared" si="12"/>
        <v>0</v>
      </c>
      <c r="G109" s="128">
        <f t="shared" si="13"/>
        <v>0</v>
      </c>
      <c r="H109" s="127">
        <f t="shared" si="8"/>
        <v>0</v>
      </c>
      <c r="I109" s="130">
        <f t="shared" si="9"/>
        <v>0</v>
      </c>
      <c r="J109" s="133">
        <f t="shared" si="10"/>
        <v>0</v>
      </c>
      <c r="K109" s="134">
        <v>0</v>
      </c>
      <c r="L109" s="129">
        <f t="shared" si="11"/>
        <v>0</v>
      </c>
    </row>
    <row r="110" spans="1:12">
      <c r="A110" s="122">
        <v>103</v>
      </c>
      <c r="D110" s="130">
        <v>0</v>
      </c>
      <c r="E110" s="128">
        <f t="shared" si="7"/>
        <v>0</v>
      </c>
      <c r="F110" s="123">
        <f t="shared" si="12"/>
        <v>0</v>
      </c>
      <c r="G110" s="128">
        <f t="shared" si="13"/>
        <v>0</v>
      </c>
      <c r="H110" s="127">
        <f t="shared" si="8"/>
        <v>0</v>
      </c>
      <c r="I110" s="130">
        <f t="shared" si="9"/>
        <v>0</v>
      </c>
      <c r="J110" s="133">
        <f t="shared" si="10"/>
        <v>0</v>
      </c>
      <c r="K110" s="134">
        <v>0</v>
      </c>
      <c r="L110" s="129">
        <f t="shared" si="11"/>
        <v>0</v>
      </c>
    </row>
    <row r="111" spans="1:12">
      <c r="A111" s="122">
        <v>104</v>
      </c>
      <c r="D111" s="130">
        <v>0</v>
      </c>
      <c r="E111" s="128">
        <f t="shared" si="7"/>
        <v>0</v>
      </c>
      <c r="F111" s="123">
        <f t="shared" si="12"/>
        <v>0</v>
      </c>
      <c r="G111" s="128">
        <f t="shared" si="13"/>
        <v>0</v>
      </c>
      <c r="H111" s="127">
        <f t="shared" si="8"/>
        <v>0</v>
      </c>
      <c r="I111" s="130">
        <f t="shared" si="9"/>
        <v>0</v>
      </c>
      <c r="J111" s="133">
        <f t="shared" si="10"/>
        <v>0</v>
      </c>
      <c r="K111" s="134">
        <v>0</v>
      </c>
      <c r="L111" s="129">
        <f t="shared" si="11"/>
        <v>0</v>
      </c>
    </row>
    <row r="112" spans="1:12">
      <c r="A112" s="122">
        <v>105</v>
      </c>
      <c r="D112" s="130">
        <v>0</v>
      </c>
      <c r="E112" s="128">
        <f t="shared" si="7"/>
        <v>0</v>
      </c>
      <c r="F112" s="123">
        <f t="shared" si="12"/>
        <v>0</v>
      </c>
      <c r="G112" s="128">
        <f t="shared" si="13"/>
        <v>0</v>
      </c>
      <c r="H112" s="127">
        <f t="shared" si="8"/>
        <v>0</v>
      </c>
      <c r="I112" s="130">
        <f t="shared" si="9"/>
        <v>0</v>
      </c>
      <c r="J112" s="133">
        <f t="shared" si="10"/>
        <v>0</v>
      </c>
      <c r="K112" s="134">
        <v>0</v>
      </c>
      <c r="L112" s="129">
        <f t="shared" si="11"/>
        <v>0</v>
      </c>
    </row>
    <row r="113" spans="1:12">
      <c r="A113" s="122">
        <v>106</v>
      </c>
      <c r="D113" s="130">
        <v>0</v>
      </c>
      <c r="E113" s="128">
        <f t="shared" si="7"/>
        <v>0</v>
      </c>
      <c r="F113" s="123">
        <f t="shared" si="12"/>
        <v>0</v>
      </c>
      <c r="G113" s="128">
        <f t="shared" si="13"/>
        <v>0</v>
      </c>
      <c r="H113" s="127">
        <f t="shared" si="8"/>
        <v>0</v>
      </c>
      <c r="I113" s="130">
        <f t="shared" si="9"/>
        <v>0</v>
      </c>
      <c r="J113" s="133">
        <f t="shared" si="10"/>
        <v>0</v>
      </c>
      <c r="K113" s="134">
        <v>0</v>
      </c>
      <c r="L113" s="129">
        <f t="shared" si="11"/>
        <v>0</v>
      </c>
    </row>
    <row r="114" spans="1:12">
      <c r="A114" s="122">
        <v>107</v>
      </c>
      <c r="D114" s="130">
        <v>0</v>
      </c>
      <c r="E114" s="128">
        <f t="shared" si="7"/>
        <v>0</v>
      </c>
      <c r="F114" s="123">
        <f t="shared" si="12"/>
        <v>0</v>
      </c>
      <c r="G114" s="128">
        <f t="shared" si="13"/>
        <v>0</v>
      </c>
      <c r="H114" s="127">
        <f t="shared" si="8"/>
        <v>0</v>
      </c>
      <c r="I114" s="130">
        <f t="shared" si="9"/>
        <v>0</v>
      </c>
      <c r="J114" s="133">
        <f t="shared" si="10"/>
        <v>0</v>
      </c>
      <c r="K114" s="134">
        <v>0</v>
      </c>
      <c r="L114" s="129">
        <f t="shared" si="11"/>
        <v>0</v>
      </c>
    </row>
    <row r="115" spans="1:12">
      <c r="A115" s="122">
        <v>108</v>
      </c>
      <c r="D115" s="130">
        <v>0</v>
      </c>
      <c r="E115" s="128">
        <f t="shared" si="7"/>
        <v>0</v>
      </c>
      <c r="F115" s="123">
        <f t="shared" si="12"/>
        <v>0</v>
      </c>
      <c r="G115" s="128">
        <f t="shared" si="13"/>
        <v>0</v>
      </c>
      <c r="H115" s="127">
        <f t="shared" si="8"/>
        <v>0</v>
      </c>
      <c r="I115" s="130">
        <f t="shared" si="9"/>
        <v>0</v>
      </c>
      <c r="J115" s="133">
        <f t="shared" si="10"/>
        <v>0</v>
      </c>
      <c r="K115" s="134">
        <v>0</v>
      </c>
      <c r="L115" s="129">
        <f t="shared" si="11"/>
        <v>0</v>
      </c>
    </row>
    <row r="116" spans="1:12">
      <c r="A116" s="122">
        <v>109</v>
      </c>
      <c r="D116" s="130">
        <v>0</v>
      </c>
      <c r="E116" s="128">
        <f t="shared" si="7"/>
        <v>0</v>
      </c>
      <c r="F116" s="123">
        <f t="shared" si="12"/>
        <v>0</v>
      </c>
      <c r="G116" s="128">
        <f t="shared" si="13"/>
        <v>0</v>
      </c>
      <c r="H116" s="127">
        <f t="shared" si="8"/>
        <v>0</v>
      </c>
      <c r="I116" s="130">
        <f t="shared" si="9"/>
        <v>0</v>
      </c>
      <c r="J116" s="133">
        <f t="shared" si="10"/>
        <v>0</v>
      </c>
      <c r="K116" s="134">
        <v>0</v>
      </c>
      <c r="L116" s="129">
        <f t="shared" si="11"/>
        <v>0</v>
      </c>
    </row>
    <row r="117" spans="1:12">
      <c r="A117" s="122">
        <v>110</v>
      </c>
      <c r="D117" s="130">
        <v>0</v>
      </c>
      <c r="E117" s="128">
        <f t="shared" si="7"/>
        <v>0</v>
      </c>
      <c r="F117" s="123">
        <f t="shared" si="12"/>
        <v>0</v>
      </c>
      <c r="G117" s="128">
        <f t="shared" si="13"/>
        <v>0</v>
      </c>
      <c r="H117" s="127">
        <f t="shared" si="8"/>
        <v>0</v>
      </c>
      <c r="I117" s="130">
        <f t="shared" si="9"/>
        <v>0</v>
      </c>
      <c r="J117" s="133">
        <f t="shared" si="10"/>
        <v>0</v>
      </c>
      <c r="K117" s="134">
        <v>0</v>
      </c>
      <c r="L117" s="129">
        <f t="shared" si="11"/>
        <v>0</v>
      </c>
    </row>
    <row r="118" spans="1:12">
      <c r="A118" s="122">
        <v>111</v>
      </c>
      <c r="D118" s="130">
        <v>0</v>
      </c>
      <c r="E118" s="128">
        <f t="shared" si="7"/>
        <v>0</v>
      </c>
      <c r="F118" s="123">
        <f t="shared" si="12"/>
        <v>0</v>
      </c>
      <c r="G118" s="128">
        <f t="shared" si="13"/>
        <v>0</v>
      </c>
      <c r="H118" s="127">
        <f t="shared" si="8"/>
        <v>0</v>
      </c>
      <c r="I118" s="130">
        <f t="shared" si="9"/>
        <v>0</v>
      </c>
      <c r="J118" s="133">
        <f t="shared" si="10"/>
        <v>0</v>
      </c>
      <c r="K118" s="134">
        <v>0</v>
      </c>
      <c r="L118" s="129">
        <f t="shared" si="11"/>
        <v>0</v>
      </c>
    </row>
    <row r="119" spans="1:12">
      <c r="A119" s="122">
        <v>112</v>
      </c>
      <c r="D119" s="130">
        <v>0</v>
      </c>
      <c r="E119" s="128">
        <f t="shared" si="7"/>
        <v>0</v>
      </c>
      <c r="F119" s="123">
        <f t="shared" si="12"/>
        <v>0</v>
      </c>
      <c r="G119" s="128">
        <f t="shared" si="13"/>
        <v>0</v>
      </c>
      <c r="H119" s="127">
        <f t="shared" si="8"/>
        <v>0</v>
      </c>
      <c r="I119" s="130">
        <f t="shared" si="9"/>
        <v>0</v>
      </c>
      <c r="J119" s="133">
        <f t="shared" si="10"/>
        <v>0</v>
      </c>
      <c r="K119" s="134">
        <v>0</v>
      </c>
      <c r="L119" s="129">
        <f t="shared" si="11"/>
        <v>0</v>
      </c>
    </row>
    <row r="120" spans="1:12">
      <c r="A120" s="122">
        <v>113</v>
      </c>
      <c r="D120" s="130">
        <v>0</v>
      </c>
      <c r="E120" s="128">
        <f t="shared" si="7"/>
        <v>0</v>
      </c>
      <c r="F120" s="123">
        <f t="shared" si="12"/>
        <v>0</v>
      </c>
      <c r="G120" s="128">
        <f t="shared" si="13"/>
        <v>0</v>
      </c>
      <c r="H120" s="127">
        <f t="shared" si="8"/>
        <v>0</v>
      </c>
      <c r="I120" s="130">
        <f t="shared" si="9"/>
        <v>0</v>
      </c>
      <c r="J120" s="133">
        <f t="shared" si="10"/>
        <v>0</v>
      </c>
      <c r="K120" s="134">
        <v>0</v>
      </c>
      <c r="L120" s="129">
        <f t="shared" si="11"/>
        <v>0</v>
      </c>
    </row>
    <row r="121" spans="1:12">
      <c r="A121" s="122">
        <v>114</v>
      </c>
      <c r="D121" s="130">
        <v>0</v>
      </c>
      <c r="E121" s="128">
        <f t="shared" si="7"/>
        <v>0</v>
      </c>
      <c r="F121" s="123">
        <f t="shared" si="12"/>
        <v>0</v>
      </c>
      <c r="G121" s="128">
        <f t="shared" si="13"/>
        <v>0</v>
      </c>
      <c r="H121" s="127">
        <f t="shared" si="8"/>
        <v>0</v>
      </c>
      <c r="I121" s="130">
        <f t="shared" si="9"/>
        <v>0</v>
      </c>
      <c r="J121" s="133">
        <f t="shared" si="10"/>
        <v>0</v>
      </c>
      <c r="K121" s="134">
        <v>0</v>
      </c>
      <c r="L121" s="129">
        <f t="shared" si="11"/>
        <v>0</v>
      </c>
    </row>
    <row r="122" spans="1:12">
      <c r="A122" s="122">
        <v>115</v>
      </c>
      <c r="D122" s="130">
        <v>0</v>
      </c>
      <c r="E122" s="128">
        <f t="shared" si="7"/>
        <v>0</v>
      </c>
      <c r="F122" s="123">
        <f t="shared" si="12"/>
        <v>0</v>
      </c>
      <c r="G122" s="128">
        <f t="shared" si="13"/>
        <v>0</v>
      </c>
      <c r="H122" s="127">
        <f t="shared" si="8"/>
        <v>0</v>
      </c>
      <c r="I122" s="130">
        <f t="shared" si="9"/>
        <v>0</v>
      </c>
      <c r="J122" s="133">
        <f t="shared" si="10"/>
        <v>0</v>
      </c>
      <c r="K122" s="134">
        <v>0</v>
      </c>
      <c r="L122" s="129">
        <f t="shared" si="11"/>
        <v>0</v>
      </c>
    </row>
    <row r="123" spans="1:12">
      <c r="A123" s="122">
        <v>116</v>
      </c>
      <c r="D123" s="130">
        <v>0</v>
      </c>
      <c r="E123" s="128">
        <f t="shared" si="7"/>
        <v>0</v>
      </c>
      <c r="F123" s="123">
        <f t="shared" si="12"/>
        <v>0</v>
      </c>
      <c r="G123" s="128">
        <f t="shared" si="13"/>
        <v>0</v>
      </c>
      <c r="H123" s="127">
        <f t="shared" si="8"/>
        <v>0</v>
      </c>
      <c r="I123" s="130">
        <f t="shared" si="9"/>
        <v>0</v>
      </c>
      <c r="J123" s="133">
        <f t="shared" si="10"/>
        <v>0</v>
      </c>
      <c r="K123" s="134">
        <v>0</v>
      </c>
      <c r="L123" s="129">
        <f t="shared" si="11"/>
        <v>0</v>
      </c>
    </row>
    <row r="124" spans="1:12">
      <c r="A124" s="122">
        <v>117</v>
      </c>
      <c r="D124" s="130">
        <v>0</v>
      </c>
      <c r="E124" s="128">
        <f t="shared" si="7"/>
        <v>0</v>
      </c>
      <c r="F124" s="123">
        <f t="shared" si="12"/>
        <v>0</v>
      </c>
      <c r="G124" s="128">
        <f t="shared" si="13"/>
        <v>0</v>
      </c>
      <c r="H124" s="127">
        <f t="shared" si="8"/>
        <v>0</v>
      </c>
      <c r="I124" s="130">
        <f t="shared" si="9"/>
        <v>0</v>
      </c>
      <c r="J124" s="133">
        <f t="shared" si="10"/>
        <v>0</v>
      </c>
      <c r="K124" s="134">
        <v>0</v>
      </c>
      <c r="L124" s="129">
        <f t="shared" si="11"/>
        <v>0</v>
      </c>
    </row>
    <row r="125" spans="1:12">
      <c r="A125" s="122">
        <v>118</v>
      </c>
      <c r="D125" s="130">
        <v>0</v>
      </c>
      <c r="E125" s="128">
        <f t="shared" si="7"/>
        <v>0</v>
      </c>
      <c r="F125" s="123">
        <f t="shared" si="12"/>
        <v>0</v>
      </c>
      <c r="G125" s="128">
        <f t="shared" si="13"/>
        <v>0</v>
      </c>
      <c r="H125" s="127">
        <f t="shared" si="8"/>
        <v>0</v>
      </c>
      <c r="I125" s="130">
        <f t="shared" si="9"/>
        <v>0</v>
      </c>
      <c r="J125" s="133">
        <f t="shared" si="10"/>
        <v>0</v>
      </c>
      <c r="K125" s="134">
        <v>0</v>
      </c>
      <c r="L125" s="129">
        <f t="shared" si="11"/>
        <v>0</v>
      </c>
    </row>
    <row r="126" spans="1:12">
      <c r="A126" s="122">
        <v>119</v>
      </c>
      <c r="D126" s="130">
        <v>0</v>
      </c>
      <c r="E126" s="128">
        <f t="shared" si="7"/>
        <v>0</v>
      </c>
      <c r="F126" s="123">
        <f t="shared" si="12"/>
        <v>0</v>
      </c>
      <c r="G126" s="128">
        <f t="shared" si="13"/>
        <v>0</v>
      </c>
      <c r="H126" s="127">
        <f t="shared" si="8"/>
        <v>0</v>
      </c>
      <c r="I126" s="130">
        <f t="shared" si="9"/>
        <v>0</v>
      </c>
      <c r="J126" s="133">
        <f t="shared" si="10"/>
        <v>0</v>
      </c>
      <c r="K126" s="134">
        <v>0</v>
      </c>
      <c r="L126" s="129">
        <f t="shared" si="11"/>
        <v>0</v>
      </c>
    </row>
    <row r="127" spans="1:12">
      <c r="A127" s="122">
        <v>120</v>
      </c>
      <c r="D127" s="130">
        <v>0</v>
      </c>
      <c r="E127" s="128">
        <f t="shared" si="7"/>
        <v>0</v>
      </c>
      <c r="F127" s="123">
        <f t="shared" si="12"/>
        <v>0</v>
      </c>
      <c r="G127" s="128">
        <f t="shared" si="13"/>
        <v>0</v>
      </c>
      <c r="H127" s="127">
        <f t="shared" si="8"/>
        <v>0</v>
      </c>
      <c r="I127" s="130">
        <f t="shared" si="9"/>
        <v>0</v>
      </c>
      <c r="J127" s="133">
        <f t="shared" si="10"/>
        <v>0</v>
      </c>
      <c r="K127" s="134">
        <v>0</v>
      </c>
      <c r="L127" s="129">
        <f t="shared" si="11"/>
        <v>0</v>
      </c>
    </row>
    <row r="128" spans="1:12">
      <c r="A128" s="122">
        <v>121</v>
      </c>
      <c r="D128" s="130">
        <v>0</v>
      </c>
      <c r="E128" s="128">
        <f t="shared" si="7"/>
        <v>0</v>
      </c>
      <c r="F128" s="123">
        <f t="shared" si="12"/>
        <v>0</v>
      </c>
      <c r="G128" s="128">
        <f t="shared" si="13"/>
        <v>0</v>
      </c>
      <c r="H128" s="127">
        <f t="shared" si="8"/>
        <v>0</v>
      </c>
      <c r="I128" s="130">
        <f t="shared" si="9"/>
        <v>0</v>
      </c>
      <c r="J128" s="133">
        <f t="shared" si="10"/>
        <v>0</v>
      </c>
      <c r="K128" s="134">
        <v>0</v>
      </c>
      <c r="L128" s="129">
        <f t="shared" si="11"/>
        <v>0</v>
      </c>
    </row>
    <row r="129" spans="1:12">
      <c r="A129" s="122">
        <v>122</v>
      </c>
      <c r="D129" s="130">
        <v>0</v>
      </c>
      <c r="E129" s="128">
        <f t="shared" si="7"/>
        <v>0</v>
      </c>
      <c r="F129" s="123">
        <f t="shared" si="12"/>
        <v>0</v>
      </c>
      <c r="G129" s="128">
        <f t="shared" si="13"/>
        <v>0</v>
      </c>
      <c r="H129" s="127">
        <f t="shared" si="8"/>
        <v>0</v>
      </c>
      <c r="I129" s="130">
        <f t="shared" si="9"/>
        <v>0</v>
      </c>
      <c r="J129" s="133">
        <f t="shared" si="10"/>
        <v>0</v>
      </c>
      <c r="K129" s="134">
        <v>0</v>
      </c>
      <c r="L129" s="129">
        <f t="shared" si="11"/>
        <v>0</v>
      </c>
    </row>
    <row r="130" spans="1:12">
      <c r="A130" s="122">
        <v>123</v>
      </c>
      <c r="D130" s="130">
        <v>0</v>
      </c>
      <c r="E130" s="128">
        <f t="shared" si="7"/>
        <v>0</v>
      </c>
      <c r="F130" s="123">
        <f t="shared" si="12"/>
        <v>0</v>
      </c>
      <c r="G130" s="128">
        <f t="shared" si="13"/>
        <v>0</v>
      </c>
      <c r="H130" s="127">
        <f t="shared" si="8"/>
        <v>0</v>
      </c>
      <c r="I130" s="130">
        <f t="shared" si="9"/>
        <v>0</v>
      </c>
      <c r="J130" s="133">
        <f t="shared" si="10"/>
        <v>0</v>
      </c>
      <c r="K130" s="134">
        <v>0</v>
      </c>
      <c r="L130" s="129">
        <f t="shared" si="11"/>
        <v>0</v>
      </c>
    </row>
    <row r="131" spans="1:12">
      <c r="A131" s="122">
        <v>124</v>
      </c>
      <c r="D131" s="130">
        <v>0</v>
      </c>
      <c r="E131" s="128">
        <f t="shared" si="7"/>
        <v>0</v>
      </c>
      <c r="F131" s="123">
        <f t="shared" si="12"/>
        <v>0</v>
      </c>
      <c r="G131" s="128">
        <f t="shared" si="13"/>
        <v>0</v>
      </c>
      <c r="H131" s="127">
        <f t="shared" si="8"/>
        <v>0</v>
      </c>
      <c r="I131" s="130">
        <f t="shared" si="9"/>
        <v>0</v>
      </c>
      <c r="J131" s="133">
        <f t="shared" si="10"/>
        <v>0</v>
      </c>
      <c r="K131" s="134">
        <v>0</v>
      </c>
      <c r="L131" s="129">
        <f t="shared" si="11"/>
        <v>0</v>
      </c>
    </row>
    <row r="132" spans="1:12">
      <c r="A132" s="122">
        <v>125</v>
      </c>
      <c r="D132" s="130">
        <v>0</v>
      </c>
      <c r="E132" s="128">
        <f t="shared" si="7"/>
        <v>0</v>
      </c>
      <c r="F132" s="123">
        <f t="shared" si="12"/>
        <v>0</v>
      </c>
      <c r="G132" s="128">
        <f t="shared" si="13"/>
        <v>0</v>
      </c>
      <c r="H132" s="127">
        <f t="shared" si="8"/>
        <v>0</v>
      </c>
      <c r="I132" s="130">
        <f t="shared" si="9"/>
        <v>0</v>
      </c>
      <c r="J132" s="133">
        <f t="shared" si="10"/>
        <v>0</v>
      </c>
      <c r="K132" s="134">
        <v>0</v>
      </c>
      <c r="L132" s="129">
        <f t="shared" si="11"/>
        <v>0</v>
      </c>
    </row>
    <row r="133" spans="1:12">
      <c r="A133" s="122">
        <v>126</v>
      </c>
      <c r="D133" s="130">
        <v>0</v>
      </c>
      <c r="E133" s="128">
        <f t="shared" si="7"/>
        <v>0</v>
      </c>
      <c r="F133" s="123">
        <f t="shared" si="12"/>
        <v>0</v>
      </c>
      <c r="G133" s="128">
        <f t="shared" si="13"/>
        <v>0</v>
      </c>
      <c r="H133" s="127">
        <f t="shared" si="8"/>
        <v>0</v>
      </c>
      <c r="I133" s="130">
        <f t="shared" si="9"/>
        <v>0</v>
      </c>
      <c r="J133" s="133">
        <f t="shared" si="10"/>
        <v>0</v>
      </c>
      <c r="K133" s="134">
        <v>0</v>
      </c>
      <c r="L133" s="129">
        <f t="shared" si="11"/>
        <v>0</v>
      </c>
    </row>
    <row r="134" spans="1:12">
      <c r="A134" s="122">
        <v>127</v>
      </c>
      <c r="D134" s="130">
        <v>0</v>
      </c>
      <c r="E134" s="128">
        <f t="shared" si="7"/>
        <v>0</v>
      </c>
      <c r="F134" s="123">
        <f t="shared" si="12"/>
        <v>0</v>
      </c>
      <c r="G134" s="128">
        <f t="shared" si="13"/>
        <v>0</v>
      </c>
      <c r="H134" s="127">
        <f t="shared" si="8"/>
        <v>0</v>
      </c>
      <c r="I134" s="130">
        <f t="shared" si="9"/>
        <v>0</v>
      </c>
      <c r="J134" s="133">
        <f t="shared" si="10"/>
        <v>0</v>
      </c>
      <c r="K134" s="134">
        <v>0</v>
      </c>
      <c r="L134" s="129">
        <f t="shared" si="11"/>
        <v>0</v>
      </c>
    </row>
    <row r="135" spans="1:12">
      <c r="A135" s="122">
        <v>128</v>
      </c>
      <c r="D135" s="130">
        <v>0</v>
      </c>
      <c r="E135" s="128">
        <f t="shared" si="7"/>
        <v>0</v>
      </c>
      <c r="F135" s="123">
        <f t="shared" si="12"/>
        <v>0</v>
      </c>
      <c r="G135" s="128">
        <f t="shared" si="13"/>
        <v>0</v>
      </c>
      <c r="H135" s="127">
        <f t="shared" si="8"/>
        <v>0</v>
      </c>
      <c r="I135" s="130">
        <f t="shared" si="9"/>
        <v>0</v>
      </c>
      <c r="J135" s="133">
        <f t="shared" si="10"/>
        <v>0</v>
      </c>
      <c r="K135" s="134">
        <v>0</v>
      </c>
      <c r="L135" s="129">
        <f t="shared" si="11"/>
        <v>0</v>
      </c>
    </row>
    <row r="136" spans="1:12">
      <c r="A136" s="122">
        <v>129</v>
      </c>
      <c r="D136" s="130">
        <v>0</v>
      </c>
      <c r="E136" s="128">
        <f t="shared" ref="E136:E199" si="14">D136*0.08</f>
        <v>0</v>
      </c>
      <c r="F136" s="123">
        <f t="shared" si="12"/>
        <v>0</v>
      </c>
      <c r="G136" s="128">
        <f t="shared" si="13"/>
        <v>0</v>
      </c>
      <c r="H136" s="127">
        <f t="shared" ref="H136:H199" si="15">+D136-G136-E136</f>
        <v>0</v>
      </c>
      <c r="I136" s="130">
        <f t="shared" ref="I136:I199" si="16">IF(G136=0,(D136*0.01),IF(H136&lt;=0,0.01*D136,IF(AND(H136&gt;0,H136&lt;=300000),H136*7%,IF(AND(H136&gt;=300000,H136&lt;600000),21000+(H136-300000)*11%,IF(AND(H136&gt;=600000,H136&lt;1100000),54000+(H136-600000)*15%,IF(AND(H136&gt;=1100000,H136&lt;1600000),129000+(H136-1100000)*19%,IF(AND(H136&gt;=1600000,H136&lt;3200000),224000+(H136-1600000)*21%,560000+(H136-3200000)*24%)))))))</f>
        <v>0</v>
      </c>
      <c r="J136" s="133">
        <f t="shared" ref="J136:J199" si="17">I136/12</f>
        <v>0</v>
      </c>
      <c r="K136" s="134">
        <v>0</v>
      </c>
      <c r="L136" s="129">
        <f t="shared" ref="L136:L199" si="18">+J136*K136</f>
        <v>0</v>
      </c>
    </row>
    <row r="137" spans="1:12">
      <c r="A137" s="122">
        <v>130</v>
      </c>
      <c r="D137" s="130">
        <v>0</v>
      </c>
      <c r="E137" s="128">
        <f t="shared" si="14"/>
        <v>0</v>
      </c>
      <c r="F137" s="123">
        <f t="shared" ref="F137:F200" si="19">D137-E137</f>
        <v>0</v>
      </c>
      <c r="G137" s="128">
        <f t="shared" ref="G137:G200" si="20">IF(F137&lt;=300000,0,IF(F137&gt;=20000000,(F137*0.21),(F137*0.2)+200000))</f>
        <v>0</v>
      </c>
      <c r="H137" s="127">
        <f t="shared" si="15"/>
        <v>0</v>
      </c>
      <c r="I137" s="130">
        <f t="shared" si="16"/>
        <v>0</v>
      </c>
      <c r="J137" s="133">
        <f t="shared" si="17"/>
        <v>0</v>
      </c>
      <c r="K137" s="134">
        <v>0</v>
      </c>
      <c r="L137" s="129">
        <f t="shared" si="18"/>
        <v>0</v>
      </c>
    </row>
    <row r="138" spans="1:12">
      <c r="A138" s="122">
        <v>131</v>
      </c>
      <c r="D138" s="130">
        <v>0</v>
      </c>
      <c r="E138" s="128">
        <f t="shared" si="14"/>
        <v>0</v>
      </c>
      <c r="F138" s="123">
        <f t="shared" si="19"/>
        <v>0</v>
      </c>
      <c r="G138" s="128">
        <f t="shared" si="20"/>
        <v>0</v>
      </c>
      <c r="H138" s="127">
        <f t="shared" si="15"/>
        <v>0</v>
      </c>
      <c r="I138" s="130">
        <f t="shared" si="16"/>
        <v>0</v>
      </c>
      <c r="J138" s="133">
        <f t="shared" si="17"/>
        <v>0</v>
      </c>
      <c r="K138" s="134">
        <v>0</v>
      </c>
      <c r="L138" s="129">
        <f t="shared" si="18"/>
        <v>0</v>
      </c>
    </row>
    <row r="139" spans="1:12">
      <c r="A139" s="122">
        <v>132</v>
      </c>
      <c r="D139" s="130">
        <v>0</v>
      </c>
      <c r="E139" s="128">
        <f t="shared" si="14"/>
        <v>0</v>
      </c>
      <c r="F139" s="123">
        <f t="shared" si="19"/>
        <v>0</v>
      </c>
      <c r="G139" s="128">
        <f t="shared" si="20"/>
        <v>0</v>
      </c>
      <c r="H139" s="127">
        <f t="shared" si="15"/>
        <v>0</v>
      </c>
      <c r="I139" s="130">
        <f t="shared" si="16"/>
        <v>0</v>
      </c>
      <c r="J139" s="133">
        <f t="shared" si="17"/>
        <v>0</v>
      </c>
      <c r="K139" s="134">
        <v>0</v>
      </c>
      <c r="L139" s="129">
        <f t="shared" si="18"/>
        <v>0</v>
      </c>
    </row>
    <row r="140" spans="1:12">
      <c r="A140" s="122">
        <v>133</v>
      </c>
      <c r="D140" s="130">
        <v>0</v>
      </c>
      <c r="E140" s="128">
        <f t="shared" si="14"/>
        <v>0</v>
      </c>
      <c r="F140" s="123">
        <f t="shared" si="19"/>
        <v>0</v>
      </c>
      <c r="G140" s="128">
        <f t="shared" si="20"/>
        <v>0</v>
      </c>
      <c r="H140" s="127">
        <f t="shared" si="15"/>
        <v>0</v>
      </c>
      <c r="I140" s="130">
        <f t="shared" si="16"/>
        <v>0</v>
      </c>
      <c r="J140" s="133">
        <f t="shared" si="17"/>
        <v>0</v>
      </c>
      <c r="K140" s="134">
        <v>0</v>
      </c>
      <c r="L140" s="129">
        <f t="shared" si="18"/>
        <v>0</v>
      </c>
    </row>
    <row r="141" spans="1:12">
      <c r="A141" s="122">
        <v>134</v>
      </c>
      <c r="D141" s="130">
        <v>0</v>
      </c>
      <c r="E141" s="128">
        <f t="shared" si="14"/>
        <v>0</v>
      </c>
      <c r="F141" s="123">
        <f t="shared" si="19"/>
        <v>0</v>
      </c>
      <c r="G141" s="128">
        <f t="shared" si="20"/>
        <v>0</v>
      </c>
      <c r="H141" s="127">
        <f t="shared" si="15"/>
        <v>0</v>
      </c>
      <c r="I141" s="130">
        <f t="shared" si="16"/>
        <v>0</v>
      </c>
      <c r="J141" s="133">
        <f t="shared" si="17"/>
        <v>0</v>
      </c>
      <c r="K141" s="134">
        <v>0</v>
      </c>
      <c r="L141" s="129">
        <f t="shared" si="18"/>
        <v>0</v>
      </c>
    </row>
    <row r="142" spans="1:12">
      <c r="A142" s="122">
        <v>135</v>
      </c>
      <c r="D142" s="130">
        <v>0</v>
      </c>
      <c r="E142" s="128">
        <f t="shared" si="14"/>
        <v>0</v>
      </c>
      <c r="F142" s="123">
        <f t="shared" si="19"/>
        <v>0</v>
      </c>
      <c r="G142" s="128">
        <f t="shared" si="20"/>
        <v>0</v>
      </c>
      <c r="H142" s="127">
        <f t="shared" si="15"/>
        <v>0</v>
      </c>
      <c r="I142" s="130">
        <f t="shared" si="16"/>
        <v>0</v>
      </c>
      <c r="J142" s="133">
        <f t="shared" si="17"/>
        <v>0</v>
      </c>
      <c r="K142" s="134">
        <v>0</v>
      </c>
      <c r="L142" s="129">
        <f t="shared" si="18"/>
        <v>0</v>
      </c>
    </row>
    <row r="143" spans="1:12">
      <c r="A143" s="122">
        <v>136</v>
      </c>
      <c r="D143" s="130">
        <v>0</v>
      </c>
      <c r="E143" s="128">
        <f t="shared" si="14"/>
        <v>0</v>
      </c>
      <c r="F143" s="123">
        <f t="shared" si="19"/>
        <v>0</v>
      </c>
      <c r="G143" s="128">
        <f t="shared" si="20"/>
        <v>0</v>
      </c>
      <c r="H143" s="127">
        <f t="shared" si="15"/>
        <v>0</v>
      </c>
      <c r="I143" s="130">
        <f t="shared" si="16"/>
        <v>0</v>
      </c>
      <c r="J143" s="133">
        <f t="shared" si="17"/>
        <v>0</v>
      </c>
      <c r="K143" s="134">
        <v>0</v>
      </c>
      <c r="L143" s="129">
        <f t="shared" si="18"/>
        <v>0</v>
      </c>
    </row>
    <row r="144" spans="1:12">
      <c r="A144" s="122">
        <v>137</v>
      </c>
      <c r="D144" s="130">
        <v>0</v>
      </c>
      <c r="E144" s="128">
        <f t="shared" si="14"/>
        <v>0</v>
      </c>
      <c r="F144" s="123">
        <f t="shared" si="19"/>
        <v>0</v>
      </c>
      <c r="G144" s="128">
        <f t="shared" si="20"/>
        <v>0</v>
      </c>
      <c r="H144" s="127">
        <f t="shared" si="15"/>
        <v>0</v>
      </c>
      <c r="I144" s="130">
        <f t="shared" si="16"/>
        <v>0</v>
      </c>
      <c r="J144" s="133">
        <f t="shared" si="17"/>
        <v>0</v>
      </c>
      <c r="K144" s="134">
        <v>0</v>
      </c>
      <c r="L144" s="129">
        <f t="shared" si="18"/>
        <v>0</v>
      </c>
    </row>
    <row r="145" spans="1:12">
      <c r="A145" s="122">
        <v>138</v>
      </c>
      <c r="D145" s="130">
        <v>0</v>
      </c>
      <c r="E145" s="128">
        <f t="shared" si="14"/>
        <v>0</v>
      </c>
      <c r="F145" s="123">
        <f t="shared" si="19"/>
        <v>0</v>
      </c>
      <c r="G145" s="128">
        <f t="shared" si="20"/>
        <v>0</v>
      </c>
      <c r="H145" s="127">
        <f t="shared" si="15"/>
        <v>0</v>
      </c>
      <c r="I145" s="130">
        <f t="shared" si="16"/>
        <v>0</v>
      </c>
      <c r="J145" s="133">
        <f t="shared" si="17"/>
        <v>0</v>
      </c>
      <c r="K145" s="134">
        <v>0</v>
      </c>
      <c r="L145" s="129">
        <f t="shared" si="18"/>
        <v>0</v>
      </c>
    </row>
    <row r="146" spans="1:12">
      <c r="A146" s="122">
        <v>139</v>
      </c>
      <c r="D146" s="130">
        <v>0</v>
      </c>
      <c r="E146" s="128">
        <f t="shared" si="14"/>
        <v>0</v>
      </c>
      <c r="F146" s="123">
        <f t="shared" si="19"/>
        <v>0</v>
      </c>
      <c r="G146" s="128">
        <f t="shared" si="20"/>
        <v>0</v>
      </c>
      <c r="H146" s="127">
        <f t="shared" si="15"/>
        <v>0</v>
      </c>
      <c r="I146" s="130">
        <f t="shared" si="16"/>
        <v>0</v>
      </c>
      <c r="J146" s="133">
        <f t="shared" si="17"/>
        <v>0</v>
      </c>
      <c r="K146" s="134">
        <v>0</v>
      </c>
      <c r="L146" s="129">
        <f t="shared" si="18"/>
        <v>0</v>
      </c>
    </row>
    <row r="147" spans="1:12">
      <c r="A147" s="122">
        <v>140</v>
      </c>
      <c r="D147" s="130">
        <v>0</v>
      </c>
      <c r="E147" s="128">
        <f t="shared" si="14"/>
        <v>0</v>
      </c>
      <c r="F147" s="123">
        <f t="shared" si="19"/>
        <v>0</v>
      </c>
      <c r="G147" s="128">
        <f t="shared" si="20"/>
        <v>0</v>
      </c>
      <c r="H147" s="127">
        <f t="shared" si="15"/>
        <v>0</v>
      </c>
      <c r="I147" s="130">
        <f t="shared" si="16"/>
        <v>0</v>
      </c>
      <c r="J147" s="133">
        <f t="shared" si="17"/>
        <v>0</v>
      </c>
      <c r="K147" s="134">
        <v>0</v>
      </c>
      <c r="L147" s="129">
        <f t="shared" si="18"/>
        <v>0</v>
      </c>
    </row>
    <row r="148" spans="1:12">
      <c r="A148" s="122">
        <v>141</v>
      </c>
      <c r="D148" s="130">
        <v>0</v>
      </c>
      <c r="E148" s="128">
        <f t="shared" si="14"/>
        <v>0</v>
      </c>
      <c r="F148" s="123">
        <f t="shared" si="19"/>
        <v>0</v>
      </c>
      <c r="G148" s="128">
        <f t="shared" si="20"/>
        <v>0</v>
      </c>
      <c r="H148" s="127">
        <f t="shared" si="15"/>
        <v>0</v>
      </c>
      <c r="I148" s="130">
        <f t="shared" si="16"/>
        <v>0</v>
      </c>
      <c r="J148" s="133">
        <f t="shared" si="17"/>
        <v>0</v>
      </c>
      <c r="K148" s="134">
        <v>0</v>
      </c>
      <c r="L148" s="129">
        <f t="shared" si="18"/>
        <v>0</v>
      </c>
    </row>
    <row r="149" spans="1:12">
      <c r="A149" s="122">
        <v>142</v>
      </c>
      <c r="D149" s="130">
        <v>0</v>
      </c>
      <c r="E149" s="128">
        <f t="shared" si="14"/>
        <v>0</v>
      </c>
      <c r="F149" s="123">
        <f t="shared" si="19"/>
        <v>0</v>
      </c>
      <c r="G149" s="128">
        <f t="shared" si="20"/>
        <v>0</v>
      </c>
      <c r="H149" s="127">
        <f t="shared" si="15"/>
        <v>0</v>
      </c>
      <c r="I149" s="130">
        <f t="shared" si="16"/>
        <v>0</v>
      </c>
      <c r="J149" s="133">
        <f t="shared" si="17"/>
        <v>0</v>
      </c>
      <c r="K149" s="134">
        <v>0</v>
      </c>
      <c r="L149" s="129">
        <f t="shared" si="18"/>
        <v>0</v>
      </c>
    </row>
    <row r="150" spans="1:12">
      <c r="A150" s="122">
        <v>143</v>
      </c>
      <c r="D150" s="130">
        <v>0</v>
      </c>
      <c r="E150" s="128">
        <f t="shared" si="14"/>
        <v>0</v>
      </c>
      <c r="F150" s="123">
        <f t="shared" si="19"/>
        <v>0</v>
      </c>
      <c r="G150" s="128">
        <f t="shared" si="20"/>
        <v>0</v>
      </c>
      <c r="H150" s="127">
        <f t="shared" si="15"/>
        <v>0</v>
      </c>
      <c r="I150" s="130">
        <f t="shared" si="16"/>
        <v>0</v>
      </c>
      <c r="J150" s="133">
        <f t="shared" si="17"/>
        <v>0</v>
      </c>
      <c r="K150" s="134">
        <v>0</v>
      </c>
      <c r="L150" s="129">
        <f t="shared" si="18"/>
        <v>0</v>
      </c>
    </row>
    <row r="151" spans="1:12">
      <c r="A151" s="122">
        <v>144</v>
      </c>
      <c r="D151" s="130">
        <v>0</v>
      </c>
      <c r="E151" s="128">
        <f t="shared" si="14"/>
        <v>0</v>
      </c>
      <c r="F151" s="123">
        <f t="shared" si="19"/>
        <v>0</v>
      </c>
      <c r="G151" s="128">
        <f t="shared" si="20"/>
        <v>0</v>
      </c>
      <c r="H151" s="127">
        <f t="shared" si="15"/>
        <v>0</v>
      </c>
      <c r="I151" s="130">
        <f t="shared" si="16"/>
        <v>0</v>
      </c>
      <c r="J151" s="133">
        <f t="shared" si="17"/>
        <v>0</v>
      </c>
      <c r="K151" s="134">
        <v>0</v>
      </c>
      <c r="L151" s="129">
        <f t="shared" si="18"/>
        <v>0</v>
      </c>
    </row>
    <row r="152" spans="1:12">
      <c r="A152" s="122">
        <v>145</v>
      </c>
      <c r="D152" s="130">
        <v>0</v>
      </c>
      <c r="E152" s="128">
        <f t="shared" si="14"/>
        <v>0</v>
      </c>
      <c r="F152" s="123">
        <f t="shared" si="19"/>
        <v>0</v>
      </c>
      <c r="G152" s="128">
        <f t="shared" si="20"/>
        <v>0</v>
      </c>
      <c r="H152" s="127">
        <f t="shared" si="15"/>
        <v>0</v>
      </c>
      <c r="I152" s="130">
        <f t="shared" si="16"/>
        <v>0</v>
      </c>
      <c r="J152" s="133">
        <f t="shared" si="17"/>
        <v>0</v>
      </c>
      <c r="K152" s="134">
        <v>0</v>
      </c>
      <c r="L152" s="129">
        <f t="shared" si="18"/>
        <v>0</v>
      </c>
    </row>
    <row r="153" spans="1:12">
      <c r="A153" s="122">
        <v>146</v>
      </c>
      <c r="D153" s="130">
        <v>0</v>
      </c>
      <c r="E153" s="128">
        <f t="shared" si="14"/>
        <v>0</v>
      </c>
      <c r="F153" s="123">
        <f t="shared" si="19"/>
        <v>0</v>
      </c>
      <c r="G153" s="128">
        <f t="shared" si="20"/>
        <v>0</v>
      </c>
      <c r="H153" s="127">
        <f t="shared" si="15"/>
        <v>0</v>
      </c>
      <c r="I153" s="130">
        <f t="shared" si="16"/>
        <v>0</v>
      </c>
      <c r="J153" s="133">
        <f t="shared" si="17"/>
        <v>0</v>
      </c>
      <c r="K153" s="134">
        <v>0</v>
      </c>
      <c r="L153" s="129">
        <f t="shared" si="18"/>
        <v>0</v>
      </c>
    </row>
    <row r="154" spans="1:12">
      <c r="A154" s="122">
        <v>147</v>
      </c>
      <c r="D154" s="130">
        <v>0</v>
      </c>
      <c r="E154" s="128">
        <f t="shared" si="14"/>
        <v>0</v>
      </c>
      <c r="F154" s="123">
        <f t="shared" si="19"/>
        <v>0</v>
      </c>
      <c r="G154" s="128">
        <f t="shared" si="20"/>
        <v>0</v>
      </c>
      <c r="H154" s="127">
        <f t="shared" si="15"/>
        <v>0</v>
      </c>
      <c r="I154" s="130">
        <f t="shared" si="16"/>
        <v>0</v>
      </c>
      <c r="J154" s="133">
        <f t="shared" si="17"/>
        <v>0</v>
      </c>
      <c r="K154" s="134">
        <v>0</v>
      </c>
      <c r="L154" s="129">
        <f t="shared" si="18"/>
        <v>0</v>
      </c>
    </row>
    <row r="155" spans="1:12">
      <c r="A155" s="122">
        <v>148</v>
      </c>
      <c r="D155" s="130">
        <v>0</v>
      </c>
      <c r="E155" s="128">
        <f t="shared" si="14"/>
        <v>0</v>
      </c>
      <c r="F155" s="123">
        <f t="shared" si="19"/>
        <v>0</v>
      </c>
      <c r="G155" s="128">
        <f t="shared" si="20"/>
        <v>0</v>
      </c>
      <c r="H155" s="127">
        <f t="shared" si="15"/>
        <v>0</v>
      </c>
      <c r="I155" s="130">
        <f t="shared" si="16"/>
        <v>0</v>
      </c>
      <c r="J155" s="133">
        <f t="shared" si="17"/>
        <v>0</v>
      </c>
      <c r="K155" s="134">
        <v>0</v>
      </c>
      <c r="L155" s="129">
        <f t="shared" si="18"/>
        <v>0</v>
      </c>
    </row>
    <row r="156" spans="1:12">
      <c r="A156" s="122">
        <v>149</v>
      </c>
      <c r="D156" s="130">
        <v>0</v>
      </c>
      <c r="E156" s="128">
        <f t="shared" si="14"/>
        <v>0</v>
      </c>
      <c r="F156" s="123">
        <f t="shared" si="19"/>
        <v>0</v>
      </c>
      <c r="G156" s="128">
        <f t="shared" si="20"/>
        <v>0</v>
      </c>
      <c r="H156" s="127">
        <f t="shared" si="15"/>
        <v>0</v>
      </c>
      <c r="I156" s="130">
        <f t="shared" si="16"/>
        <v>0</v>
      </c>
      <c r="J156" s="133">
        <f t="shared" si="17"/>
        <v>0</v>
      </c>
      <c r="K156" s="134">
        <v>0</v>
      </c>
      <c r="L156" s="129">
        <f t="shared" si="18"/>
        <v>0</v>
      </c>
    </row>
    <row r="157" spans="1:12">
      <c r="A157" s="122">
        <v>150</v>
      </c>
      <c r="D157" s="130">
        <v>0</v>
      </c>
      <c r="E157" s="128">
        <f t="shared" si="14"/>
        <v>0</v>
      </c>
      <c r="F157" s="123">
        <f t="shared" si="19"/>
        <v>0</v>
      </c>
      <c r="G157" s="128">
        <f t="shared" si="20"/>
        <v>0</v>
      </c>
      <c r="H157" s="127">
        <f t="shared" si="15"/>
        <v>0</v>
      </c>
      <c r="I157" s="130">
        <f t="shared" si="16"/>
        <v>0</v>
      </c>
      <c r="J157" s="133">
        <f t="shared" si="17"/>
        <v>0</v>
      </c>
      <c r="K157" s="134">
        <v>0</v>
      </c>
      <c r="L157" s="129">
        <f t="shared" si="18"/>
        <v>0</v>
      </c>
    </row>
    <row r="158" spans="1:12">
      <c r="A158" s="122">
        <v>151</v>
      </c>
      <c r="D158" s="130">
        <v>0</v>
      </c>
      <c r="E158" s="128">
        <f t="shared" si="14"/>
        <v>0</v>
      </c>
      <c r="F158" s="123">
        <f t="shared" si="19"/>
        <v>0</v>
      </c>
      <c r="G158" s="128">
        <f t="shared" si="20"/>
        <v>0</v>
      </c>
      <c r="H158" s="127">
        <f t="shared" si="15"/>
        <v>0</v>
      </c>
      <c r="I158" s="130">
        <f t="shared" si="16"/>
        <v>0</v>
      </c>
      <c r="J158" s="133">
        <f t="shared" si="17"/>
        <v>0</v>
      </c>
      <c r="K158" s="134">
        <v>0</v>
      </c>
      <c r="L158" s="129">
        <f t="shared" si="18"/>
        <v>0</v>
      </c>
    </row>
    <row r="159" spans="1:12">
      <c r="A159" s="122">
        <v>152</v>
      </c>
      <c r="D159" s="130">
        <v>0</v>
      </c>
      <c r="E159" s="128">
        <f t="shared" si="14"/>
        <v>0</v>
      </c>
      <c r="F159" s="123">
        <f t="shared" si="19"/>
        <v>0</v>
      </c>
      <c r="G159" s="128">
        <f t="shared" si="20"/>
        <v>0</v>
      </c>
      <c r="H159" s="127">
        <f t="shared" si="15"/>
        <v>0</v>
      </c>
      <c r="I159" s="130">
        <f t="shared" si="16"/>
        <v>0</v>
      </c>
      <c r="J159" s="133">
        <f t="shared" si="17"/>
        <v>0</v>
      </c>
      <c r="K159" s="134">
        <v>0</v>
      </c>
      <c r="L159" s="129">
        <f t="shared" si="18"/>
        <v>0</v>
      </c>
    </row>
    <row r="160" spans="1:12">
      <c r="A160" s="122">
        <v>153</v>
      </c>
      <c r="D160" s="130">
        <v>0</v>
      </c>
      <c r="E160" s="128">
        <f t="shared" si="14"/>
        <v>0</v>
      </c>
      <c r="F160" s="123">
        <f t="shared" si="19"/>
        <v>0</v>
      </c>
      <c r="G160" s="128">
        <f t="shared" si="20"/>
        <v>0</v>
      </c>
      <c r="H160" s="127">
        <f t="shared" si="15"/>
        <v>0</v>
      </c>
      <c r="I160" s="130">
        <f t="shared" si="16"/>
        <v>0</v>
      </c>
      <c r="J160" s="133">
        <f t="shared" si="17"/>
        <v>0</v>
      </c>
      <c r="K160" s="134">
        <v>0</v>
      </c>
      <c r="L160" s="129">
        <f t="shared" si="18"/>
        <v>0</v>
      </c>
    </row>
    <row r="161" spans="1:12">
      <c r="A161" s="122">
        <v>154</v>
      </c>
      <c r="D161" s="130">
        <v>0</v>
      </c>
      <c r="E161" s="128">
        <f t="shared" si="14"/>
        <v>0</v>
      </c>
      <c r="F161" s="123">
        <f t="shared" si="19"/>
        <v>0</v>
      </c>
      <c r="G161" s="128">
        <f t="shared" si="20"/>
        <v>0</v>
      </c>
      <c r="H161" s="127">
        <f t="shared" si="15"/>
        <v>0</v>
      </c>
      <c r="I161" s="130">
        <f t="shared" si="16"/>
        <v>0</v>
      </c>
      <c r="J161" s="133">
        <f t="shared" si="17"/>
        <v>0</v>
      </c>
      <c r="K161" s="134">
        <v>0</v>
      </c>
      <c r="L161" s="129">
        <f t="shared" si="18"/>
        <v>0</v>
      </c>
    </row>
    <row r="162" spans="1:12">
      <c r="A162" s="122">
        <v>155</v>
      </c>
      <c r="D162" s="130">
        <v>0</v>
      </c>
      <c r="E162" s="128">
        <f t="shared" si="14"/>
        <v>0</v>
      </c>
      <c r="F162" s="123">
        <f t="shared" si="19"/>
        <v>0</v>
      </c>
      <c r="G162" s="128">
        <f t="shared" si="20"/>
        <v>0</v>
      </c>
      <c r="H162" s="127">
        <f t="shared" si="15"/>
        <v>0</v>
      </c>
      <c r="I162" s="130">
        <f t="shared" si="16"/>
        <v>0</v>
      </c>
      <c r="J162" s="133">
        <f t="shared" si="17"/>
        <v>0</v>
      </c>
      <c r="K162" s="134">
        <v>0</v>
      </c>
      <c r="L162" s="129">
        <f t="shared" si="18"/>
        <v>0</v>
      </c>
    </row>
    <row r="163" spans="1:12">
      <c r="A163" s="122">
        <v>156</v>
      </c>
      <c r="D163" s="130">
        <v>0</v>
      </c>
      <c r="E163" s="128">
        <f t="shared" si="14"/>
        <v>0</v>
      </c>
      <c r="F163" s="123">
        <f t="shared" si="19"/>
        <v>0</v>
      </c>
      <c r="G163" s="128">
        <f t="shared" si="20"/>
        <v>0</v>
      </c>
      <c r="H163" s="127">
        <f t="shared" si="15"/>
        <v>0</v>
      </c>
      <c r="I163" s="130">
        <f t="shared" si="16"/>
        <v>0</v>
      </c>
      <c r="J163" s="133">
        <f t="shared" si="17"/>
        <v>0</v>
      </c>
      <c r="K163" s="134">
        <v>0</v>
      </c>
      <c r="L163" s="129">
        <f t="shared" si="18"/>
        <v>0</v>
      </c>
    </row>
    <row r="164" spans="1:12">
      <c r="A164" s="122">
        <v>157</v>
      </c>
      <c r="D164" s="130">
        <v>0</v>
      </c>
      <c r="E164" s="128">
        <f t="shared" si="14"/>
        <v>0</v>
      </c>
      <c r="F164" s="123">
        <f t="shared" si="19"/>
        <v>0</v>
      </c>
      <c r="G164" s="128">
        <f t="shared" si="20"/>
        <v>0</v>
      </c>
      <c r="H164" s="127">
        <f t="shared" si="15"/>
        <v>0</v>
      </c>
      <c r="I164" s="130">
        <f t="shared" si="16"/>
        <v>0</v>
      </c>
      <c r="J164" s="133">
        <f t="shared" si="17"/>
        <v>0</v>
      </c>
      <c r="K164" s="134">
        <v>0</v>
      </c>
      <c r="L164" s="129">
        <f t="shared" si="18"/>
        <v>0</v>
      </c>
    </row>
    <row r="165" spans="1:12">
      <c r="A165" s="122">
        <v>158</v>
      </c>
      <c r="D165" s="130">
        <v>0</v>
      </c>
      <c r="E165" s="128">
        <f t="shared" si="14"/>
        <v>0</v>
      </c>
      <c r="F165" s="123">
        <f t="shared" si="19"/>
        <v>0</v>
      </c>
      <c r="G165" s="128">
        <f t="shared" si="20"/>
        <v>0</v>
      </c>
      <c r="H165" s="127">
        <f t="shared" si="15"/>
        <v>0</v>
      </c>
      <c r="I165" s="130">
        <f t="shared" si="16"/>
        <v>0</v>
      </c>
      <c r="J165" s="133">
        <f t="shared" si="17"/>
        <v>0</v>
      </c>
      <c r="K165" s="134">
        <v>0</v>
      </c>
      <c r="L165" s="129">
        <f t="shared" si="18"/>
        <v>0</v>
      </c>
    </row>
    <row r="166" spans="1:12">
      <c r="A166" s="122">
        <v>159</v>
      </c>
      <c r="D166" s="130">
        <v>0</v>
      </c>
      <c r="E166" s="128">
        <f t="shared" si="14"/>
        <v>0</v>
      </c>
      <c r="F166" s="123">
        <f t="shared" si="19"/>
        <v>0</v>
      </c>
      <c r="G166" s="128">
        <f t="shared" si="20"/>
        <v>0</v>
      </c>
      <c r="H166" s="127">
        <f t="shared" si="15"/>
        <v>0</v>
      </c>
      <c r="I166" s="130">
        <f t="shared" si="16"/>
        <v>0</v>
      </c>
      <c r="J166" s="133">
        <f t="shared" si="17"/>
        <v>0</v>
      </c>
      <c r="K166" s="134">
        <v>0</v>
      </c>
      <c r="L166" s="129">
        <f t="shared" si="18"/>
        <v>0</v>
      </c>
    </row>
    <row r="167" spans="1:12">
      <c r="A167" s="122">
        <v>160</v>
      </c>
      <c r="D167" s="130">
        <v>0</v>
      </c>
      <c r="E167" s="128">
        <f t="shared" si="14"/>
        <v>0</v>
      </c>
      <c r="F167" s="123">
        <f t="shared" si="19"/>
        <v>0</v>
      </c>
      <c r="G167" s="128">
        <f t="shared" si="20"/>
        <v>0</v>
      </c>
      <c r="H167" s="127">
        <f t="shared" si="15"/>
        <v>0</v>
      </c>
      <c r="I167" s="130">
        <f t="shared" si="16"/>
        <v>0</v>
      </c>
      <c r="J167" s="133">
        <f t="shared" si="17"/>
        <v>0</v>
      </c>
      <c r="K167" s="134">
        <v>0</v>
      </c>
      <c r="L167" s="129">
        <f t="shared" si="18"/>
        <v>0</v>
      </c>
    </row>
    <row r="168" spans="1:12">
      <c r="A168" s="122">
        <v>161</v>
      </c>
      <c r="D168" s="130">
        <v>0</v>
      </c>
      <c r="E168" s="128">
        <f t="shared" si="14"/>
        <v>0</v>
      </c>
      <c r="F168" s="123">
        <f t="shared" si="19"/>
        <v>0</v>
      </c>
      <c r="G168" s="128">
        <f t="shared" si="20"/>
        <v>0</v>
      </c>
      <c r="H168" s="127">
        <f t="shared" si="15"/>
        <v>0</v>
      </c>
      <c r="I168" s="130">
        <f t="shared" si="16"/>
        <v>0</v>
      </c>
      <c r="J168" s="133">
        <f t="shared" si="17"/>
        <v>0</v>
      </c>
      <c r="K168" s="134">
        <v>0</v>
      </c>
      <c r="L168" s="129">
        <f t="shared" si="18"/>
        <v>0</v>
      </c>
    </row>
    <row r="169" spans="1:12">
      <c r="A169" s="122">
        <v>162</v>
      </c>
      <c r="D169" s="130">
        <v>0</v>
      </c>
      <c r="E169" s="128">
        <f t="shared" si="14"/>
        <v>0</v>
      </c>
      <c r="F169" s="123">
        <f t="shared" si="19"/>
        <v>0</v>
      </c>
      <c r="G169" s="128">
        <f t="shared" si="20"/>
        <v>0</v>
      </c>
      <c r="H169" s="127">
        <f t="shared" si="15"/>
        <v>0</v>
      </c>
      <c r="I169" s="130">
        <f t="shared" si="16"/>
        <v>0</v>
      </c>
      <c r="J169" s="133">
        <f t="shared" si="17"/>
        <v>0</v>
      </c>
      <c r="K169" s="134">
        <v>0</v>
      </c>
      <c r="L169" s="129">
        <f t="shared" si="18"/>
        <v>0</v>
      </c>
    </row>
    <row r="170" spans="1:12">
      <c r="A170" s="122">
        <v>163</v>
      </c>
      <c r="D170" s="130">
        <v>0</v>
      </c>
      <c r="E170" s="128">
        <f t="shared" si="14"/>
        <v>0</v>
      </c>
      <c r="F170" s="123">
        <f t="shared" si="19"/>
        <v>0</v>
      </c>
      <c r="G170" s="128">
        <f t="shared" si="20"/>
        <v>0</v>
      </c>
      <c r="H170" s="127">
        <f t="shared" si="15"/>
        <v>0</v>
      </c>
      <c r="I170" s="130">
        <f t="shared" si="16"/>
        <v>0</v>
      </c>
      <c r="J170" s="133">
        <f t="shared" si="17"/>
        <v>0</v>
      </c>
      <c r="K170" s="134">
        <v>0</v>
      </c>
      <c r="L170" s="129">
        <f t="shared" si="18"/>
        <v>0</v>
      </c>
    </row>
    <row r="171" spans="1:12">
      <c r="A171" s="122">
        <v>164</v>
      </c>
      <c r="D171" s="130">
        <v>0</v>
      </c>
      <c r="E171" s="128">
        <f t="shared" si="14"/>
        <v>0</v>
      </c>
      <c r="F171" s="123">
        <f t="shared" si="19"/>
        <v>0</v>
      </c>
      <c r="G171" s="128">
        <f t="shared" si="20"/>
        <v>0</v>
      </c>
      <c r="H171" s="127">
        <f t="shared" si="15"/>
        <v>0</v>
      </c>
      <c r="I171" s="130">
        <f t="shared" si="16"/>
        <v>0</v>
      </c>
      <c r="J171" s="133">
        <f t="shared" si="17"/>
        <v>0</v>
      </c>
      <c r="K171" s="134">
        <v>0</v>
      </c>
      <c r="L171" s="129">
        <f t="shared" si="18"/>
        <v>0</v>
      </c>
    </row>
    <row r="172" spans="1:12">
      <c r="A172" s="122">
        <v>165</v>
      </c>
      <c r="D172" s="130">
        <v>0</v>
      </c>
      <c r="E172" s="128">
        <f t="shared" si="14"/>
        <v>0</v>
      </c>
      <c r="F172" s="123">
        <f t="shared" si="19"/>
        <v>0</v>
      </c>
      <c r="G172" s="128">
        <f t="shared" si="20"/>
        <v>0</v>
      </c>
      <c r="H172" s="127">
        <f t="shared" si="15"/>
        <v>0</v>
      </c>
      <c r="I172" s="130">
        <f t="shared" si="16"/>
        <v>0</v>
      </c>
      <c r="J172" s="133">
        <f t="shared" si="17"/>
        <v>0</v>
      </c>
      <c r="K172" s="134">
        <v>0</v>
      </c>
      <c r="L172" s="129">
        <f t="shared" si="18"/>
        <v>0</v>
      </c>
    </row>
    <row r="173" spans="1:12">
      <c r="A173" s="122">
        <v>166</v>
      </c>
      <c r="D173" s="130">
        <v>0</v>
      </c>
      <c r="E173" s="128">
        <f t="shared" si="14"/>
        <v>0</v>
      </c>
      <c r="F173" s="123">
        <f t="shared" si="19"/>
        <v>0</v>
      </c>
      <c r="G173" s="128">
        <f t="shared" si="20"/>
        <v>0</v>
      </c>
      <c r="H173" s="127">
        <f t="shared" si="15"/>
        <v>0</v>
      </c>
      <c r="I173" s="130">
        <f t="shared" si="16"/>
        <v>0</v>
      </c>
      <c r="J173" s="133">
        <f t="shared" si="17"/>
        <v>0</v>
      </c>
      <c r="K173" s="134">
        <v>0</v>
      </c>
      <c r="L173" s="129">
        <f t="shared" si="18"/>
        <v>0</v>
      </c>
    </row>
    <row r="174" spans="1:12">
      <c r="A174" s="122">
        <v>167</v>
      </c>
      <c r="D174" s="130">
        <v>0</v>
      </c>
      <c r="E174" s="128">
        <f t="shared" si="14"/>
        <v>0</v>
      </c>
      <c r="F174" s="123">
        <f t="shared" si="19"/>
        <v>0</v>
      </c>
      <c r="G174" s="128">
        <f t="shared" si="20"/>
        <v>0</v>
      </c>
      <c r="H174" s="127">
        <f t="shared" si="15"/>
        <v>0</v>
      </c>
      <c r="I174" s="130">
        <f t="shared" si="16"/>
        <v>0</v>
      </c>
      <c r="J174" s="133">
        <f t="shared" si="17"/>
        <v>0</v>
      </c>
      <c r="K174" s="134">
        <v>0</v>
      </c>
      <c r="L174" s="129">
        <f t="shared" si="18"/>
        <v>0</v>
      </c>
    </row>
    <row r="175" spans="1:12">
      <c r="A175" s="122">
        <v>168</v>
      </c>
      <c r="D175" s="130">
        <v>0</v>
      </c>
      <c r="E175" s="128">
        <f t="shared" si="14"/>
        <v>0</v>
      </c>
      <c r="F175" s="123">
        <f t="shared" si="19"/>
        <v>0</v>
      </c>
      <c r="G175" s="128">
        <f t="shared" si="20"/>
        <v>0</v>
      </c>
      <c r="H175" s="127">
        <f t="shared" si="15"/>
        <v>0</v>
      </c>
      <c r="I175" s="130">
        <f t="shared" si="16"/>
        <v>0</v>
      </c>
      <c r="J175" s="133">
        <f t="shared" si="17"/>
        <v>0</v>
      </c>
      <c r="K175" s="134">
        <v>0</v>
      </c>
      <c r="L175" s="129">
        <f t="shared" si="18"/>
        <v>0</v>
      </c>
    </row>
    <row r="176" spans="1:12">
      <c r="A176" s="122">
        <v>169</v>
      </c>
      <c r="D176" s="130">
        <v>0</v>
      </c>
      <c r="E176" s="128">
        <f t="shared" si="14"/>
        <v>0</v>
      </c>
      <c r="F176" s="123">
        <f t="shared" si="19"/>
        <v>0</v>
      </c>
      <c r="G176" s="128">
        <f t="shared" si="20"/>
        <v>0</v>
      </c>
      <c r="H176" s="127">
        <f t="shared" si="15"/>
        <v>0</v>
      </c>
      <c r="I176" s="130">
        <f t="shared" si="16"/>
        <v>0</v>
      </c>
      <c r="J176" s="133">
        <f t="shared" si="17"/>
        <v>0</v>
      </c>
      <c r="K176" s="134">
        <v>0</v>
      </c>
      <c r="L176" s="129">
        <f t="shared" si="18"/>
        <v>0</v>
      </c>
    </row>
    <row r="177" spans="1:12">
      <c r="A177" s="122">
        <v>170</v>
      </c>
      <c r="D177" s="130">
        <v>0</v>
      </c>
      <c r="E177" s="128">
        <f t="shared" si="14"/>
        <v>0</v>
      </c>
      <c r="F177" s="123">
        <f t="shared" si="19"/>
        <v>0</v>
      </c>
      <c r="G177" s="128">
        <f t="shared" si="20"/>
        <v>0</v>
      </c>
      <c r="H177" s="127">
        <f t="shared" si="15"/>
        <v>0</v>
      </c>
      <c r="I177" s="130">
        <f t="shared" si="16"/>
        <v>0</v>
      </c>
      <c r="J177" s="133">
        <f t="shared" si="17"/>
        <v>0</v>
      </c>
      <c r="K177" s="134">
        <v>0</v>
      </c>
      <c r="L177" s="129">
        <f t="shared" si="18"/>
        <v>0</v>
      </c>
    </row>
    <row r="178" spans="1:12">
      <c r="A178" s="122">
        <v>171</v>
      </c>
      <c r="D178" s="130">
        <v>0</v>
      </c>
      <c r="E178" s="128">
        <f t="shared" si="14"/>
        <v>0</v>
      </c>
      <c r="F178" s="123">
        <f t="shared" si="19"/>
        <v>0</v>
      </c>
      <c r="G178" s="128">
        <f t="shared" si="20"/>
        <v>0</v>
      </c>
      <c r="H178" s="127">
        <f t="shared" si="15"/>
        <v>0</v>
      </c>
      <c r="I178" s="130">
        <f t="shared" si="16"/>
        <v>0</v>
      </c>
      <c r="J178" s="133">
        <f t="shared" si="17"/>
        <v>0</v>
      </c>
      <c r="K178" s="134">
        <v>0</v>
      </c>
      <c r="L178" s="129">
        <f t="shared" si="18"/>
        <v>0</v>
      </c>
    </row>
    <row r="179" spans="1:12">
      <c r="A179" s="122">
        <v>172</v>
      </c>
      <c r="D179" s="130">
        <v>0</v>
      </c>
      <c r="E179" s="128">
        <f t="shared" si="14"/>
        <v>0</v>
      </c>
      <c r="F179" s="123">
        <f t="shared" si="19"/>
        <v>0</v>
      </c>
      <c r="G179" s="128">
        <f t="shared" si="20"/>
        <v>0</v>
      </c>
      <c r="H179" s="127">
        <f t="shared" si="15"/>
        <v>0</v>
      </c>
      <c r="I179" s="130">
        <f t="shared" si="16"/>
        <v>0</v>
      </c>
      <c r="J179" s="133">
        <f t="shared" si="17"/>
        <v>0</v>
      </c>
      <c r="K179" s="134">
        <v>0</v>
      </c>
      <c r="L179" s="129">
        <f t="shared" si="18"/>
        <v>0</v>
      </c>
    </row>
    <row r="180" spans="1:12">
      <c r="A180" s="122">
        <v>173</v>
      </c>
      <c r="D180" s="130">
        <v>0</v>
      </c>
      <c r="E180" s="128">
        <f t="shared" si="14"/>
        <v>0</v>
      </c>
      <c r="F180" s="123">
        <f t="shared" si="19"/>
        <v>0</v>
      </c>
      <c r="G180" s="128">
        <f t="shared" si="20"/>
        <v>0</v>
      </c>
      <c r="H180" s="127">
        <f t="shared" si="15"/>
        <v>0</v>
      </c>
      <c r="I180" s="130">
        <f t="shared" si="16"/>
        <v>0</v>
      </c>
      <c r="J180" s="133">
        <f t="shared" si="17"/>
        <v>0</v>
      </c>
      <c r="K180" s="134">
        <v>0</v>
      </c>
      <c r="L180" s="129">
        <f t="shared" si="18"/>
        <v>0</v>
      </c>
    </row>
    <row r="181" spans="1:12">
      <c r="A181" s="122">
        <v>174</v>
      </c>
      <c r="D181" s="130">
        <v>0</v>
      </c>
      <c r="E181" s="128">
        <f t="shared" si="14"/>
        <v>0</v>
      </c>
      <c r="F181" s="123">
        <f t="shared" si="19"/>
        <v>0</v>
      </c>
      <c r="G181" s="128">
        <f t="shared" si="20"/>
        <v>0</v>
      </c>
      <c r="H181" s="127">
        <f t="shared" si="15"/>
        <v>0</v>
      </c>
      <c r="I181" s="130">
        <f t="shared" si="16"/>
        <v>0</v>
      </c>
      <c r="J181" s="133">
        <f t="shared" si="17"/>
        <v>0</v>
      </c>
      <c r="K181" s="134">
        <v>0</v>
      </c>
      <c r="L181" s="129">
        <f t="shared" si="18"/>
        <v>0</v>
      </c>
    </row>
    <row r="182" spans="1:12">
      <c r="A182" s="122">
        <v>175</v>
      </c>
      <c r="D182" s="130">
        <v>0</v>
      </c>
      <c r="E182" s="128">
        <f t="shared" si="14"/>
        <v>0</v>
      </c>
      <c r="F182" s="123">
        <f t="shared" si="19"/>
        <v>0</v>
      </c>
      <c r="G182" s="128">
        <f t="shared" si="20"/>
        <v>0</v>
      </c>
      <c r="H182" s="127">
        <f t="shared" si="15"/>
        <v>0</v>
      </c>
      <c r="I182" s="130">
        <f t="shared" si="16"/>
        <v>0</v>
      </c>
      <c r="J182" s="133">
        <f t="shared" si="17"/>
        <v>0</v>
      </c>
      <c r="K182" s="134">
        <v>0</v>
      </c>
      <c r="L182" s="129">
        <f t="shared" si="18"/>
        <v>0</v>
      </c>
    </row>
    <row r="183" spans="1:12">
      <c r="A183" s="122">
        <v>176</v>
      </c>
      <c r="D183" s="130">
        <v>0</v>
      </c>
      <c r="E183" s="128">
        <f t="shared" si="14"/>
        <v>0</v>
      </c>
      <c r="F183" s="123">
        <f t="shared" si="19"/>
        <v>0</v>
      </c>
      <c r="G183" s="128">
        <f t="shared" si="20"/>
        <v>0</v>
      </c>
      <c r="H183" s="127">
        <f t="shared" si="15"/>
        <v>0</v>
      </c>
      <c r="I183" s="130">
        <f t="shared" si="16"/>
        <v>0</v>
      </c>
      <c r="J183" s="133">
        <f t="shared" si="17"/>
        <v>0</v>
      </c>
      <c r="K183" s="134">
        <v>0</v>
      </c>
      <c r="L183" s="129">
        <f t="shared" si="18"/>
        <v>0</v>
      </c>
    </row>
    <row r="184" spans="1:12">
      <c r="A184" s="122">
        <v>177</v>
      </c>
      <c r="D184" s="130">
        <v>0</v>
      </c>
      <c r="E184" s="128">
        <f t="shared" si="14"/>
        <v>0</v>
      </c>
      <c r="F184" s="123">
        <f t="shared" si="19"/>
        <v>0</v>
      </c>
      <c r="G184" s="128">
        <f t="shared" si="20"/>
        <v>0</v>
      </c>
      <c r="H184" s="127">
        <f t="shared" si="15"/>
        <v>0</v>
      </c>
      <c r="I184" s="130">
        <f t="shared" si="16"/>
        <v>0</v>
      </c>
      <c r="J184" s="133">
        <f t="shared" si="17"/>
        <v>0</v>
      </c>
      <c r="K184" s="134">
        <v>0</v>
      </c>
      <c r="L184" s="129">
        <f t="shared" si="18"/>
        <v>0</v>
      </c>
    </row>
    <row r="185" spans="1:12">
      <c r="A185" s="122">
        <v>178</v>
      </c>
      <c r="D185" s="130">
        <v>0</v>
      </c>
      <c r="E185" s="128">
        <f t="shared" si="14"/>
        <v>0</v>
      </c>
      <c r="F185" s="123">
        <f t="shared" si="19"/>
        <v>0</v>
      </c>
      <c r="G185" s="128">
        <f t="shared" si="20"/>
        <v>0</v>
      </c>
      <c r="H185" s="127">
        <f t="shared" si="15"/>
        <v>0</v>
      </c>
      <c r="I185" s="130">
        <f t="shared" si="16"/>
        <v>0</v>
      </c>
      <c r="J185" s="133">
        <f t="shared" si="17"/>
        <v>0</v>
      </c>
      <c r="K185" s="134">
        <v>0</v>
      </c>
      <c r="L185" s="129">
        <f t="shared" si="18"/>
        <v>0</v>
      </c>
    </row>
    <row r="186" spans="1:12">
      <c r="A186" s="122">
        <v>179</v>
      </c>
      <c r="D186" s="130">
        <v>0</v>
      </c>
      <c r="E186" s="128">
        <f t="shared" si="14"/>
        <v>0</v>
      </c>
      <c r="F186" s="123">
        <f t="shared" si="19"/>
        <v>0</v>
      </c>
      <c r="G186" s="128">
        <f t="shared" si="20"/>
        <v>0</v>
      </c>
      <c r="H186" s="127">
        <f t="shared" si="15"/>
        <v>0</v>
      </c>
      <c r="I186" s="130">
        <f t="shared" si="16"/>
        <v>0</v>
      </c>
      <c r="J186" s="133">
        <f t="shared" si="17"/>
        <v>0</v>
      </c>
      <c r="K186" s="134">
        <v>0</v>
      </c>
      <c r="L186" s="129">
        <f t="shared" si="18"/>
        <v>0</v>
      </c>
    </row>
    <row r="187" spans="1:12">
      <c r="A187" s="122">
        <v>180</v>
      </c>
      <c r="D187" s="130">
        <v>0</v>
      </c>
      <c r="E187" s="128">
        <f t="shared" si="14"/>
        <v>0</v>
      </c>
      <c r="F187" s="123">
        <f t="shared" si="19"/>
        <v>0</v>
      </c>
      <c r="G187" s="128">
        <f t="shared" si="20"/>
        <v>0</v>
      </c>
      <c r="H187" s="127">
        <f t="shared" si="15"/>
        <v>0</v>
      </c>
      <c r="I187" s="130">
        <f t="shared" si="16"/>
        <v>0</v>
      </c>
      <c r="J187" s="133">
        <f t="shared" si="17"/>
        <v>0</v>
      </c>
      <c r="K187" s="134">
        <v>0</v>
      </c>
      <c r="L187" s="129">
        <f t="shared" si="18"/>
        <v>0</v>
      </c>
    </row>
    <row r="188" spans="1:12">
      <c r="A188" s="122">
        <v>181</v>
      </c>
      <c r="D188" s="130">
        <v>0</v>
      </c>
      <c r="E188" s="128">
        <f t="shared" si="14"/>
        <v>0</v>
      </c>
      <c r="F188" s="123">
        <f t="shared" si="19"/>
        <v>0</v>
      </c>
      <c r="G188" s="128">
        <f t="shared" si="20"/>
        <v>0</v>
      </c>
      <c r="H188" s="127">
        <f t="shared" si="15"/>
        <v>0</v>
      </c>
      <c r="I188" s="130">
        <f t="shared" si="16"/>
        <v>0</v>
      </c>
      <c r="J188" s="133">
        <f t="shared" si="17"/>
        <v>0</v>
      </c>
      <c r="K188" s="134">
        <v>0</v>
      </c>
      <c r="L188" s="129">
        <f t="shared" si="18"/>
        <v>0</v>
      </c>
    </row>
    <row r="189" spans="1:12">
      <c r="A189" s="122">
        <v>182</v>
      </c>
      <c r="D189" s="130">
        <v>0</v>
      </c>
      <c r="E189" s="128">
        <f t="shared" si="14"/>
        <v>0</v>
      </c>
      <c r="F189" s="123">
        <f t="shared" si="19"/>
        <v>0</v>
      </c>
      <c r="G189" s="128">
        <f t="shared" si="20"/>
        <v>0</v>
      </c>
      <c r="H189" s="127">
        <f t="shared" si="15"/>
        <v>0</v>
      </c>
      <c r="I189" s="130">
        <f t="shared" si="16"/>
        <v>0</v>
      </c>
      <c r="J189" s="133">
        <f t="shared" si="17"/>
        <v>0</v>
      </c>
      <c r="K189" s="134">
        <v>0</v>
      </c>
      <c r="L189" s="129">
        <f t="shared" si="18"/>
        <v>0</v>
      </c>
    </row>
    <row r="190" spans="1:12">
      <c r="A190" s="122">
        <v>183</v>
      </c>
      <c r="D190" s="130">
        <v>0</v>
      </c>
      <c r="E190" s="128">
        <f t="shared" si="14"/>
        <v>0</v>
      </c>
      <c r="F190" s="123">
        <f t="shared" si="19"/>
        <v>0</v>
      </c>
      <c r="G190" s="128">
        <f t="shared" si="20"/>
        <v>0</v>
      </c>
      <c r="H190" s="127">
        <f t="shared" si="15"/>
        <v>0</v>
      </c>
      <c r="I190" s="130">
        <f t="shared" si="16"/>
        <v>0</v>
      </c>
      <c r="J190" s="133">
        <f t="shared" si="17"/>
        <v>0</v>
      </c>
      <c r="K190" s="134">
        <v>0</v>
      </c>
      <c r="L190" s="129">
        <f t="shared" si="18"/>
        <v>0</v>
      </c>
    </row>
    <row r="191" spans="1:12">
      <c r="A191" s="122">
        <v>184</v>
      </c>
      <c r="D191" s="130">
        <v>0</v>
      </c>
      <c r="E191" s="128">
        <f t="shared" si="14"/>
        <v>0</v>
      </c>
      <c r="F191" s="123">
        <f t="shared" si="19"/>
        <v>0</v>
      </c>
      <c r="G191" s="128">
        <f t="shared" si="20"/>
        <v>0</v>
      </c>
      <c r="H191" s="127">
        <f t="shared" si="15"/>
        <v>0</v>
      </c>
      <c r="I191" s="130">
        <f t="shared" si="16"/>
        <v>0</v>
      </c>
      <c r="J191" s="133">
        <f t="shared" si="17"/>
        <v>0</v>
      </c>
      <c r="K191" s="134">
        <v>0</v>
      </c>
      <c r="L191" s="129">
        <f t="shared" si="18"/>
        <v>0</v>
      </c>
    </row>
    <row r="192" spans="1:12">
      <c r="A192" s="122">
        <v>185</v>
      </c>
      <c r="D192" s="130">
        <v>0</v>
      </c>
      <c r="E192" s="128">
        <f t="shared" si="14"/>
        <v>0</v>
      </c>
      <c r="F192" s="123">
        <f t="shared" si="19"/>
        <v>0</v>
      </c>
      <c r="G192" s="128">
        <f t="shared" si="20"/>
        <v>0</v>
      </c>
      <c r="H192" s="127">
        <f t="shared" si="15"/>
        <v>0</v>
      </c>
      <c r="I192" s="130">
        <f t="shared" si="16"/>
        <v>0</v>
      </c>
      <c r="J192" s="133">
        <f t="shared" si="17"/>
        <v>0</v>
      </c>
      <c r="K192" s="134">
        <v>0</v>
      </c>
      <c r="L192" s="129">
        <f t="shared" si="18"/>
        <v>0</v>
      </c>
    </row>
    <row r="193" spans="1:12">
      <c r="A193" s="122">
        <v>186</v>
      </c>
      <c r="D193" s="130">
        <v>0</v>
      </c>
      <c r="E193" s="128">
        <f t="shared" si="14"/>
        <v>0</v>
      </c>
      <c r="F193" s="123">
        <f t="shared" si="19"/>
        <v>0</v>
      </c>
      <c r="G193" s="128">
        <f t="shared" si="20"/>
        <v>0</v>
      </c>
      <c r="H193" s="127">
        <f t="shared" si="15"/>
        <v>0</v>
      </c>
      <c r="I193" s="130">
        <f t="shared" si="16"/>
        <v>0</v>
      </c>
      <c r="J193" s="133">
        <f t="shared" si="17"/>
        <v>0</v>
      </c>
      <c r="K193" s="134">
        <v>0</v>
      </c>
      <c r="L193" s="129">
        <f t="shared" si="18"/>
        <v>0</v>
      </c>
    </row>
    <row r="194" spans="1:12">
      <c r="A194" s="122">
        <v>187</v>
      </c>
      <c r="D194" s="130">
        <v>0</v>
      </c>
      <c r="E194" s="128">
        <f t="shared" si="14"/>
        <v>0</v>
      </c>
      <c r="F194" s="123">
        <f t="shared" si="19"/>
        <v>0</v>
      </c>
      <c r="G194" s="128">
        <f t="shared" si="20"/>
        <v>0</v>
      </c>
      <c r="H194" s="127">
        <f t="shared" si="15"/>
        <v>0</v>
      </c>
      <c r="I194" s="130">
        <f t="shared" si="16"/>
        <v>0</v>
      </c>
      <c r="J194" s="133">
        <f t="shared" si="17"/>
        <v>0</v>
      </c>
      <c r="K194" s="134">
        <v>0</v>
      </c>
      <c r="L194" s="129">
        <f t="shared" si="18"/>
        <v>0</v>
      </c>
    </row>
    <row r="195" spans="1:12">
      <c r="A195" s="122">
        <v>188</v>
      </c>
      <c r="D195" s="130">
        <v>0</v>
      </c>
      <c r="E195" s="128">
        <f t="shared" si="14"/>
        <v>0</v>
      </c>
      <c r="F195" s="123">
        <f t="shared" si="19"/>
        <v>0</v>
      </c>
      <c r="G195" s="128">
        <f t="shared" si="20"/>
        <v>0</v>
      </c>
      <c r="H195" s="127">
        <f t="shared" si="15"/>
        <v>0</v>
      </c>
      <c r="I195" s="130">
        <f t="shared" si="16"/>
        <v>0</v>
      </c>
      <c r="J195" s="133">
        <f t="shared" si="17"/>
        <v>0</v>
      </c>
      <c r="K195" s="134">
        <v>0</v>
      </c>
      <c r="L195" s="129">
        <f t="shared" si="18"/>
        <v>0</v>
      </c>
    </row>
    <row r="196" spans="1:12">
      <c r="A196" s="122">
        <v>189</v>
      </c>
      <c r="D196" s="130">
        <v>0</v>
      </c>
      <c r="E196" s="128">
        <f t="shared" si="14"/>
        <v>0</v>
      </c>
      <c r="F196" s="123">
        <f t="shared" si="19"/>
        <v>0</v>
      </c>
      <c r="G196" s="128">
        <f t="shared" si="20"/>
        <v>0</v>
      </c>
      <c r="H196" s="127">
        <f t="shared" si="15"/>
        <v>0</v>
      </c>
      <c r="I196" s="130">
        <f t="shared" si="16"/>
        <v>0</v>
      </c>
      <c r="J196" s="133">
        <f t="shared" si="17"/>
        <v>0</v>
      </c>
      <c r="K196" s="134">
        <v>0</v>
      </c>
      <c r="L196" s="129">
        <f t="shared" si="18"/>
        <v>0</v>
      </c>
    </row>
    <row r="197" spans="1:12">
      <c r="A197" s="122">
        <v>190</v>
      </c>
      <c r="D197" s="130">
        <v>0</v>
      </c>
      <c r="E197" s="128">
        <f t="shared" si="14"/>
        <v>0</v>
      </c>
      <c r="F197" s="123">
        <f t="shared" si="19"/>
        <v>0</v>
      </c>
      <c r="G197" s="128">
        <f t="shared" si="20"/>
        <v>0</v>
      </c>
      <c r="H197" s="127">
        <f t="shared" si="15"/>
        <v>0</v>
      </c>
      <c r="I197" s="130">
        <f t="shared" si="16"/>
        <v>0</v>
      </c>
      <c r="J197" s="133">
        <f t="shared" si="17"/>
        <v>0</v>
      </c>
      <c r="K197" s="134">
        <v>0</v>
      </c>
      <c r="L197" s="129">
        <f t="shared" si="18"/>
        <v>0</v>
      </c>
    </row>
    <row r="198" spans="1:12">
      <c r="A198" s="122">
        <v>191</v>
      </c>
      <c r="D198" s="130">
        <v>0</v>
      </c>
      <c r="E198" s="128">
        <f t="shared" si="14"/>
        <v>0</v>
      </c>
      <c r="F198" s="123">
        <f t="shared" si="19"/>
        <v>0</v>
      </c>
      <c r="G198" s="128">
        <f t="shared" si="20"/>
        <v>0</v>
      </c>
      <c r="H198" s="127">
        <f t="shared" si="15"/>
        <v>0</v>
      </c>
      <c r="I198" s="130">
        <f t="shared" si="16"/>
        <v>0</v>
      </c>
      <c r="J198" s="133">
        <f t="shared" si="17"/>
        <v>0</v>
      </c>
      <c r="K198" s="134">
        <v>0</v>
      </c>
      <c r="L198" s="129">
        <f t="shared" si="18"/>
        <v>0</v>
      </c>
    </row>
    <row r="199" spans="1:12">
      <c r="A199" s="122">
        <v>192</v>
      </c>
      <c r="D199" s="130">
        <v>0</v>
      </c>
      <c r="E199" s="128">
        <f t="shared" si="14"/>
        <v>0</v>
      </c>
      <c r="F199" s="123">
        <f t="shared" si="19"/>
        <v>0</v>
      </c>
      <c r="G199" s="128">
        <f t="shared" si="20"/>
        <v>0</v>
      </c>
      <c r="H199" s="127">
        <f t="shared" si="15"/>
        <v>0</v>
      </c>
      <c r="I199" s="130">
        <f t="shared" si="16"/>
        <v>0</v>
      </c>
      <c r="J199" s="133">
        <f t="shared" si="17"/>
        <v>0</v>
      </c>
      <c r="K199" s="134">
        <v>0</v>
      </c>
      <c r="L199" s="129">
        <f t="shared" si="18"/>
        <v>0</v>
      </c>
    </row>
    <row r="200" spans="1:12">
      <c r="A200" s="122">
        <v>193</v>
      </c>
      <c r="D200" s="130">
        <v>0</v>
      </c>
      <c r="E200" s="128">
        <f t="shared" ref="E200:E263" si="21">D200*0.08</f>
        <v>0</v>
      </c>
      <c r="F200" s="123">
        <f t="shared" si="19"/>
        <v>0</v>
      </c>
      <c r="G200" s="128">
        <f t="shared" si="20"/>
        <v>0</v>
      </c>
      <c r="H200" s="127">
        <f t="shared" ref="H200:H263" si="22">+D200-G200-E200</f>
        <v>0</v>
      </c>
      <c r="I200" s="130">
        <f t="shared" ref="I200:I263" si="23">IF(G200=0,(D200*0.01),IF(H200&lt;=0,0.01*D200,IF(AND(H200&gt;0,H200&lt;=300000),H200*7%,IF(AND(H200&gt;=300000,H200&lt;600000),21000+(H200-300000)*11%,IF(AND(H200&gt;=600000,H200&lt;1100000),54000+(H200-600000)*15%,IF(AND(H200&gt;=1100000,H200&lt;1600000),129000+(H200-1100000)*19%,IF(AND(H200&gt;=1600000,H200&lt;3200000),224000+(H200-1600000)*21%,560000+(H200-3200000)*24%)))))))</f>
        <v>0</v>
      </c>
      <c r="J200" s="133">
        <f t="shared" ref="J200:J263" si="24">I200/12</f>
        <v>0</v>
      </c>
      <c r="K200" s="134">
        <v>0</v>
      </c>
      <c r="L200" s="129">
        <f t="shared" ref="L200:L263" si="25">+J200*K200</f>
        <v>0</v>
      </c>
    </row>
    <row r="201" spans="1:12">
      <c r="A201" s="122">
        <v>194</v>
      </c>
      <c r="D201" s="130">
        <v>0</v>
      </c>
      <c r="E201" s="128">
        <f t="shared" si="21"/>
        <v>0</v>
      </c>
      <c r="F201" s="123">
        <f t="shared" ref="F201:F264" si="26">D201-E201</f>
        <v>0</v>
      </c>
      <c r="G201" s="128">
        <f t="shared" ref="G201:G264" si="27">IF(F201&lt;=300000,0,IF(F201&gt;=20000000,(F201*0.21),(F201*0.2)+200000))</f>
        <v>0</v>
      </c>
      <c r="H201" s="127">
        <f t="shared" si="22"/>
        <v>0</v>
      </c>
      <c r="I201" s="130">
        <f t="shared" si="23"/>
        <v>0</v>
      </c>
      <c r="J201" s="133">
        <f t="shared" si="24"/>
        <v>0</v>
      </c>
      <c r="K201" s="134">
        <v>0</v>
      </c>
      <c r="L201" s="129">
        <f t="shared" si="25"/>
        <v>0</v>
      </c>
    </row>
    <row r="202" spans="1:12">
      <c r="A202" s="122">
        <v>195</v>
      </c>
      <c r="D202" s="130">
        <v>0</v>
      </c>
      <c r="E202" s="128">
        <f t="shared" si="21"/>
        <v>0</v>
      </c>
      <c r="F202" s="123">
        <f t="shared" si="26"/>
        <v>0</v>
      </c>
      <c r="G202" s="128">
        <f t="shared" si="27"/>
        <v>0</v>
      </c>
      <c r="H202" s="127">
        <f t="shared" si="22"/>
        <v>0</v>
      </c>
      <c r="I202" s="130">
        <f t="shared" si="23"/>
        <v>0</v>
      </c>
      <c r="J202" s="133">
        <f t="shared" si="24"/>
        <v>0</v>
      </c>
      <c r="K202" s="134">
        <v>0</v>
      </c>
      <c r="L202" s="129">
        <f t="shared" si="25"/>
        <v>0</v>
      </c>
    </row>
    <row r="203" spans="1:12">
      <c r="A203" s="122">
        <v>196</v>
      </c>
      <c r="D203" s="130">
        <v>0</v>
      </c>
      <c r="E203" s="128">
        <f t="shared" si="21"/>
        <v>0</v>
      </c>
      <c r="F203" s="123">
        <f t="shared" si="26"/>
        <v>0</v>
      </c>
      <c r="G203" s="128">
        <f t="shared" si="27"/>
        <v>0</v>
      </c>
      <c r="H203" s="127">
        <f t="shared" si="22"/>
        <v>0</v>
      </c>
      <c r="I203" s="130">
        <f t="shared" si="23"/>
        <v>0</v>
      </c>
      <c r="J203" s="133">
        <f t="shared" si="24"/>
        <v>0</v>
      </c>
      <c r="K203" s="134">
        <v>0</v>
      </c>
      <c r="L203" s="129">
        <f t="shared" si="25"/>
        <v>0</v>
      </c>
    </row>
    <row r="204" spans="1:12">
      <c r="A204" s="122">
        <v>197</v>
      </c>
      <c r="D204" s="130">
        <v>0</v>
      </c>
      <c r="E204" s="128">
        <f t="shared" si="21"/>
        <v>0</v>
      </c>
      <c r="F204" s="123">
        <f t="shared" si="26"/>
        <v>0</v>
      </c>
      <c r="G204" s="128">
        <f t="shared" si="27"/>
        <v>0</v>
      </c>
      <c r="H204" s="127">
        <f t="shared" si="22"/>
        <v>0</v>
      </c>
      <c r="I204" s="130">
        <f t="shared" si="23"/>
        <v>0</v>
      </c>
      <c r="J204" s="133">
        <f t="shared" si="24"/>
        <v>0</v>
      </c>
      <c r="K204" s="134">
        <v>0</v>
      </c>
      <c r="L204" s="129">
        <f t="shared" si="25"/>
        <v>0</v>
      </c>
    </row>
    <row r="205" spans="1:12">
      <c r="A205" s="122">
        <v>198</v>
      </c>
      <c r="D205" s="130">
        <v>0</v>
      </c>
      <c r="E205" s="128">
        <f t="shared" si="21"/>
        <v>0</v>
      </c>
      <c r="F205" s="123">
        <f t="shared" si="26"/>
        <v>0</v>
      </c>
      <c r="G205" s="128">
        <f t="shared" si="27"/>
        <v>0</v>
      </c>
      <c r="H205" s="127">
        <f t="shared" si="22"/>
        <v>0</v>
      </c>
      <c r="I205" s="130">
        <f t="shared" si="23"/>
        <v>0</v>
      </c>
      <c r="J205" s="133">
        <f t="shared" si="24"/>
        <v>0</v>
      </c>
      <c r="K205" s="134">
        <v>0</v>
      </c>
      <c r="L205" s="129">
        <f t="shared" si="25"/>
        <v>0</v>
      </c>
    </row>
    <row r="206" spans="1:12">
      <c r="A206" s="122">
        <v>199</v>
      </c>
      <c r="D206" s="130">
        <v>0</v>
      </c>
      <c r="E206" s="128">
        <f t="shared" si="21"/>
        <v>0</v>
      </c>
      <c r="F206" s="123">
        <f t="shared" si="26"/>
        <v>0</v>
      </c>
      <c r="G206" s="128">
        <f t="shared" si="27"/>
        <v>0</v>
      </c>
      <c r="H206" s="127">
        <f t="shared" si="22"/>
        <v>0</v>
      </c>
      <c r="I206" s="130">
        <f t="shared" si="23"/>
        <v>0</v>
      </c>
      <c r="J206" s="133">
        <f t="shared" si="24"/>
        <v>0</v>
      </c>
      <c r="K206" s="134">
        <v>0</v>
      </c>
      <c r="L206" s="129">
        <f t="shared" si="25"/>
        <v>0</v>
      </c>
    </row>
    <row r="207" spans="1:12">
      <c r="A207" s="122">
        <v>200</v>
      </c>
      <c r="D207" s="130">
        <v>0</v>
      </c>
      <c r="E207" s="128">
        <f t="shared" si="21"/>
        <v>0</v>
      </c>
      <c r="F207" s="123">
        <f t="shared" si="26"/>
        <v>0</v>
      </c>
      <c r="G207" s="128">
        <f t="shared" si="27"/>
        <v>0</v>
      </c>
      <c r="H207" s="127">
        <f t="shared" si="22"/>
        <v>0</v>
      </c>
      <c r="I207" s="130">
        <f t="shared" si="23"/>
        <v>0</v>
      </c>
      <c r="J207" s="133">
        <f t="shared" si="24"/>
        <v>0</v>
      </c>
      <c r="K207" s="134">
        <v>0</v>
      </c>
      <c r="L207" s="129">
        <f t="shared" si="25"/>
        <v>0</v>
      </c>
    </row>
    <row r="208" spans="1:12">
      <c r="A208" s="122">
        <v>201</v>
      </c>
      <c r="D208" s="130">
        <v>0</v>
      </c>
      <c r="E208" s="128">
        <f t="shared" si="21"/>
        <v>0</v>
      </c>
      <c r="F208" s="123">
        <f t="shared" si="26"/>
        <v>0</v>
      </c>
      <c r="G208" s="128">
        <f t="shared" si="27"/>
        <v>0</v>
      </c>
      <c r="H208" s="127">
        <f t="shared" si="22"/>
        <v>0</v>
      </c>
      <c r="I208" s="130">
        <f t="shared" si="23"/>
        <v>0</v>
      </c>
      <c r="J208" s="133">
        <f t="shared" si="24"/>
        <v>0</v>
      </c>
      <c r="K208" s="134">
        <v>0</v>
      </c>
      <c r="L208" s="129">
        <f t="shared" si="25"/>
        <v>0</v>
      </c>
    </row>
    <row r="209" spans="1:12">
      <c r="A209" s="122">
        <v>202</v>
      </c>
      <c r="D209" s="130">
        <v>0</v>
      </c>
      <c r="E209" s="128">
        <f t="shared" si="21"/>
        <v>0</v>
      </c>
      <c r="F209" s="123">
        <f t="shared" si="26"/>
        <v>0</v>
      </c>
      <c r="G209" s="128">
        <f t="shared" si="27"/>
        <v>0</v>
      </c>
      <c r="H209" s="127">
        <f t="shared" si="22"/>
        <v>0</v>
      </c>
      <c r="I209" s="130">
        <f t="shared" si="23"/>
        <v>0</v>
      </c>
      <c r="J209" s="133">
        <f t="shared" si="24"/>
        <v>0</v>
      </c>
      <c r="K209" s="134">
        <v>0</v>
      </c>
      <c r="L209" s="129">
        <f t="shared" si="25"/>
        <v>0</v>
      </c>
    </row>
    <row r="210" spans="1:12">
      <c r="A210" s="122">
        <v>203</v>
      </c>
      <c r="D210" s="130">
        <v>0</v>
      </c>
      <c r="E210" s="128">
        <f t="shared" si="21"/>
        <v>0</v>
      </c>
      <c r="F210" s="123">
        <f t="shared" si="26"/>
        <v>0</v>
      </c>
      <c r="G210" s="128">
        <f t="shared" si="27"/>
        <v>0</v>
      </c>
      <c r="H210" s="127">
        <f t="shared" si="22"/>
        <v>0</v>
      </c>
      <c r="I210" s="130">
        <f t="shared" si="23"/>
        <v>0</v>
      </c>
      <c r="J210" s="133">
        <f t="shared" si="24"/>
        <v>0</v>
      </c>
      <c r="K210" s="134">
        <v>0</v>
      </c>
      <c r="L210" s="129">
        <f t="shared" si="25"/>
        <v>0</v>
      </c>
    </row>
    <row r="211" spans="1:12">
      <c r="A211" s="122">
        <v>204</v>
      </c>
      <c r="D211" s="130">
        <v>0</v>
      </c>
      <c r="E211" s="128">
        <f t="shared" si="21"/>
        <v>0</v>
      </c>
      <c r="F211" s="123">
        <f t="shared" si="26"/>
        <v>0</v>
      </c>
      <c r="G211" s="128">
        <f t="shared" si="27"/>
        <v>0</v>
      </c>
      <c r="H211" s="127">
        <f t="shared" si="22"/>
        <v>0</v>
      </c>
      <c r="I211" s="130">
        <f t="shared" si="23"/>
        <v>0</v>
      </c>
      <c r="J211" s="133">
        <f t="shared" si="24"/>
        <v>0</v>
      </c>
      <c r="K211" s="134">
        <v>0</v>
      </c>
      <c r="L211" s="129">
        <f t="shared" si="25"/>
        <v>0</v>
      </c>
    </row>
    <row r="212" spans="1:12">
      <c r="A212" s="122">
        <v>205</v>
      </c>
      <c r="D212" s="130">
        <v>0</v>
      </c>
      <c r="E212" s="128">
        <f t="shared" si="21"/>
        <v>0</v>
      </c>
      <c r="F212" s="123">
        <f t="shared" si="26"/>
        <v>0</v>
      </c>
      <c r="G212" s="128">
        <f t="shared" si="27"/>
        <v>0</v>
      </c>
      <c r="H212" s="127">
        <f t="shared" si="22"/>
        <v>0</v>
      </c>
      <c r="I212" s="130">
        <f t="shared" si="23"/>
        <v>0</v>
      </c>
      <c r="J212" s="133">
        <f t="shared" si="24"/>
        <v>0</v>
      </c>
      <c r="K212" s="134">
        <v>0</v>
      </c>
      <c r="L212" s="129">
        <f t="shared" si="25"/>
        <v>0</v>
      </c>
    </row>
    <row r="213" spans="1:12">
      <c r="A213" s="122">
        <v>206</v>
      </c>
      <c r="D213" s="130">
        <v>0</v>
      </c>
      <c r="E213" s="128">
        <f t="shared" si="21"/>
        <v>0</v>
      </c>
      <c r="F213" s="123">
        <f t="shared" si="26"/>
        <v>0</v>
      </c>
      <c r="G213" s="128">
        <f t="shared" si="27"/>
        <v>0</v>
      </c>
      <c r="H213" s="127">
        <f t="shared" si="22"/>
        <v>0</v>
      </c>
      <c r="I213" s="130">
        <f t="shared" si="23"/>
        <v>0</v>
      </c>
      <c r="J213" s="133">
        <f t="shared" si="24"/>
        <v>0</v>
      </c>
      <c r="K213" s="134">
        <v>0</v>
      </c>
      <c r="L213" s="129">
        <f t="shared" si="25"/>
        <v>0</v>
      </c>
    </row>
    <row r="214" spans="1:12">
      <c r="A214" s="122">
        <v>207</v>
      </c>
      <c r="D214" s="130">
        <v>0</v>
      </c>
      <c r="E214" s="128">
        <f t="shared" si="21"/>
        <v>0</v>
      </c>
      <c r="F214" s="123">
        <f t="shared" si="26"/>
        <v>0</v>
      </c>
      <c r="G214" s="128">
        <f t="shared" si="27"/>
        <v>0</v>
      </c>
      <c r="H214" s="127">
        <f t="shared" si="22"/>
        <v>0</v>
      </c>
      <c r="I214" s="130">
        <f t="shared" si="23"/>
        <v>0</v>
      </c>
      <c r="J214" s="133">
        <f t="shared" si="24"/>
        <v>0</v>
      </c>
      <c r="K214" s="134">
        <v>0</v>
      </c>
      <c r="L214" s="129">
        <f t="shared" si="25"/>
        <v>0</v>
      </c>
    </row>
    <row r="215" spans="1:12">
      <c r="A215" s="122">
        <v>208</v>
      </c>
      <c r="D215" s="130">
        <v>0</v>
      </c>
      <c r="E215" s="128">
        <f t="shared" si="21"/>
        <v>0</v>
      </c>
      <c r="F215" s="123">
        <f t="shared" si="26"/>
        <v>0</v>
      </c>
      <c r="G215" s="128">
        <f t="shared" si="27"/>
        <v>0</v>
      </c>
      <c r="H215" s="127">
        <f t="shared" si="22"/>
        <v>0</v>
      </c>
      <c r="I215" s="130">
        <f t="shared" si="23"/>
        <v>0</v>
      </c>
      <c r="J215" s="133">
        <f t="shared" si="24"/>
        <v>0</v>
      </c>
      <c r="K215" s="134">
        <v>0</v>
      </c>
      <c r="L215" s="129">
        <f t="shared" si="25"/>
        <v>0</v>
      </c>
    </row>
    <row r="216" spans="1:12">
      <c r="A216" s="122">
        <v>209</v>
      </c>
      <c r="D216" s="130">
        <v>0</v>
      </c>
      <c r="E216" s="128">
        <f t="shared" si="21"/>
        <v>0</v>
      </c>
      <c r="F216" s="123">
        <f t="shared" si="26"/>
        <v>0</v>
      </c>
      <c r="G216" s="128">
        <f t="shared" si="27"/>
        <v>0</v>
      </c>
      <c r="H216" s="127">
        <f t="shared" si="22"/>
        <v>0</v>
      </c>
      <c r="I216" s="130">
        <f t="shared" si="23"/>
        <v>0</v>
      </c>
      <c r="J216" s="133">
        <f t="shared" si="24"/>
        <v>0</v>
      </c>
      <c r="K216" s="134">
        <v>0</v>
      </c>
      <c r="L216" s="129">
        <f t="shared" si="25"/>
        <v>0</v>
      </c>
    </row>
    <row r="217" spans="1:12">
      <c r="A217" s="122">
        <v>210</v>
      </c>
      <c r="D217" s="130">
        <v>0</v>
      </c>
      <c r="E217" s="128">
        <f t="shared" si="21"/>
        <v>0</v>
      </c>
      <c r="F217" s="123">
        <f t="shared" si="26"/>
        <v>0</v>
      </c>
      <c r="G217" s="128">
        <f t="shared" si="27"/>
        <v>0</v>
      </c>
      <c r="H217" s="127">
        <f t="shared" si="22"/>
        <v>0</v>
      </c>
      <c r="I217" s="130">
        <f t="shared" si="23"/>
        <v>0</v>
      </c>
      <c r="J217" s="133">
        <f t="shared" si="24"/>
        <v>0</v>
      </c>
      <c r="K217" s="134">
        <v>0</v>
      </c>
      <c r="L217" s="129">
        <f t="shared" si="25"/>
        <v>0</v>
      </c>
    </row>
    <row r="218" spans="1:12">
      <c r="A218" s="122">
        <v>211</v>
      </c>
      <c r="D218" s="130">
        <v>0</v>
      </c>
      <c r="E218" s="128">
        <f t="shared" si="21"/>
        <v>0</v>
      </c>
      <c r="F218" s="123">
        <f t="shared" si="26"/>
        <v>0</v>
      </c>
      <c r="G218" s="128">
        <f t="shared" si="27"/>
        <v>0</v>
      </c>
      <c r="H218" s="127">
        <f t="shared" si="22"/>
        <v>0</v>
      </c>
      <c r="I218" s="130">
        <f t="shared" si="23"/>
        <v>0</v>
      </c>
      <c r="J218" s="133">
        <f t="shared" si="24"/>
        <v>0</v>
      </c>
      <c r="K218" s="134">
        <v>0</v>
      </c>
      <c r="L218" s="129">
        <f t="shared" si="25"/>
        <v>0</v>
      </c>
    </row>
    <row r="219" spans="1:12">
      <c r="A219" s="122">
        <v>212</v>
      </c>
      <c r="D219" s="130">
        <v>0</v>
      </c>
      <c r="E219" s="128">
        <f t="shared" si="21"/>
        <v>0</v>
      </c>
      <c r="F219" s="123">
        <f t="shared" si="26"/>
        <v>0</v>
      </c>
      <c r="G219" s="128">
        <f t="shared" si="27"/>
        <v>0</v>
      </c>
      <c r="H219" s="127">
        <f t="shared" si="22"/>
        <v>0</v>
      </c>
      <c r="I219" s="130">
        <f t="shared" si="23"/>
        <v>0</v>
      </c>
      <c r="J219" s="133">
        <f t="shared" si="24"/>
        <v>0</v>
      </c>
      <c r="K219" s="134">
        <v>0</v>
      </c>
      <c r="L219" s="129">
        <f t="shared" si="25"/>
        <v>0</v>
      </c>
    </row>
    <row r="220" spans="1:12">
      <c r="A220" s="122">
        <v>213</v>
      </c>
      <c r="D220" s="130">
        <v>0</v>
      </c>
      <c r="E220" s="128">
        <f t="shared" si="21"/>
        <v>0</v>
      </c>
      <c r="F220" s="123">
        <f t="shared" si="26"/>
        <v>0</v>
      </c>
      <c r="G220" s="128">
        <f t="shared" si="27"/>
        <v>0</v>
      </c>
      <c r="H220" s="127">
        <f t="shared" si="22"/>
        <v>0</v>
      </c>
      <c r="I220" s="130">
        <f t="shared" si="23"/>
        <v>0</v>
      </c>
      <c r="J220" s="133">
        <f t="shared" si="24"/>
        <v>0</v>
      </c>
      <c r="K220" s="134">
        <v>0</v>
      </c>
      <c r="L220" s="129">
        <f t="shared" si="25"/>
        <v>0</v>
      </c>
    </row>
    <row r="221" spans="1:12">
      <c r="A221" s="122">
        <v>214</v>
      </c>
      <c r="D221" s="130">
        <v>0</v>
      </c>
      <c r="E221" s="128">
        <f t="shared" si="21"/>
        <v>0</v>
      </c>
      <c r="F221" s="123">
        <f t="shared" si="26"/>
        <v>0</v>
      </c>
      <c r="G221" s="128">
        <f t="shared" si="27"/>
        <v>0</v>
      </c>
      <c r="H221" s="127">
        <f t="shared" si="22"/>
        <v>0</v>
      </c>
      <c r="I221" s="130">
        <f t="shared" si="23"/>
        <v>0</v>
      </c>
      <c r="J221" s="133">
        <f t="shared" si="24"/>
        <v>0</v>
      </c>
      <c r="K221" s="134">
        <v>0</v>
      </c>
      <c r="L221" s="129">
        <f t="shared" si="25"/>
        <v>0</v>
      </c>
    </row>
    <row r="222" spans="1:12">
      <c r="A222" s="122">
        <v>215</v>
      </c>
      <c r="D222" s="130">
        <v>0</v>
      </c>
      <c r="E222" s="128">
        <f t="shared" si="21"/>
        <v>0</v>
      </c>
      <c r="F222" s="123">
        <f t="shared" si="26"/>
        <v>0</v>
      </c>
      <c r="G222" s="128">
        <f t="shared" si="27"/>
        <v>0</v>
      </c>
      <c r="H222" s="127">
        <f t="shared" si="22"/>
        <v>0</v>
      </c>
      <c r="I222" s="130">
        <f t="shared" si="23"/>
        <v>0</v>
      </c>
      <c r="J222" s="133">
        <f t="shared" si="24"/>
        <v>0</v>
      </c>
      <c r="K222" s="134">
        <v>0</v>
      </c>
      <c r="L222" s="129">
        <f t="shared" si="25"/>
        <v>0</v>
      </c>
    </row>
    <row r="223" spans="1:12">
      <c r="A223" s="122">
        <v>216</v>
      </c>
      <c r="D223" s="130">
        <v>0</v>
      </c>
      <c r="E223" s="128">
        <f t="shared" si="21"/>
        <v>0</v>
      </c>
      <c r="F223" s="123">
        <f t="shared" si="26"/>
        <v>0</v>
      </c>
      <c r="G223" s="128">
        <f t="shared" si="27"/>
        <v>0</v>
      </c>
      <c r="H223" s="127">
        <f t="shared" si="22"/>
        <v>0</v>
      </c>
      <c r="I223" s="130">
        <f t="shared" si="23"/>
        <v>0</v>
      </c>
      <c r="J223" s="133">
        <f t="shared" si="24"/>
        <v>0</v>
      </c>
      <c r="K223" s="134">
        <v>0</v>
      </c>
      <c r="L223" s="129">
        <f t="shared" si="25"/>
        <v>0</v>
      </c>
    </row>
    <row r="224" spans="1:12">
      <c r="A224" s="122">
        <v>217</v>
      </c>
      <c r="D224" s="130">
        <v>0</v>
      </c>
      <c r="E224" s="128">
        <f t="shared" si="21"/>
        <v>0</v>
      </c>
      <c r="F224" s="123">
        <f t="shared" si="26"/>
        <v>0</v>
      </c>
      <c r="G224" s="128">
        <f t="shared" si="27"/>
        <v>0</v>
      </c>
      <c r="H224" s="127">
        <f t="shared" si="22"/>
        <v>0</v>
      </c>
      <c r="I224" s="130">
        <f t="shared" si="23"/>
        <v>0</v>
      </c>
      <c r="J224" s="133">
        <f t="shared" si="24"/>
        <v>0</v>
      </c>
      <c r="K224" s="134">
        <v>0</v>
      </c>
      <c r="L224" s="129">
        <f t="shared" si="25"/>
        <v>0</v>
      </c>
    </row>
    <row r="225" spans="1:12">
      <c r="A225" s="122">
        <v>218</v>
      </c>
      <c r="D225" s="130">
        <v>0</v>
      </c>
      <c r="E225" s="128">
        <f t="shared" si="21"/>
        <v>0</v>
      </c>
      <c r="F225" s="123">
        <f t="shared" si="26"/>
        <v>0</v>
      </c>
      <c r="G225" s="128">
        <f t="shared" si="27"/>
        <v>0</v>
      </c>
      <c r="H225" s="127">
        <f t="shared" si="22"/>
        <v>0</v>
      </c>
      <c r="I225" s="130">
        <f t="shared" si="23"/>
        <v>0</v>
      </c>
      <c r="J225" s="133">
        <f t="shared" si="24"/>
        <v>0</v>
      </c>
      <c r="K225" s="134">
        <v>0</v>
      </c>
      <c r="L225" s="129">
        <f t="shared" si="25"/>
        <v>0</v>
      </c>
    </row>
    <row r="226" spans="1:12">
      <c r="A226" s="122">
        <v>219</v>
      </c>
      <c r="D226" s="130">
        <v>0</v>
      </c>
      <c r="E226" s="128">
        <f t="shared" si="21"/>
        <v>0</v>
      </c>
      <c r="F226" s="123">
        <f t="shared" si="26"/>
        <v>0</v>
      </c>
      <c r="G226" s="128">
        <f t="shared" si="27"/>
        <v>0</v>
      </c>
      <c r="H226" s="127">
        <f t="shared" si="22"/>
        <v>0</v>
      </c>
      <c r="I226" s="130">
        <f t="shared" si="23"/>
        <v>0</v>
      </c>
      <c r="J226" s="133">
        <f t="shared" si="24"/>
        <v>0</v>
      </c>
      <c r="K226" s="134">
        <v>0</v>
      </c>
      <c r="L226" s="129">
        <f t="shared" si="25"/>
        <v>0</v>
      </c>
    </row>
    <row r="227" spans="1:12">
      <c r="A227" s="122">
        <v>220</v>
      </c>
      <c r="D227" s="130">
        <v>0</v>
      </c>
      <c r="E227" s="128">
        <f t="shared" si="21"/>
        <v>0</v>
      </c>
      <c r="F227" s="123">
        <f t="shared" si="26"/>
        <v>0</v>
      </c>
      <c r="G227" s="128">
        <f t="shared" si="27"/>
        <v>0</v>
      </c>
      <c r="H227" s="127">
        <f t="shared" si="22"/>
        <v>0</v>
      </c>
      <c r="I227" s="130">
        <f t="shared" si="23"/>
        <v>0</v>
      </c>
      <c r="J227" s="133">
        <f t="shared" si="24"/>
        <v>0</v>
      </c>
      <c r="K227" s="134">
        <v>0</v>
      </c>
      <c r="L227" s="129">
        <f t="shared" si="25"/>
        <v>0</v>
      </c>
    </row>
    <row r="228" spans="1:12">
      <c r="A228" s="122">
        <v>221</v>
      </c>
      <c r="D228" s="130">
        <v>0</v>
      </c>
      <c r="E228" s="128">
        <f t="shared" si="21"/>
        <v>0</v>
      </c>
      <c r="F228" s="123">
        <f t="shared" si="26"/>
        <v>0</v>
      </c>
      <c r="G228" s="128">
        <f t="shared" si="27"/>
        <v>0</v>
      </c>
      <c r="H228" s="127">
        <f t="shared" si="22"/>
        <v>0</v>
      </c>
      <c r="I228" s="130">
        <f t="shared" si="23"/>
        <v>0</v>
      </c>
      <c r="J228" s="133">
        <f t="shared" si="24"/>
        <v>0</v>
      </c>
      <c r="K228" s="134">
        <v>0</v>
      </c>
      <c r="L228" s="129">
        <f t="shared" si="25"/>
        <v>0</v>
      </c>
    </row>
    <row r="229" spans="1:12">
      <c r="A229" s="122">
        <v>222</v>
      </c>
      <c r="D229" s="130">
        <v>0</v>
      </c>
      <c r="E229" s="128">
        <f t="shared" si="21"/>
        <v>0</v>
      </c>
      <c r="F229" s="123">
        <f t="shared" si="26"/>
        <v>0</v>
      </c>
      <c r="G229" s="128">
        <f t="shared" si="27"/>
        <v>0</v>
      </c>
      <c r="H229" s="127">
        <f t="shared" si="22"/>
        <v>0</v>
      </c>
      <c r="I229" s="130">
        <f t="shared" si="23"/>
        <v>0</v>
      </c>
      <c r="J229" s="133">
        <f t="shared" si="24"/>
        <v>0</v>
      </c>
      <c r="K229" s="134">
        <v>0</v>
      </c>
      <c r="L229" s="129">
        <f t="shared" si="25"/>
        <v>0</v>
      </c>
    </row>
    <row r="230" spans="1:12">
      <c r="A230" s="122">
        <v>223</v>
      </c>
      <c r="D230" s="130">
        <v>0</v>
      </c>
      <c r="E230" s="128">
        <f t="shared" si="21"/>
        <v>0</v>
      </c>
      <c r="F230" s="123">
        <f t="shared" si="26"/>
        <v>0</v>
      </c>
      <c r="G230" s="128">
        <f t="shared" si="27"/>
        <v>0</v>
      </c>
      <c r="H230" s="127">
        <f t="shared" si="22"/>
        <v>0</v>
      </c>
      <c r="I230" s="130">
        <f t="shared" si="23"/>
        <v>0</v>
      </c>
      <c r="J230" s="133">
        <f t="shared" si="24"/>
        <v>0</v>
      </c>
      <c r="K230" s="134">
        <v>0</v>
      </c>
      <c r="L230" s="129">
        <f t="shared" si="25"/>
        <v>0</v>
      </c>
    </row>
    <row r="231" spans="1:12">
      <c r="A231" s="122">
        <v>224</v>
      </c>
      <c r="D231" s="130">
        <v>0</v>
      </c>
      <c r="E231" s="128">
        <f t="shared" si="21"/>
        <v>0</v>
      </c>
      <c r="F231" s="123">
        <f t="shared" si="26"/>
        <v>0</v>
      </c>
      <c r="G231" s="128">
        <f t="shared" si="27"/>
        <v>0</v>
      </c>
      <c r="H231" s="127">
        <f t="shared" si="22"/>
        <v>0</v>
      </c>
      <c r="I231" s="130">
        <f t="shared" si="23"/>
        <v>0</v>
      </c>
      <c r="J231" s="133">
        <f t="shared" si="24"/>
        <v>0</v>
      </c>
      <c r="K231" s="134">
        <v>0</v>
      </c>
      <c r="L231" s="129">
        <f t="shared" si="25"/>
        <v>0</v>
      </c>
    </row>
    <row r="232" spans="1:12">
      <c r="A232" s="122">
        <v>225</v>
      </c>
      <c r="D232" s="130">
        <v>0</v>
      </c>
      <c r="E232" s="128">
        <f t="shared" si="21"/>
        <v>0</v>
      </c>
      <c r="F232" s="123">
        <f t="shared" si="26"/>
        <v>0</v>
      </c>
      <c r="G232" s="128">
        <f t="shared" si="27"/>
        <v>0</v>
      </c>
      <c r="H232" s="127">
        <f t="shared" si="22"/>
        <v>0</v>
      </c>
      <c r="I232" s="130">
        <f t="shared" si="23"/>
        <v>0</v>
      </c>
      <c r="J232" s="133">
        <f t="shared" si="24"/>
        <v>0</v>
      </c>
      <c r="K232" s="134">
        <v>0</v>
      </c>
      <c r="L232" s="129">
        <f t="shared" si="25"/>
        <v>0</v>
      </c>
    </row>
    <row r="233" spans="1:12">
      <c r="A233" s="122">
        <v>226</v>
      </c>
      <c r="D233" s="130">
        <v>0</v>
      </c>
      <c r="E233" s="128">
        <f t="shared" si="21"/>
        <v>0</v>
      </c>
      <c r="F233" s="123">
        <f t="shared" si="26"/>
        <v>0</v>
      </c>
      <c r="G233" s="128">
        <f t="shared" si="27"/>
        <v>0</v>
      </c>
      <c r="H233" s="127">
        <f t="shared" si="22"/>
        <v>0</v>
      </c>
      <c r="I233" s="130">
        <f t="shared" si="23"/>
        <v>0</v>
      </c>
      <c r="J233" s="133">
        <f t="shared" si="24"/>
        <v>0</v>
      </c>
      <c r="K233" s="134">
        <v>0</v>
      </c>
      <c r="L233" s="129">
        <f t="shared" si="25"/>
        <v>0</v>
      </c>
    </row>
    <row r="234" spans="1:12">
      <c r="A234" s="122">
        <v>227</v>
      </c>
      <c r="D234" s="130">
        <v>0</v>
      </c>
      <c r="E234" s="128">
        <f t="shared" si="21"/>
        <v>0</v>
      </c>
      <c r="F234" s="123">
        <f t="shared" si="26"/>
        <v>0</v>
      </c>
      <c r="G234" s="128">
        <f t="shared" si="27"/>
        <v>0</v>
      </c>
      <c r="H234" s="127">
        <f t="shared" si="22"/>
        <v>0</v>
      </c>
      <c r="I234" s="130">
        <f t="shared" si="23"/>
        <v>0</v>
      </c>
      <c r="J234" s="133">
        <f t="shared" si="24"/>
        <v>0</v>
      </c>
      <c r="K234" s="134">
        <v>0</v>
      </c>
      <c r="L234" s="129">
        <f t="shared" si="25"/>
        <v>0</v>
      </c>
    </row>
    <row r="235" spans="1:12">
      <c r="A235" s="122">
        <v>228</v>
      </c>
      <c r="D235" s="130">
        <v>0</v>
      </c>
      <c r="E235" s="128">
        <f t="shared" si="21"/>
        <v>0</v>
      </c>
      <c r="F235" s="123">
        <f t="shared" si="26"/>
        <v>0</v>
      </c>
      <c r="G235" s="128">
        <f t="shared" si="27"/>
        <v>0</v>
      </c>
      <c r="H235" s="127">
        <f t="shared" si="22"/>
        <v>0</v>
      </c>
      <c r="I235" s="130">
        <f t="shared" si="23"/>
        <v>0</v>
      </c>
      <c r="J235" s="133">
        <f t="shared" si="24"/>
        <v>0</v>
      </c>
      <c r="K235" s="134">
        <v>0</v>
      </c>
      <c r="L235" s="129">
        <f t="shared" si="25"/>
        <v>0</v>
      </c>
    </row>
    <row r="236" spans="1:12">
      <c r="A236" s="122">
        <v>229</v>
      </c>
      <c r="D236" s="130">
        <v>0</v>
      </c>
      <c r="E236" s="128">
        <f t="shared" si="21"/>
        <v>0</v>
      </c>
      <c r="F236" s="123">
        <f t="shared" si="26"/>
        <v>0</v>
      </c>
      <c r="G236" s="128">
        <f t="shared" si="27"/>
        <v>0</v>
      </c>
      <c r="H236" s="127">
        <f t="shared" si="22"/>
        <v>0</v>
      </c>
      <c r="I236" s="130">
        <f t="shared" si="23"/>
        <v>0</v>
      </c>
      <c r="J236" s="133">
        <f t="shared" si="24"/>
        <v>0</v>
      </c>
      <c r="K236" s="134">
        <v>0</v>
      </c>
      <c r="L236" s="129">
        <f t="shared" si="25"/>
        <v>0</v>
      </c>
    </row>
    <row r="237" spans="1:12">
      <c r="A237" s="122">
        <v>230</v>
      </c>
      <c r="D237" s="130">
        <v>0</v>
      </c>
      <c r="E237" s="128">
        <f t="shared" si="21"/>
        <v>0</v>
      </c>
      <c r="F237" s="123">
        <f t="shared" si="26"/>
        <v>0</v>
      </c>
      <c r="G237" s="128">
        <f t="shared" si="27"/>
        <v>0</v>
      </c>
      <c r="H237" s="127">
        <f t="shared" si="22"/>
        <v>0</v>
      </c>
      <c r="I237" s="130">
        <f t="shared" si="23"/>
        <v>0</v>
      </c>
      <c r="J237" s="133">
        <f t="shared" si="24"/>
        <v>0</v>
      </c>
      <c r="K237" s="134">
        <v>0</v>
      </c>
      <c r="L237" s="129">
        <f t="shared" si="25"/>
        <v>0</v>
      </c>
    </row>
    <row r="238" spans="1:12">
      <c r="A238" s="122">
        <v>231</v>
      </c>
      <c r="D238" s="130">
        <v>0</v>
      </c>
      <c r="E238" s="128">
        <f t="shared" si="21"/>
        <v>0</v>
      </c>
      <c r="F238" s="123">
        <f t="shared" si="26"/>
        <v>0</v>
      </c>
      <c r="G238" s="128">
        <f t="shared" si="27"/>
        <v>0</v>
      </c>
      <c r="H238" s="127">
        <f t="shared" si="22"/>
        <v>0</v>
      </c>
      <c r="I238" s="130">
        <f t="shared" si="23"/>
        <v>0</v>
      </c>
      <c r="J238" s="133">
        <f t="shared" si="24"/>
        <v>0</v>
      </c>
      <c r="K238" s="134">
        <v>0</v>
      </c>
      <c r="L238" s="129">
        <f t="shared" si="25"/>
        <v>0</v>
      </c>
    </row>
    <row r="239" spans="1:12">
      <c r="A239" s="122">
        <v>232</v>
      </c>
      <c r="D239" s="130">
        <v>0</v>
      </c>
      <c r="E239" s="128">
        <f t="shared" si="21"/>
        <v>0</v>
      </c>
      <c r="F239" s="123">
        <f t="shared" si="26"/>
        <v>0</v>
      </c>
      <c r="G239" s="128">
        <f t="shared" si="27"/>
        <v>0</v>
      </c>
      <c r="H239" s="127">
        <f t="shared" si="22"/>
        <v>0</v>
      </c>
      <c r="I239" s="130">
        <f t="shared" si="23"/>
        <v>0</v>
      </c>
      <c r="J239" s="133">
        <f t="shared" si="24"/>
        <v>0</v>
      </c>
      <c r="K239" s="134">
        <v>0</v>
      </c>
      <c r="L239" s="129">
        <f t="shared" si="25"/>
        <v>0</v>
      </c>
    </row>
    <row r="240" spans="1:12">
      <c r="A240" s="122">
        <v>233</v>
      </c>
      <c r="D240" s="130">
        <v>0</v>
      </c>
      <c r="E240" s="128">
        <f t="shared" si="21"/>
        <v>0</v>
      </c>
      <c r="F240" s="123">
        <f t="shared" si="26"/>
        <v>0</v>
      </c>
      <c r="G240" s="128">
        <f t="shared" si="27"/>
        <v>0</v>
      </c>
      <c r="H240" s="127">
        <f t="shared" si="22"/>
        <v>0</v>
      </c>
      <c r="I240" s="130">
        <f t="shared" si="23"/>
        <v>0</v>
      </c>
      <c r="J240" s="133">
        <f t="shared" si="24"/>
        <v>0</v>
      </c>
      <c r="K240" s="134">
        <v>0</v>
      </c>
      <c r="L240" s="129">
        <f t="shared" si="25"/>
        <v>0</v>
      </c>
    </row>
    <row r="241" spans="1:12">
      <c r="A241" s="122">
        <v>234</v>
      </c>
      <c r="D241" s="130">
        <v>0</v>
      </c>
      <c r="E241" s="128">
        <f t="shared" si="21"/>
        <v>0</v>
      </c>
      <c r="F241" s="123">
        <f t="shared" si="26"/>
        <v>0</v>
      </c>
      <c r="G241" s="128">
        <f t="shared" si="27"/>
        <v>0</v>
      </c>
      <c r="H241" s="127">
        <f t="shared" si="22"/>
        <v>0</v>
      </c>
      <c r="I241" s="130">
        <f t="shared" si="23"/>
        <v>0</v>
      </c>
      <c r="J241" s="133">
        <f t="shared" si="24"/>
        <v>0</v>
      </c>
      <c r="K241" s="134">
        <v>0</v>
      </c>
      <c r="L241" s="129">
        <f t="shared" si="25"/>
        <v>0</v>
      </c>
    </row>
    <row r="242" spans="1:12">
      <c r="A242" s="122">
        <v>235</v>
      </c>
      <c r="D242" s="130">
        <v>0</v>
      </c>
      <c r="E242" s="128">
        <f t="shared" si="21"/>
        <v>0</v>
      </c>
      <c r="F242" s="123">
        <f t="shared" si="26"/>
        <v>0</v>
      </c>
      <c r="G242" s="128">
        <f t="shared" si="27"/>
        <v>0</v>
      </c>
      <c r="H242" s="127">
        <f t="shared" si="22"/>
        <v>0</v>
      </c>
      <c r="I242" s="130">
        <f t="shared" si="23"/>
        <v>0</v>
      </c>
      <c r="J242" s="133">
        <f t="shared" si="24"/>
        <v>0</v>
      </c>
      <c r="K242" s="134">
        <v>0</v>
      </c>
      <c r="L242" s="129">
        <f t="shared" si="25"/>
        <v>0</v>
      </c>
    </row>
    <row r="243" spans="1:12">
      <c r="A243" s="122">
        <v>236</v>
      </c>
      <c r="D243" s="130">
        <v>0</v>
      </c>
      <c r="E243" s="128">
        <f t="shared" si="21"/>
        <v>0</v>
      </c>
      <c r="F243" s="123">
        <f t="shared" si="26"/>
        <v>0</v>
      </c>
      <c r="G243" s="128">
        <f t="shared" si="27"/>
        <v>0</v>
      </c>
      <c r="H243" s="127">
        <f t="shared" si="22"/>
        <v>0</v>
      </c>
      <c r="I243" s="130">
        <f t="shared" si="23"/>
        <v>0</v>
      </c>
      <c r="J243" s="133">
        <f t="shared" si="24"/>
        <v>0</v>
      </c>
      <c r="K243" s="134">
        <v>0</v>
      </c>
      <c r="L243" s="129">
        <f t="shared" si="25"/>
        <v>0</v>
      </c>
    </row>
    <row r="244" spans="1:12">
      <c r="A244" s="122">
        <v>237</v>
      </c>
      <c r="D244" s="130">
        <v>0</v>
      </c>
      <c r="E244" s="128">
        <f t="shared" si="21"/>
        <v>0</v>
      </c>
      <c r="F244" s="123">
        <f t="shared" si="26"/>
        <v>0</v>
      </c>
      <c r="G244" s="128">
        <f t="shared" si="27"/>
        <v>0</v>
      </c>
      <c r="H244" s="127">
        <f t="shared" si="22"/>
        <v>0</v>
      </c>
      <c r="I244" s="130">
        <f t="shared" si="23"/>
        <v>0</v>
      </c>
      <c r="J244" s="133">
        <f t="shared" si="24"/>
        <v>0</v>
      </c>
      <c r="K244" s="134">
        <v>0</v>
      </c>
      <c r="L244" s="129">
        <f t="shared" si="25"/>
        <v>0</v>
      </c>
    </row>
    <row r="245" spans="1:12">
      <c r="A245" s="122">
        <v>238</v>
      </c>
      <c r="D245" s="130">
        <v>0</v>
      </c>
      <c r="E245" s="128">
        <f t="shared" si="21"/>
        <v>0</v>
      </c>
      <c r="F245" s="123">
        <f t="shared" si="26"/>
        <v>0</v>
      </c>
      <c r="G245" s="128">
        <f t="shared" si="27"/>
        <v>0</v>
      </c>
      <c r="H245" s="127">
        <f t="shared" si="22"/>
        <v>0</v>
      </c>
      <c r="I245" s="130">
        <f t="shared" si="23"/>
        <v>0</v>
      </c>
      <c r="J245" s="133">
        <f t="shared" si="24"/>
        <v>0</v>
      </c>
      <c r="K245" s="134">
        <v>0</v>
      </c>
      <c r="L245" s="129">
        <f t="shared" si="25"/>
        <v>0</v>
      </c>
    </row>
    <row r="246" spans="1:12">
      <c r="A246" s="122">
        <v>239</v>
      </c>
      <c r="D246" s="130">
        <v>0</v>
      </c>
      <c r="E246" s="128">
        <f t="shared" si="21"/>
        <v>0</v>
      </c>
      <c r="F246" s="123">
        <f t="shared" si="26"/>
        <v>0</v>
      </c>
      <c r="G246" s="128">
        <f t="shared" si="27"/>
        <v>0</v>
      </c>
      <c r="H246" s="127">
        <f t="shared" si="22"/>
        <v>0</v>
      </c>
      <c r="I246" s="130">
        <f t="shared" si="23"/>
        <v>0</v>
      </c>
      <c r="J246" s="133">
        <f t="shared" si="24"/>
        <v>0</v>
      </c>
      <c r="K246" s="134">
        <v>0</v>
      </c>
      <c r="L246" s="129">
        <f t="shared" si="25"/>
        <v>0</v>
      </c>
    </row>
    <row r="247" spans="1:12">
      <c r="A247" s="122">
        <v>240</v>
      </c>
      <c r="D247" s="130">
        <v>0</v>
      </c>
      <c r="E247" s="128">
        <f t="shared" si="21"/>
        <v>0</v>
      </c>
      <c r="F247" s="123">
        <f t="shared" si="26"/>
        <v>0</v>
      </c>
      <c r="G247" s="128">
        <f t="shared" si="27"/>
        <v>0</v>
      </c>
      <c r="H247" s="127">
        <f t="shared" si="22"/>
        <v>0</v>
      </c>
      <c r="I247" s="130">
        <f t="shared" si="23"/>
        <v>0</v>
      </c>
      <c r="J247" s="133">
        <f t="shared" si="24"/>
        <v>0</v>
      </c>
      <c r="K247" s="134">
        <v>0</v>
      </c>
      <c r="L247" s="129">
        <f t="shared" si="25"/>
        <v>0</v>
      </c>
    </row>
    <row r="248" spans="1:12">
      <c r="A248" s="122">
        <v>241</v>
      </c>
      <c r="D248" s="130">
        <v>0</v>
      </c>
      <c r="E248" s="128">
        <f t="shared" si="21"/>
        <v>0</v>
      </c>
      <c r="F248" s="123">
        <f t="shared" si="26"/>
        <v>0</v>
      </c>
      <c r="G248" s="128">
        <f t="shared" si="27"/>
        <v>0</v>
      </c>
      <c r="H248" s="127">
        <f t="shared" si="22"/>
        <v>0</v>
      </c>
      <c r="I248" s="130">
        <f t="shared" si="23"/>
        <v>0</v>
      </c>
      <c r="J248" s="133">
        <f t="shared" si="24"/>
        <v>0</v>
      </c>
      <c r="K248" s="134">
        <v>0</v>
      </c>
      <c r="L248" s="129">
        <f t="shared" si="25"/>
        <v>0</v>
      </c>
    </row>
    <row r="249" spans="1:12">
      <c r="A249" s="122">
        <v>242</v>
      </c>
      <c r="D249" s="130">
        <v>0</v>
      </c>
      <c r="E249" s="128">
        <f t="shared" si="21"/>
        <v>0</v>
      </c>
      <c r="F249" s="123">
        <f t="shared" si="26"/>
        <v>0</v>
      </c>
      <c r="G249" s="128">
        <f t="shared" si="27"/>
        <v>0</v>
      </c>
      <c r="H249" s="127">
        <f t="shared" si="22"/>
        <v>0</v>
      </c>
      <c r="I249" s="130">
        <f t="shared" si="23"/>
        <v>0</v>
      </c>
      <c r="J249" s="133">
        <f t="shared" si="24"/>
        <v>0</v>
      </c>
      <c r="K249" s="134">
        <v>0</v>
      </c>
      <c r="L249" s="129">
        <f t="shared" si="25"/>
        <v>0</v>
      </c>
    </row>
    <row r="250" spans="1:12">
      <c r="A250" s="122">
        <v>243</v>
      </c>
      <c r="D250" s="130">
        <v>0</v>
      </c>
      <c r="E250" s="128">
        <f t="shared" si="21"/>
        <v>0</v>
      </c>
      <c r="F250" s="123">
        <f t="shared" si="26"/>
        <v>0</v>
      </c>
      <c r="G250" s="128">
        <f t="shared" si="27"/>
        <v>0</v>
      </c>
      <c r="H250" s="127">
        <f t="shared" si="22"/>
        <v>0</v>
      </c>
      <c r="I250" s="130">
        <f t="shared" si="23"/>
        <v>0</v>
      </c>
      <c r="J250" s="133">
        <f t="shared" si="24"/>
        <v>0</v>
      </c>
      <c r="K250" s="134">
        <v>0</v>
      </c>
      <c r="L250" s="129">
        <f t="shared" si="25"/>
        <v>0</v>
      </c>
    </row>
    <row r="251" spans="1:12">
      <c r="A251" s="122">
        <v>244</v>
      </c>
      <c r="D251" s="130">
        <v>0</v>
      </c>
      <c r="E251" s="128">
        <f t="shared" si="21"/>
        <v>0</v>
      </c>
      <c r="F251" s="123">
        <f t="shared" si="26"/>
        <v>0</v>
      </c>
      <c r="G251" s="128">
        <f t="shared" si="27"/>
        <v>0</v>
      </c>
      <c r="H251" s="127">
        <f t="shared" si="22"/>
        <v>0</v>
      </c>
      <c r="I251" s="130">
        <f t="shared" si="23"/>
        <v>0</v>
      </c>
      <c r="J251" s="133">
        <f t="shared" si="24"/>
        <v>0</v>
      </c>
      <c r="K251" s="134">
        <v>0</v>
      </c>
      <c r="L251" s="129">
        <f t="shared" si="25"/>
        <v>0</v>
      </c>
    </row>
    <row r="252" spans="1:12">
      <c r="A252" s="122">
        <v>245</v>
      </c>
      <c r="D252" s="130">
        <v>0</v>
      </c>
      <c r="E252" s="128">
        <f t="shared" si="21"/>
        <v>0</v>
      </c>
      <c r="F252" s="123">
        <f t="shared" si="26"/>
        <v>0</v>
      </c>
      <c r="G252" s="128">
        <f t="shared" si="27"/>
        <v>0</v>
      </c>
      <c r="H252" s="127">
        <f t="shared" si="22"/>
        <v>0</v>
      </c>
      <c r="I252" s="130">
        <f t="shared" si="23"/>
        <v>0</v>
      </c>
      <c r="J252" s="133">
        <f t="shared" si="24"/>
        <v>0</v>
      </c>
      <c r="K252" s="134">
        <v>0</v>
      </c>
      <c r="L252" s="129">
        <f t="shared" si="25"/>
        <v>0</v>
      </c>
    </row>
    <row r="253" spans="1:12">
      <c r="A253" s="122">
        <v>246</v>
      </c>
      <c r="D253" s="130">
        <v>0</v>
      </c>
      <c r="E253" s="128">
        <f t="shared" si="21"/>
        <v>0</v>
      </c>
      <c r="F253" s="123">
        <f t="shared" si="26"/>
        <v>0</v>
      </c>
      <c r="G253" s="128">
        <f t="shared" si="27"/>
        <v>0</v>
      </c>
      <c r="H253" s="127">
        <f t="shared" si="22"/>
        <v>0</v>
      </c>
      <c r="I253" s="130">
        <f t="shared" si="23"/>
        <v>0</v>
      </c>
      <c r="J253" s="133">
        <f t="shared" si="24"/>
        <v>0</v>
      </c>
      <c r="K253" s="134">
        <v>0</v>
      </c>
      <c r="L253" s="129">
        <f t="shared" si="25"/>
        <v>0</v>
      </c>
    </row>
    <row r="254" spans="1:12">
      <c r="A254" s="122">
        <v>247</v>
      </c>
      <c r="D254" s="130">
        <v>0</v>
      </c>
      <c r="E254" s="128">
        <f t="shared" si="21"/>
        <v>0</v>
      </c>
      <c r="F254" s="123">
        <f t="shared" si="26"/>
        <v>0</v>
      </c>
      <c r="G254" s="128">
        <f t="shared" si="27"/>
        <v>0</v>
      </c>
      <c r="H254" s="127">
        <f t="shared" si="22"/>
        <v>0</v>
      </c>
      <c r="I254" s="130">
        <f t="shared" si="23"/>
        <v>0</v>
      </c>
      <c r="J254" s="133">
        <f t="shared" si="24"/>
        <v>0</v>
      </c>
      <c r="K254" s="134">
        <v>0</v>
      </c>
      <c r="L254" s="129">
        <f t="shared" si="25"/>
        <v>0</v>
      </c>
    </row>
    <row r="255" spans="1:12">
      <c r="A255" s="122">
        <v>248</v>
      </c>
      <c r="D255" s="130">
        <v>0</v>
      </c>
      <c r="E255" s="128">
        <f t="shared" si="21"/>
        <v>0</v>
      </c>
      <c r="F255" s="123">
        <f t="shared" si="26"/>
        <v>0</v>
      </c>
      <c r="G255" s="128">
        <f t="shared" si="27"/>
        <v>0</v>
      </c>
      <c r="H255" s="127">
        <f t="shared" si="22"/>
        <v>0</v>
      </c>
      <c r="I255" s="130">
        <f t="shared" si="23"/>
        <v>0</v>
      </c>
      <c r="J255" s="133">
        <f t="shared" si="24"/>
        <v>0</v>
      </c>
      <c r="K255" s="134">
        <v>0</v>
      </c>
      <c r="L255" s="129">
        <f t="shared" si="25"/>
        <v>0</v>
      </c>
    </row>
    <row r="256" spans="1:12">
      <c r="A256" s="122">
        <v>249</v>
      </c>
      <c r="D256" s="130">
        <v>0</v>
      </c>
      <c r="E256" s="128">
        <f t="shared" si="21"/>
        <v>0</v>
      </c>
      <c r="F256" s="123">
        <f t="shared" si="26"/>
        <v>0</v>
      </c>
      <c r="G256" s="128">
        <f t="shared" si="27"/>
        <v>0</v>
      </c>
      <c r="H256" s="127">
        <f t="shared" si="22"/>
        <v>0</v>
      </c>
      <c r="I256" s="130">
        <f t="shared" si="23"/>
        <v>0</v>
      </c>
      <c r="J256" s="133">
        <f t="shared" si="24"/>
        <v>0</v>
      </c>
      <c r="K256" s="134">
        <v>0</v>
      </c>
      <c r="L256" s="129">
        <f t="shared" si="25"/>
        <v>0</v>
      </c>
    </row>
    <row r="257" spans="1:12">
      <c r="A257" s="122">
        <v>250</v>
      </c>
      <c r="D257" s="130">
        <v>0</v>
      </c>
      <c r="E257" s="128">
        <f t="shared" si="21"/>
        <v>0</v>
      </c>
      <c r="F257" s="123">
        <f t="shared" si="26"/>
        <v>0</v>
      </c>
      <c r="G257" s="128">
        <f t="shared" si="27"/>
        <v>0</v>
      </c>
      <c r="H257" s="127">
        <f t="shared" si="22"/>
        <v>0</v>
      </c>
      <c r="I257" s="130">
        <f t="shared" si="23"/>
        <v>0</v>
      </c>
      <c r="J257" s="133">
        <f t="shared" si="24"/>
        <v>0</v>
      </c>
      <c r="K257" s="134">
        <v>0</v>
      </c>
      <c r="L257" s="129">
        <f t="shared" si="25"/>
        <v>0</v>
      </c>
    </row>
    <row r="258" spans="1:12">
      <c r="A258" s="122">
        <v>251</v>
      </c>
      <c r="D258" s="130">
        <v>0</v>
      </c>
      <c r="E258" s="128">
        <f t="shared" si="21"/>
        <v>0</v>
      </c>
      <c r="F258" s="123">
        <f t="shared" si="26"/>
        <v>0</v>
      </c>
      <c r="G258" s="128">
        <f t="shared" si="27"/>
        <v>0</v>
      </c>
      <c r="H258" s="127">
        <f t="shared" si="22"/>
        <v>0</v>
      </c>
      <c r="I258" s="130">
        <f t="shared" si="23"/>
        <v>0</v>
      </c>
      <c r="J258" s="133">
        <f t="shared" si="24"/>
        <v>0</v>
      </c>
      <c r="K258" s="134">
        <v>0</v>
      </c>
      <c r="L258" s="129">
        <f t="shared" si="25"/>
        <v>0</v>
      </c>
    </row>
    <row r="259" spans="1:12">
      <c r="A259" s="122">
        <v>252</v>
      </c>
      <c r="D259" s="130">
        <v>0</v>
      </c>
      <c r="E259" s="128">
        <f t="shared" si="21"/>
        <v>0</v>
      </c>
      <c r="F259" s="123">
        <f t="shared" si="26"/>
        <v>0</v>
      </c>
      <c r="G259" s="128">
        <f t="shared" si="27"/>
        <v>0</v>
      </c>
      <c r="H259" s="127">
        <f t="shared" si="22"/>
        <v>0</v>
      </c>
      <c r="I259" s="130">
        <f t="shared" si="23"/>
        <v>0</v>
      </c>
      <c r="J259" s="133">
        <f t="shared" si="24"/>
        <v>0</v>
      </c>
      <c r="K259" s="134">
        <v>0</v>
      </c>
      <c r="L259" s="129">
        <f t="shared" si="25"/>
        <v>0</v>
      </c>
    </row>
    <row r="260" spans="1:12">
      <c r="A260" s="122">
        <v>253</v>
      </c>
      <c r="D260" s="130">
        <v>0</v>
      </c>
      <c r="E260" s="128">
        <f t="shared" si="21"/>
        <v>0</v>
      </c>
      <c r="F260" s="123">
        <f t="shared" si="26"/>
        <v>0</v>
      </c>
      <c r="G260" s="128">
        <f t="shared" si="27"/>
        <v>0</v>
      </c>
      <c r="H260" s="127">
        <f t="shared" si="22"/>
        <v>0</v>
      </c>
      <c r="I260" s="130">
        <f t="shared" si="23"/>
        <v>0</v>
      </c>
      <c r="J260" s="133">
        <f t="shared" si="24"/>
        <v>0</v>
      </c>
      <c r="K260" s="134">
        <v>0</v>
      </c>
      <c r="L260" s="129">
        <f t="shared" si="25"/>
        <v>0</v>
      </c>
    </row>
    <row r="261" spans="1:12">
      <c r="A261" s="122">
        <v>254</v>
      </c>
      <c r="D261" s="130">
        <v>0</v>
      </c>
      <c r="E261" s="128">
        <f t="shared" si="21"/>
        <v>0</v>
      </c>
      <c r="F261" s="123">
        <f t="shared" si="26"/>
        <v>0</v>
      </c>
      <c r="G261" s="128">
        <f t="shared" si="27"/>
        <v>0</v>
      </c>
      <c r="H261" s="127">
        <f t="shared" si="22"/>
        <v>0</v>
      </c>
      <c r="I261" s="130">
        <f t="shared" si="23"/>
        <v>0</v>
      </c>
      <c r="J261" s="133">
        <f t="shared" si="24"/>
        <v>0</v>
      </c>
      <c r="K261" s="134">
        <v>0</v>
      </c>
      <c r="L261" s="129">
        <f t="shared" si="25"/>
        <v>0</v>
      </c>
    </row>
    <row r="262" spans="1:12">
      <c r="A262" s="122">
        <v>255</v>
      </c>
      <c r="D262" s="130">
        <v>0</v>
      </c>
      <c r="E262" s="128">
        <f t="shared" si="21"/>
        <v>0</v>
      </c>
      <c r="F262" s="123">
        <f t="shared" si="26"/>
        <v>0</v>
      </c>
      <c r="G262" s="128">
        <f t="shared" si="27"/>
        <v>0</v>
      </c>
      <c r="H262" s="127">
        <f t="shared" si="22"/>
        <v>0</v>
      </c>
      <c r="I262" s="130">
        <f t="shared" si="23"/>
        <v>0</v>
      </c>
      <c r="J262" s="133">
        <f t="shared" si="24"/>
        <v>0</v>
      </c>
      <c r="K262" s="134">
        <v>0</v>
      </c>
      <c r="L262" s="129">
        <f t="shared" si="25"/>
        <v>0</v>
      </c>
    </row>
    <row r="263" spans="1:12">
      <c r="A263" s="122">
        <v>256</v>
      </c>
      <c r="D263" s="130">
        <v>0</v>
      </c>
      <c r="E263" s="128">
        <f t="shared" si="21"/>
        <v>0</v>
      </c>
      <c r="F263" s="123">
        <f t="shared" si="26"/>
        <v>0</v>
      </c>
      <c r="G263" s="128">
        <f t="shared" si="27"/>
        <v>0</v>
      </c>
      <c r="H263" s="127">
        <f t="shared" si="22"/>
        <v>0</v>
      </c>
      <c r="I263" s="130">
        <f t="shared" si="23"/>
        <v>0</v>
      </c>
      <c r="J263" s="133">
        <f t="shared" si="24"/>
        <v>0</v>
      </c>
      <c r="K263" s="134">
        <v>0</v>
      </c>
      <c r="L263" s="129">
        <f t="shared" si="25"/>
        <v>0</v>
      </c>
    </row>
    <row r="264" spans="1:12">
      <c r="A264" s="122">
        <v>257</v>
      </c>
      <c r="D264" s="130">
        <v>0</v>
      </c>
      <c r="E264" s="128">
        <f t="shared" ref="E264:E327" si="28">D264*0.08</f>
        <v>0</v>
      </c>
      <c r="F264" s="123">
        <f t="shared" si="26"/>
        <v>0</v>
      </c>
      <c r="G264" s="128">
        <f t="shared" si="27"/>
        <v>0</v>
      </c>
      <c r="H264" s="127">
        <f t="shared" ref="H264:H327" si="29">+D264-G264-E264</f>
        <v>0</v>
      </c>
      <c r="I264" s="130">
        <f t="shared" ref="I264:I327" si="30">IF(G264=0,(D264*0.01),IF(H264&lt;=0,0.01*D264,IF(AND(H264&gt;0,H264&lt;=300000),H264*7%,IF(AND(H264&gt;=300000,H264&lt;600000),21000+(H264-300000)*11%,IF(AND(H264&gt;=600000,H264&lt;1100000),54000+(H264-600000)*15%,IF(AND(H264&gt;=1100000,H264&lt;1600000),129000+(H264-1100000)*19%,IF(AND(H264&gt;=1600000,H264&lt;3200000),224000+(H264-1600000)*21%,560000+(H264-3200000)*24%)))))))</f>
        <v>0</v>
      </c>
      <c r="J264" s="133">
        <f t="shared" ref="J264:J327" si="31">I264/12</f>
        <v>0</v>
      </c>
      <c r="K264" s="134">
        <v>0</v>
      </c>
      <c r="L264" s="129">
        <f t="shared" ref="L264:L327" si="32">+J264*K264</f>
        <v>0</v>
      </c>
    </row>
    <row r="265" spans="1:12">
      <c r="A265" s="122">
        <v>258</v>
      </c>
      <c r="D265" s="130">
        <v>0</v>
      </c>
      <c r="E265" s="128">
        <f t="shared" si="28"/>
        <v>0</v>
      </c>
      <c r="F265" s="123">
        <f t="shared" ref="F265:F328" si="33">D265-E265</f>
        <v>0</v>
      </c>
      <c r="G265" s="128">
        <f t="shared" ref="G265:G328" si="34">IF(F265&lt;=300000,0,IF(F265&gt;=20000000,(F265*0.21),(F265*0.2)+200000))</f>
        <v>0</v>
      </c>
      <c r="H265" s="127">
        <f t="shared" si="29"/>
        <v>0</v>
      </c>
      <c r="I265" s="130">
        <f t="shared" si="30"/>
        <v>0</v>
      </c>
      <c r="J265" s="133">
        <f t="shared" si="31"/>
        <v>0</v>
      </c>
      <c r="K265" s="134">
        <v>0</v>
      </c>
      <c r="L265" s="129">
        <f t="shared" si="32"/>
        <v>0</v>
      </c>
    </row>
    <row r="266" spans="1:12">
      <c r="A266" s="122">
        <v>259</v>
      </c>
      <c r="D266" s="130">
        <v>0</v>
      </c>
      <c r="E266" s="128">
        <f t="shared" si="28"/>
        <v>0</v>
      </c>
      <c r="F266" s="123">
        <f t="shared" si="33"/>
        <v>0</v>
      </c>
      <c r="G266" s="128">
        <f t="shared" si="34"/>
        <v>0</v>
      </c>
      <c r="H266" s="127">
        <f t="shared" si="29"/>
        <v>0</v>
      </c>
      <c r="I266" s="130">
        <f t="shared" si="30"/>
        <v>0</v>
      </c>
      <c r="J266" s="133">
        <f t="shared" si="31"/>
        <v>0</v>
      </c>
      <c r="K266" s="134">
        <v>0</v>
      </c>
      <c r="L266" s="129">
        <f t="shared" si="32"/>
        <v>0</v>
      </c>
    </row>
    <row r="267" spans="1:12">
      <c r="A267" s="122">
        <v>260</v>
      </c>
      <c r="D267" s="130">
        <v>0</v>
      </c>
      <c r="E267" s="128">
        <f t="shared" si="28"/>
        <v>0</v>
      </c>
      <c r="F267" s="123">
        <f t="shared" si="33"/>
        <v>0</v>
      </c>
      <c r="G267" s="128">
        <f t="shared" si="34"/>
        <v>0</v>
      </c>
      <c r="H267" s="127">
        <f t="shared" si="29"/>
        <v>0</v>
      </c>
      <c r="I267" s="130">
        <f t="shared" si="30"/>
        <v>0</v>
      </c>
      <c r="J267" s="133">
        <f t="shared" si="31"/>
        <v>0</v>
      </c>
      <c r="K267" s="134">
        <v>0</v>
      </c>
      <c r="L267" s="129">
        <f t="shared" si="32"/>
        <v>0</v>
      </c>
    </row>
    <row r="268" spans="1:12">
      <c r="A268" s="122">
        <v>261</v>
      </c>
      <c r="D268" s="130">
        <v>0</v>
      </c>
      <c r="E268" s="128">
        <f t="shared" si="28"/>
        <v>0</v>
      </c>
      <c r="F268" s="123">
        <f t="shared" si="33"/>
        <v>0</v>
      </c>
      <c r="G268" s="128">
        <f t="shared" si="34"/>
        <v>0</v>
      </c>
      <c r="H268" s="127">
        <f t="shared" si="29"/>
        <v>0</v>
      </c>
      <c r="I268" s="130">
        <f t="shared" si="30"/>
        <v>0</v>
      </c>
      <c r="J268" s="133">
        <f t="shared" si="31"/>
        <v>0</v>
      </c>
      <c r="K268" s="134">
        <v>0</v>
      </c>
      <c r="L268" s="129">
        <f t="shared" si="32"/>
        <v>0</v>
      </c>
    </row>
    <row r="269" spans="1:12">
      <c r="A269" s="122">
        <v>262</v>
      </c>
      <c r="D269" s="130">
        <v>0</v>
      </c>
      <c r="E269" s="128">
        <f t="shared" si="28"/>
        <v>0</v>
      </c>
      <c r="F269" s="123">
        <f t="shared" si="33"/>
        <v>0</v>
      </c>
      <c r="G269" s="128">
        <f t="shared" si="34"/>
        <v>0</v>
      </c>
      <c r="H269" s="127">
        <f t="shared" si="29"/>
        <v>0</v>
      </c>
      <c r="I269" s="130">
        <f t="shared" si="30"/>
        <v>0</v>
      </c>
      <c r="J269" s="133">
        <f t="shared" si="31"/>
        <v>0</v>
      </c>
      <c r="K269" s="134">
        <v>0</v>
      </c>
      <c r="L269" s="129">
        <f t="shared" si="32"/>
        <v>0</v>
      </c>
    </row>
    <row r="270" spans="1:12">
      <c r="A270" s="122">
        <v>263</v>
      </c>
      <c r="D270" s="130">
        <v>0</v>
      </c>
      <c r="E270" s="128">
        <f t="shared" si="28"/>
        <v>0</v>
      </c>
      <c r="F270" s="123">
        <f t="shared" si="33"/>
        <v>0</v>
      </c>
      <c r="G270" s="128">
        <f t="shared" si="34"/>
        <v>0</v>
      </c>
      <c r="H270" s="127">
        <f t="shared" si="29"/>
        <v>0</v>
      </c>
      <c r="I270" s="130">
        <f t="shared" si="30"/>
        <v>0</v>
      </c>
      <c r="J270" s="133">
        <f t="shared" si="31"/>
        <v>0</v>
      </c>
      <c r="K270" s="134">
        <v>0</v>
      </c>
      <c r="L270" s="129">
        <f t="shared" si="32"/>
        <v>0</v>
      </c>
    </row>
    <row r="271" spans="1:12">
      <c r="A271" s="122">
        <v>264</v>
      </c>
      <c r="D271" s="130">
        <v>0</v>
      </c>
      <c r="E271" s="128">
        <f t="shared" si="28"/>
        <v>0</v>
      </c>
      <c r="F271" s="123">
        <f t="shared" si="33"/>
        <v>0</v>
      </c>
      <c r="G271" s="128">
        <f t="shared" si="34"/>
        <v>0</v>
      </c>
      <c r="H271" s="127">
        <f t="shared" si="29"/>
        <v>0</v>
      </c>
      <c r="I271" s="130">
        <f t="shared" si="30"/>
        <v>0</v>
      </c>
      <c r="J271" s="133">
        <f t="shared" si="31"/>
        <v>0</v>
      </c>
      <c r="K271" s="134">
        <v>0</v>
      </c>
      <c r="L271" s="129">
        <f t="shared" si="32"/>
        <v>0</v>
      </c>
    </row>
    <row r="272" spans="1:12">
      <c r="A272" s="122">
        <v>265</v>
      </c>
      <c r="D272" s="130">
        <v>0</v>
      </c>
      <c r="E272" s="128">
        <f t="shared" si="28"/>
        <v>0</v>
      </c>
      <c r="F272" s="123">
        <f t="shared" si="33"/>
        <v>0</v>
      </c>
      <c r="G272" s="128">
        <f t="shared" si="34"/>
        <v>0</v>
      </c>
      <c r="H272" s="127">
        <f t="shared" si="29"/>
        <v>0</v>
      </c>
      <c r="I272" s="130">
        <f t="shared" si="30"/>
        <v>0</v>
      </c>
      <c r="J272" s="133">
        <f t="shared" si="31"/>
        <v>0</v>
      </c>
      <c r="K272" s="134">
        <v>0</v>
      </c>
      <c r="L272" s="129">
        <f t="shared" si="32"/>
        <v>0</v>
      </c>
    </row>
    <row r="273" spans="1:12">
      <c r="A273" s="122">
        <v>266</v>
      </c>
      <c r="D273" s="130">
        <v>0</v>
      </c>
      <c r="E273" s="128">
        <f t="shared" si="28"/>
        <v>0</v>
      </c>
      <c r="F273" s="123">
        <f t="shared" si="33"/>
        <v>0</v>
      </c>
      <c r="G273" s="128">
        <f t="shared" si="34"/>
        <v>0</v>
      </c>
      <c r="H273" s="127">
        <f t="shared" si="29"/>
        <v>0</v>
      </c>
      <c r="I273" s="130">
        <f t="shared" si="30"/>
        <v>0</v>
      </c>
      <c r="J273" s="133">
        <f t="shared" si="31"/>
        <v>0</v>
      </c>
      <c r="K273" s="134">
        <v>0</v>
      </c>
      <c r="L273" s="129">
        <f t="shared" si="32"/>
        <v>0</v>
      </c>
    </row>
    <row r="274" spans="1:12">
      <c r="A274" s="122">
        <v>267</v>
      </c>
      <c r="D274" s="130">
        <v>0</v>
      </c>
      <c r="E274" s="128">
        <f t="shared" si="28"/>
        <v>0</v>
      </c>
      <c r="F274" s="123">
        <f t="shared" si="33"/>
        <v>0</v>
      </c>
      <c r="G274" s="128">
        <f t="shared" si="34"/>
        <v>0</v>
      </c>
      <c r="H274" s="127">
        <f t="shared" si="29"/>
        <v>0</v>
      </c>
      <c r="I274" s="130">
        <f t="shared" si="30"/>
        <v>0</v>
      </c>
      <c r="J274" s="133">
        <f t="shared" si="31"/>
        <v>0</v>
      </c>
      <c r="K274" s="134">
        <v>0</v>
      </c>
      <c r="L274" s="129">
        <f t="shared" si="32"/>
        <v>0</v>
      </c>
    </row>
    <row r="275" spans="1:12">
      <c r="A275" s="122">
        <v>268</v>
      </c>
      <c r="D275" s="130">
        <v>0</v>
      </c>
      <c r="E275" s="128">
        <f t="shared" si="28"/>
        <v>0</v>
      </c>
      <c r="F275" s="123">
        <f t="shared" si="33"/>
        <v>0</v>
      </c>
      <c r="G275" s="128">
        <f t="shared" si="34"/>
        <v>0</v>
      </c>
      <c r="H275" s="127">
        <f t="shared" si="29"/>
        <v>0</v>
      </c>
      <c r="I275" s="130">
        <f t="shared" si="30"/>
        <v>0</v>
      </c>
      <c r="J275" s="133">
        <f t="shared" si="31"/>
        <v>0</v>
      </c>
      <c r="K275" s="134">
        <v>0</v>
      </c>
      <c r="L275" s="129">
        <f t="shared" si="32"/>
        <v>0</v>
      </c>
    </row>
    <row r="276" spans="1:12">
      <c r="A276" s="122">
        <v>269</v>
      </c>
      <c r="D276" s="130">
        <v>0</v>
      </c>
      <c r="E276" s="128">
        <f t="shared" si="28"/>
        <v>0</v>
      </c>
      <c r="F276" s="123">
        <f t="shared" si="33"/>
        <v>0</v>
      </c>
      <c r="G276" s="128">
        <f t="shared" si="34"/>
        <v>0</v>
      </c>
      <c r="H276" s="127">
        <f t="shared" si="29"/>
        <v>0</v>
      </c>
      <c r="I276" s="130">
        <f t="shared" si="30"/>
        <v>0</v>
      </c>
      <c r="J276" s="133">
        <f t="shared" si="31"/>
        <v>0</v>
      </c>
      <c r="K276" s="134">
        <v>0</v>
      </c>
      <c r="L276" s="129">
        <f t="shared" si="32"/>
        <v>0</v>
      </c>
    </row>
    <row r="277" spans="1:12">
      <c r="A277" s="122">
        <v>270</v>
      </c>
      <c r="D277" s="130">
        <v>0</v>
      </c>
      <c r="E277" s="128">
        <f t="shared" si="28"/>
        <v>0</v>
      </c>
      <c r="F277" s="123">
        <f t="shared" si="33"/>
        <v>0</v>
      </c>
      <c r="G277" s="128">
        <f t="shared" si="34"/>
        <v>0</v>
      </c>
      <c r="H277" s="127">
        <f t="shared" si="29"/>
        <v>0</v>
      </c>
      <c r="I277" s="130">
        <f t="shared" si="30"/>
        <v>0</v>
      </c>
      <c r="J277" s="133">
        <f t="shared" si="31"/>
        <v>0</v>
      </c>
      <c r="K277" s="134">
        <v>0</v>
      </c>
      <c r="L277" s="129">
        <f t="shared" si="32"/>
        <v>0</v>
      </c>
    </row>
    <row r="278" spans="1:12">
      <c r="A278" s="122">
        <v>271</v>
      </c>
      <c r="D278" s="130">
        <v>0</v>
      </c>
      <c r="E278" s="128">
        <f t="shared" si="28"/>
        <v>0</v>
      </c>
      <c r="F278" s="123">
        <f t="shared" si="33"/>
        <v>0</v>
      </c>
      <c r="G278" s="128">
        <f t="shared" si="34"/>
        <v>0</v>
      </c>
      <c r="H278" s="127">
        <f t="shared" si="29"/>
        <v>0</v>
      </c>
      <c r="I278" s="130">
        <f t="shared" si="30"/>
        <v>0</v>
      </c>
      <c r="J278" s="133">
        <f t="shared" si="31"/>
        <v>0</v>
      </c>
      <c r="K278" s="134">
        <v>0</v>
      </c>
      <c r="L278" s="129">
        <f t="shared" si="32"/>
        <v>0</v>
      </c>
    </row>
    <row r="279" spans="1:12">
      <c r="A279" s="122">
        <v>272</v>
      </c>
      <c r="D279" s="130">
        <v>0</v>
      </c>
      <c r="E279" s="128">
        <f t="shared" si="28"/>
        <v>0</v>
      </c>
      <c r="F279" s="123">
        <f t="shared" si="33"/>
        <v>0</v>
      </c>
      <c r="G279" s="128">
        <f t="shared" si="34"/>
        <v>0</v>
      </c>
      <c r="H279" s="127">
        <f t="shared" si="29"/>
        <v>0</v>
      </c>
      <c r="I279" s="130">
        <f t="shared" si="30"/>
        <v>0</v>
      </c>
      <c r="J279" s="133">
        <f t="shared" si="31"/>
        <v>0</v>
      </c>
      <c r="K279" s="134">
        <v>0</v>
      </c>
      <c r="L279" s="129">
        <f t="shared" si="32"/>
        <v>0</v>
      </c>
    </row>
    <row r="280" spans="1:12">
      <c r="A280" s="122">
        <v>273</v>
      </c>
      <c r="D280" s="130">
        <v>0</v>
      </c>
      <c r="E280" s="128">
        <f t="shared" si="28"/>
        <v>0</v>
      </c>
      <c r="F280" s="123">
        <f t="shared" si="33"/>
        <v>0</v>
      </c>
      <c r="G280" s="128">
        <f t="shared" si="34"/>
        <v>0</v>
      </c>
      <c r="H280" s="127">
        <f t="shared" si="29"/>
        <v>0</v>
      </c>
      <c r="I280" s="130">
        <f t="shared" si="30"/>
        <v>0</v>
      </c>
      <c r="J280" s="133">
        <f t="shared" si="31"/>
        <v>0</v>
      </c>
      <c r="K280" s="134">
        <v>0</v>
      </c>
      <c r="L280" s="129">
        <f t="shared" si="32"/>
        <v>0</v>
      </c>
    </row>
    <row r="281" spans="1:12">
      <c r="A281" s="122">
        <v>274</v>
      </c>
      <c r="D281" s="130">
        <v>0</v>
      </c>
      <c r="E281" s="128">
        <f t="shared" si="28"/>
        <v>0</v>
      </c>
      <c r="F281" s="123">
        <f t="shared" si="33"/>
        <v>0</v>
      </c>
      <c r="G281" s="128">
        <f t="shared" si="34"/>
        <v>0</v>
      </c>
      <c r="H281" s="127">
        <f t="shared" si="29"/>
        <v>0</v>
      </c>
      <c r="I281" s="130">
        <f t="shared" si="30"/>
        <v>0</v>
      </c>
      <c r="J281" s="133">
        <f t="shared" si="31"/>
        <v>0</v>
      </c>
      <c r="K281" s="134">
        <v>0</v>
      </c>
      <c r="L281" s="129">
        <f t="shared" si="32"/>
        <v>0</v>
      </c>
    </row>
    <row r="282" spans="1:12">
      <c r="A282" s="122">
        <v>275</v>
      </c>
      <c r="D282" s="130">
        <v>0</v>
      </c>
      <c r="E282" s="128">
        <f t="shared" si="28"/>
        <v>0</v>
      </c>
      <c r="F282" s="123">
        <f t="shared" si="33"/>
        <v>0</v>
      </c>
      <c r="G282" s="128">
        <f t="shared" si="34"/>
        <v>0</v>
      </c>
      <c r="H282" s="127">
        <f t="shared" si="29"/>
        <v>0</v>
      </c>
      <c r="I282" s="130">
        <f t="shared" si="30"/>
        <v>0</v>
      </c>
      <c r="J282" s="133">
        <f t="shared" si="31"/>
        <v>0</v>
      </c>
      <c r="K282" s="134">
        <v>0</v>
      </c>
      <c r="L282" s="129">
        <f t="shared" si="32"/>
        <v>0</v>
      </c>
    </row>
    <row r="283" spans="1:12">
      <c r="A283" s="122">
        <v>276</v>
      </c>
      <c r="D283" s="130">
        <v>0</v>
      </c>
      <c r="E283" s="128">
        <f t="shared" si="28"/>
        <v>0</v>
      </c>
      <c r="F283" s="123">
        <f t="shared" si="33"/>
        <v>0</v>
      </c>
      <c r="G283" s="128">
        <f t="shared" si="34"/>
        <v>0</v>
      </c>
      <c r="H283" s="127">
        <f t="shared" si="29"/>
        <v>0</v>
      </c>
      <c r="I283" s="130">
        <f t="shared" si="30"/>
        <v>0</v>
      </c>
      <c r="J283" s="133">
        <f t="shared" si="31"/>
        <v>0</v>
      </c>
      <c r="K283" s="134">
        <v>0</v>
      </c>
      <c r="L283" s="129">
        <f t="shared" si="32"/>
        <v>0</v>
      </c>
    </row>
    <row r="284" spans="1:12">
      <c r="A284" s="122">
        <v>277</v>
      </c>
      <c r="D284" s="130">
        <v>0</v>
      </c>
      <c r="E284" s="128">
        <f t="shared" si="28"/>
        <v>0</v>
      </c>
      <c r="F284" s="123">
        <f t="shared" si="33"/>
        <v>0</v>
      </c>
      <c r="G284" s="128">
        <f t="shared" si="34"/>
        <v>0</v>
      </c>
      <c r="H284" s="127">
        <f t="shared" si="29"/>
        <v>0</v>
      </c>
      <c r="I284" s="130">
        <f t="shared" si="30"/>
        <v>0</v>
      </c>
      <c r="J284" s="133">
        <f t="shared" si="31"/>
        <v>0</v>
      </c>
      <c r="K284" s="134">
        <v>0</v>
      </c>
      <c r="L284" s="129">
        <f t="shared" si="32"/>
        <v>0</v>
      </c>
    </row>
    <row r="285" spans="1:12">
      <c r="A285" s="122">
        <v>278</v>
      </c>
      <c r="D285" s="130">
        <v>0</v>
      </c>
      <c r="E285" s="128">
        <f t="shared" si="28"/>
        <v>0</v>
      </c>
      <c r="F285" s="123">
        <f t="shared" si="33"/>
        <v>0</v>
      </c>
      <c r="G285" s="128">
        <f t="shared" si="34"/>
        <v>0</v>
      </c>
      <c r="H285" s="127">
        <f t="shared" si="29"/>
        <v>0</v>
      </c>
      <c r="I285" s="130">
        <f t="shared" si="30"/>
        <v>0</v>
      </c>
      <c r="J285" s="133">
        <f t="shared" si="31"/>
        <v>0</v>
      </c>
      <c r="K285" s="134">
        <v>0</v>
      </c>
      <c r="L285" s="129">
        <f t="shared" si="32"/>
        <v>0</v>
      </c>
    </row>
    <row r="286" spans="1:12">
      <c r="A286" s="122">
        <v>279</v>
      </c>
      <c r="D286" s="130">
        <v>0</v>
      </c>
      <c r="E286" s="128">
        <f t="shared" si="28"/>
        <v>0</v>
      </c>
      <c r="F286" s="123">
        <f t="shared" si="33"/>
        <v>0</v>
      </c>
      <c r="G286" s="128">
        <f t="shared" si="34"/>
        <v>0</v>
      </c>
      <c r="H286" s="127">
        <f t="shared" si="29"/>
        <v>0</v>
      </c>
      <c r="I286" s="130">
        <f t="shared" si="30"/>
        <v>0</v>
      </c>
      <c r="J286" s="133">
        <f t="shared" si="31"/>
        <v>0</v>
      </c>
      <c r="K286" s="134">
        <v>0</v>
      </c>
      <c r="L286" s="129">
        <f t="shared" si="32"/>
        <v>0</v>
      </c>
    </row>
    <row r="287" spans="1:12">
      <c r="A287" s="122">
        <v>280</v>
      </c>
      <c r="D287" s="130">
        <v>0</v>
      </c>
      <c r="E287" s="128">
        <f t="shared" si="28"/>
        <v>0</v>
      </c>
      <c r="F287" s="123">
        <f t="shared" si="33"/>
        <v>0</v>
      </c>
      <c r="G287" s="128">
        <f t="shared" si="34"/>
        <v>0</v>
      </c>
      <c r="H287" s="127">
        <f t="shared" si="29"/>
        <v>0</v>
      </c>
      <c r="I287" s="130">
        <f t="shared" si="30"/>
        <v>0</v>
      </c>
      <c r="J287" s="133">
        <f t="shared" si="31"/>
        <v>0</v>
      </c>
      <c r="K287" s="134">
        <v>0</v>
      </c>
      <c r="L287" s="129">
        <f t="shared" si="32"/>
        <v>0</v>
      </c>
    </row>
    <row r="288" spans="1:12">
      <c r="A288" s="122">
        <v>281</v>
      </c>
      <c r="D288" s="130">
        <v>0</v>
      </c>
      <c r="E288" s="128">
        <f t="shared" si="28"/>
        <v>0</v>
      </c>
      <c r="F288" s="123">
        <f t="shared" si="33"/>
        <v>0</v>
      </c>
      <c r="G288" s="128">
        <f t="shared" si="34"/>
        <v>0</v>
      </c>
      <c r="H288" s="127">
        <f t="shared" si="29"/>
        <v>0</v>
      </c>
      <c r="I288" s="130">
        <f t="shared" si="30"/>
        <v>0</v>
      </c>
      <c r="J288" s="133">
        <f t="shared" si="31"/>
        <v>0</v>
      </c>
      <c r="K288" s="134">
        <v>0</v>
      </c>
      <c r="L288" s="129">
        <f t="shared" si="32"/>
        <v>0</v>
      </c>
    </row>
    <row r="289" spans="1:12">
      <c r="A289" s="122">
        <v>282</v>
      </c>
      <c r="D289" s="130">
        <v>0</v>
      </c>
      <c r="E289" s="128">
        <f t="shared" si="28"/>
        <v>0</v>
      </c>
      <c r="F289" s="123">
        <f t="shared" si="33"/>
        <v>0</v>
      </c>
      <c r="G289" s="128">
        <f t="shared" si="34"/>
        <v>0</v>
      </c>
      <c r="H289" s="127">
        <f t="shared" si="29"/>
        <v>0</v>
      </c>
      <c r="I289" s="130">
        <f t="shared" si="30"/>
        <v>0</v>
      </c>
      <c r="J289" s="133">
        <f t="shared" si="31"/>
        <v>0</v>
      </c>
      <c r="K289" s="134">
        <v>0</v>
      </c>
      <c r="L289" s="129">
        <f t="shared" si="32"/>
        <v>0</v>
      </c>
    </row>
    <row r="290" spans="1:12">
      <c r="A290" s="122">
        <v>283</v>
      </c>
      <c r="D290" s="130">
        <v>0</v>
      </c>
      <c r="E290" s="128">
        <f t="shared" si="28"/>
        <v>0</v>
      </c>
      <c r="F290" s="123">
        <f t="shared" si="33"/>
        <v>0</v>
      </c>
      <c r="G290" s="128">
        <f t="shared" si="34"/>
        <v>0</v>
      </c>
      <c r="H290" s="127">
        <f t="shared" si="29"/>
        <v>0</v>
      </c>
      <c r="I290" s="130">
        <f t="shared" si="30"/>
        <v>0</v>
      </c>
      <c r="J290" s="133">
        <f t="shared" si="31"/>
        <v>0</v>
      </c>
      <c r="K290" s="134">
        <v>0</v>
      </c>
      <c r="L290" s="129">
        <f t="shared" si="32"/>
        <v>0</v>
      </c>
    </row>
    <row r="291" spans="1:12">
      <c r="A291" s="122">
        <v>284</v>
      </c>
      <c r="D291" s="130">
        <v>0</v>
      </c>
      <c r="E291" s="128">
        <f t="shared" si="28"/>
        <v>0</v>
      </c>
      <c r="F291" s="123">
        <f t="shared" si="33"/>
        <v>0</v>
      </c>
      <c r="G291" s="128">
        <f t="shared" si="34"/>
        <v>0</v>
      </c>
      <c r="H291" s="127">
        <f t="shared" si="29"/>
        <v>0</v>
      </c>
      <c r="I291" s="130">
        <f t="shared" si="30"/>
        <v>0</v>
      </c>
      <c r="J291" s="133">
        <f t="shared" si="31"/>
        <v>0</v>
      </c>
      <c r="K291" s="134">
        <v>0</v>
      </c>
      <c r="L291" s="129">
        <f t="shared" si="32"/>
        <v>0</v>
      </c>
    </row>
    <row r="292" spans="1:12">
      <c r="A292" s="122">
        <v>285</v>
      </c>
      <c r="D292" s="130">
        <v>0</v>
      </c>
      <c r="E292" s="128">
        <f t="shared" si="28"/>
        <v>0</v>
      </c>
      <c r="F292" s="123">
        <f t="shared" si="33"/>
        <v>0</v>
      </c>
      <c r="G292" s="128">
        <f t="shared" si="34"/>
        <v>0</v>
      </c>
      <c r="H292" s="127">
        <f t="shared" si="29"/>
        <v>0</v>
      </c>
      <c r="I292" s="130">
        <f t="shared" si="30"/>
        <v>0</v>
      </c>
      <c r="J292" s="133">
        <f t="shared" si="31"/>
        <v>0</v>
      </c>
      <c r="K292" s="134">
        <v>0</v>
      </c>
      <c r="L292" s="129">
        <f t="shared" si="32"/>
        <v>0</v>
      </c>
    </row>
    <row r="293" spans="1:12">
      <c r="A293" s="122">
        <v>286</v>
      </c>
      <c r="D293" s="130">
        <v>0</v>
      </c>
      <c r="E293" s="128">
        <f t="shared" si="28"/>
        <v>0</v>
      </c>
      <c r="F293" s="123">
        <f t="shared" si="33"/>
        <v>0</v>
      </c>
      <c r="G293" s="128">
        <f t="shared" si="34"/>
        <v>0</v>
      </c>
      <c r="H293" s="127">
        <f t="shared" si="29"/>
        <v>0</v>
      </c>
      <c r="I293" s="130">
        <f t="shared" si="30"/>
        <v>0</v>
      </c>
      <c r="J293" s="133">
        <f t="shared" si="31"/>
        <v>0</v>
      </c>
      <c r="K293" s="134">
        <v>0</v>
      </c>
      <c r="L293" s="129">
        <f t="shared" si="32"/>
        <v>0</v>
      </c>
    </row>
    <row r="294" spans="1:12">
      <c r="A294" s="122">
        <v>287</v>
      </c>
      <c r="D294" s="130">
        <v>0</v>
      </c>
      <c r="E294" s="128">
        <f t="shared" si="28"/>
        <v>0</v>
      </c>
      <c r="F294" s="123">
        <f t="shared" si="33"/>
        <v>0</v>
      </c>
      <c r="G294" s="128">
        <f t="shared" si="34"/>
        <v>0</v>
      </c>
      <c r="H294" s="127">
        <f t="shared" si="29"/>
        <v>0</v>
      </c>
      <c r="I294" s="130">
        <f t="shared" si="30"/>
        <v>0</v>
      </c>
      <c r="J294" s="133">
        <f t="shared" si="31"/>
        <v>0</v>
      </c>
      <c r="K294" s="134">
        <v>0</v>
      </c>
      <c r="L294" s="129">
        <f t="shared" si="32"/>
        <v>0</v>
      </c>
    </row>
    <row r="295" spans="1:12">
      <c r="A295" s="122">
        <v>288</v>
      </c>
      <c r="D295" s="130">
        <v>0</v>
      </c>
      <c r="E295" s="128">
        <f t="shared" si="28"/>
        <v>0</v>
      </c>
      <c r="F295" s="123">
        <f t="shared" si="33"/>
        <v>0</v>
      </c>
      <c r="G295" s="128">
        <f t="shared" si="34"/>
        <v>0</v>
      </c>
      <c r="H295" s="127">
        <f t="shared" si="29"/>
        <v>0</v>
      </c>
      <c r="I295" s="130">
        <f t="shared" si="30"/>
        <v>0</v>
      </c>
      <c r="J295" s="133">
        <f t="shared" si="31"/>
        <v>0</v>
      </c>
      <c r="K295" s="134">
        <v>0</v>
      </c>
      <c r="L295" s="129">
        <f t="shared" si="32"/>
        <v>0</v>
      </c>
    </row>
    <row r="296" spans="1:12">
      <c r="A296" s="122">
        <v>289</v>
      </c>
      <c r="D296" s="130">
        <v>0</v>
      </c>
      <c r="E296" s="128">
        <f t="shared" si="28"/>
        <v>0</v>
      </c>
      <c r="F296" s="123">
        <f t="shared" si="33"/>
        <v>0</v>
      </c>
      <c r="G296" s="128">
        <f t="shared" si="34"/>
        <v>0</v>
      </c>
      <c r="H296" s="127">
        <f t="shared" si="29"/>
        <v>0</v>
      </c>
      <c r="I296" s="130">
        <f t="shared" si="30"/>
        <v>0</v>
      </c>
      <c r="J296" s="133">
        <f t="shared" si="31"/>
        <v>0</v>
      </c>
      <c r="K296" s="134">
        <v>0</v>
      </c>
      <c r="L296" s="129">
        <f t="shared" si="32"/>
        <v>0</v>
      </c>
    </row>
    <row r="297" spans="1:12">
      <c r="A297" s="122">
        <v>290</v>
      </c>
      <c r="D297" s="130">
        <v>0</v>
      </c>
      <c r="E297" s="128">
        <f t="shared" si="28"/>
        <v>0</v>
      </c>
      <c r="F297" s="123">
        <f t="shared" si="33"/>
        <v>0</v>
      </c>
      <c r="G297" s="128">
        <f t="shared" si="34"/>
        <v>0</v>
      </c>
      <c r="H297" s="127">
        <f t="shared" si="29"/>
        <v>0</v>
      </c>
      <c r="I297" s="130">
        <f t="shared" si="30"/>
        <v>0</v>
      </c>
      <c r="J297" s="133">
        <f t="shared" si="31"/>
        <v>0</v>
      </c>
      <c r="K297" s="134">
        <v>0</v>
      </c>
      <c r="L297" s="129">
        <f t="shared" si="32"/>
        <v>0</v>
      </c>
    </row>
    <row r="298" spans="1:12">
      <c r="A298" s="122">
        <v>291</v>
      </c>
      <c r="D298" s="130">
        <v>0</v>
      </c>
      <c r="E298" s="128">
        <f t="shared" si="28"/>
        <v>0</v>
      </c>
      <c r="F298" s="123">
        <f t="shared" si="33"/>
        <v>0</v>
      </c>
      <c r="G298" s="128">
        <f t="shared" si="34"/>
        <v>0</v>
      </c>
      <c r="H298" s="127">
        <f t="shared" si="29"/>
        <v>0</v>
      </c>
      <c r="I298" s="130">
        <f t="shared" si="30"/>
        <v>0</v>
      </c>
      <c r="J298" s="133">
        <f t="shared" si="31"/>
        <v>0</v>
      </c>
      <c r="K298" s="134">
        <v>0</v>
      </c>
      <c r="L298" s="129">
        <f t="shared" si="32"/>
        <v>0</v>
      </c>
    </row>
    <row r="299" spans="1:12">
      <c r="A299" s="122">
        <v>292</v>
      </c>
      <c r="D299" s="130">
        <v>0</v>
      </c>
      <c r="E299" s="128">
        <f t="shared" si="28"/>
        <v>0</v>
      </c>
      <c r="F299" s="123">
        <f t="shared" si="33"/>
        <v>0</v>
      </c>
      <c r="G299" s="128">
        <f t="shared" si="34"/>
        <v>0</v>
      </c>
      <c r="H299" s="127">
        <f t="shared" si="29"/>
        <v>0</v>
      </c>
      <c r="I299" s="130">
        <f t="shared" si="30"/>
        <v>0</v>
      </c>
      <c r="J299" s="133">
        <f t="shared" si="31"/>
        <v>0</v>
      </c>
      <c r="K299" s="134">
        <v>0</v>
      </c>
      <c r="L299" s="129">
        <f t="shared" si="32"/>
        <v>0</v>
      </c>
    </row>
    <row r="300" spans="1:12">
      <c r="A300" s="122">
        <v>293</v>
      </c>
      <c r="D300" s="130">
        <v>0</v>
      </c>
      <c r="E300" s="128">
        <f t="shared" si="28"/>
        <v>0</v>
      </c>
      <c r="F300" s="123">
        <f t="shared" si="33"/>
        <v>0</v>
      </c>
      <c r="G300" s="128">
        <f t="shared" si="34"/>
        <v>0</v>
      </c>
      <c r="H300" s="127">
        <f t="shared" si="29"/>
        <v>0</v>
      </c>
      <c r="I300" s="130">
        <f t="shared" si="30"/>
        <v>0</v>
      </c>
      <c r="J300" s="133">
        <f t="shared" si="31"/>
        <v>0</v>
      </c>
      <c r="K300" s="134">
        <v>0</v>
      </c>
      <c r="L300" s="129">
        <f t="shared" si="32"/>
        <v>0</v>
      </c>
    </row>
    <row r="301" spans="1:12">
      <c r="A301" s="122">
        <v>294</v>
      </c>
      <c r="D301" s="130">
        <v>0</v>
      </c>
      <c r="E301" s="128">
        <f t="shared" si="28"/>
        <v>0</v>
      </c>
      <c r="F301" s="123">
        <f t="shared" si="33"/>
        <v>0</v>
      </c>
      <c r="G301" s="128">
        <f t="shared" si="34"/>
        <v>0</v>
      </c>
      <c r="H301" s="127">
        <f t="shared" si="29"/>
        <v>0</v>
      </c>
      <c r="I301" s="130">
        <f t="shared" si="30"/>
        <v>0</v>
      </c>
      <c r="J301" s="133">
        <f t="shared" si="31"/>
        <v>0</v>
      </c>
      <c r="K301" s="134">
        <v>0</v>
      </c>
      <c r="L301" s="129">
        <f t="shared" si="32"/>
        <v>0</v>
      </c>
    </row>
    <row r="302" spans="1:12">
      <c r="A302" s="122">
        <v>295</v>
      </c>
      <c r="D302" s="130">
        <v>0</v>
      </c>
      <c r="E302" s="128">
        <f t="shared" si="28"/>
        <v>0</v>
      </c>
      <c r="F302" s="123">
        <f t="shared" si="33"/>
        <v>0</v>
      </c>
      <c r="G302" s="128">
        <f t="shared" si="34"/>
        <v>0</v>
      </c>
      <c r="H302" s="127">
        <f t="shared" si="29"/>
        <v>0</v>
      </c>
      <c r="I302" s="130">
        <f t="shared" si="30"/>
        <v>0</v>
      </c>
      <c r="J302" s="133">
        <f t="shared" si="31"/>
        <v>0</v>
      </c>
      <c r="K302" s="134">
        <v>0</v>
      </c>
      <c r="L302" s="129">
        <f t="shared" si="32"/>
        <v>0</v>
      </c>
    </row>
    <row r="303" spans="1:12">
      <c r="A303" s="122">
        <v>296</v>
      </c>
      <c r="D303" s="130">
        <v>0</v>
      </c>
      <c r="E303" s="128">
        <f t="shared" si="28"/>
        <v>0</v>
      </c>
      <c r="F303" s="123">
        <f t="shared" si="33"/>
        <v>0</v>
      </c>
      <c r="G303" s="128">
        <f t="shared" si="34"/>
        <v>0</v>
      </c>
      <c r="H303" s="127">
        <f t="shared" si="29"/>
        <v>0</v>
      </c>
      <c r="I303" s="130">
        <f t="shared" si="30"/>
        <v>0</v>
      </c>
      <c r="J303" s="133">
        <f t="shared" si="31"/>
        <v>0</v>
      </c>
      <c r="K303" s="134">
        <v>0</v>
      </c>
      <c r="L303" s="129">
        <f t="shared" si="32"/>
        <v>0</v>
      </c>
    </row>
    <row r="304" spans="1:12">
      <c r="A304" s="122">
        <v>297</v>
      </c>
      <c r="D304" s="130">
        <v>0</v>
      </c>
      <c r="E304" s="128">
        <f t="shared" si="28"/>
        <v>0</v>
      </c>
      <c r="F304" s="123">
        <f t="shared" si="33"/>
        <v>0</v>
      </c>
      <c r="G304" s="128">
        <f t="shared" si="34"/>
        <v>0</v>
      </c>
      <c r="H304" s="127">
        <f t="shared" si="29"/>
        <v>0</v>
      </c>
      <c r="I304" s="130">
        <f t="shared" si="30"/>
        <v>0</v>
      </c>
      <c r="J304" s="133">
        <f t="shared" si="31"/>
        <v>0</v>
      </c>
      <c r="K304" s="134">
        <v>0</v>
      </c>
      <c r="L304" s="129">
        <f t="shared" si="32"/>
        <v>0</v>
      </c>
    </row>
    <row r="305" spans="1:12">
      <c r="A305" s="122">
        <v>298</v>
      </c>
      <c r="D305" s="130">
        <v>0</v>
      </c>
      <c r="E305" s="128">
        <f t="shared" si="28"/>
        <v>0</v>
      </c>
      <c r="F305" s="123">
        <f t="shared" si="33"/>
        <v>0</v>
      </c>
      <c r="G305" s="128">
        <f t="shared" si="34"/>
        <v>0</v>
      </c>
      <c r="H305" s="127">
        <f t="shared" si="29"/>
        <v>0</v>
      </c>
      <c r="I305" s="130">
        <f t="shared" si="30"/>
        <v>0</v>
      </c>
      <c r="J305" s="133">
        <f t="shared" si="31"/>
        <v>0</v>
      </c>
      <c r="K305" s="134">
        <v>0</v>
      </c>
      <c r="L305" s="129">
        <f t="shared" si="32"/>
        <v>0</v>
      </c>
    </row>
    <row r="306" spans="1:12">
      <c r="A306" s="122">
        <v>299</v>
      </c>
      <c r="D306" s="130">
        <v>0</v>
      </c>
      <c r="E306" s="128">
        <f t="shared" si="28"/>
        <v>0</v>
      </c>
      <c r="F306" s="123">
        <f t="shared" si="33"/>
        <v>0</v>
      </c>
      <c r="G306" s="128">
        <f t="shared" si="34"/>
        <v>0</v>
      </c>
      <c r="H306" s="127">
        <f t="shared" si="29"/>
        <v>0</v>
      </c>
      <c r="I306" s="130">
        <f t="shared" si="30"/>
        <v>0</v>
      </c>
      <c r="J306" s="133">
        <f t="shared" si="31"/>
        <v>0</v>
      </c>
      <c r="K306" s="134">
        <v>0</v>
      </c>
      <c r="L306" s="129">
        <f t="shared" si="32"/>
        <v>0</v>
      </c>
    </row>
    <row r="307" spans="1:12">
      <c r="A307" s="122">
        <v>300</v>
      </c>
      <c r="D307" s="130">
        <v>0</v>
      </c>
      <c r="E307" s="128">
        <f t="shared" si="28"/>
        <v>0</v>
      </c>
      <c r="F307" s="123">
        <f t="shared" si="33"/>
        <v>0</v>
      </c>
      <c r="G307" s="128">
        <f t="shared" si="34"/>
        <v>0</v>
      </c>
      <c r="H307" s="127">
        <f t="shared" si="29"/>
        <v>0</v>
      </c>
      <c r="I307" s="130">
        <f t="shared" si="30"/>
        <v>0</v>
      </c>
      <c r="J307" s="133">
        <f t="shared" si="31"/>
        <v>0</v>
      </c>
      <c r="K307" s="134">
        <v>0</v>
      </c>
      <c r="L307" s="129">
        <f t="shared" si="32"/>
        <v>0</v>
      </c>
    </row>
    <row r="308" spans="1:12">
      <c r="A308" s="122">
        <v>301</v>
      </c>
      <c r="D308" s="130">
        <v>0</v>
      </c>
      <c r="E308" s="128">
        <f t="shared" si="28"/>
        <v>0</v>
      </c>
      <c r="F308" s="123">
        <f t="shared" si="33"/>
        <v>0</v>
      </c>
      <c r="G308" s="128">
        <f t="shared" si="34"/>
        <v>0</v>
      </c>
      <c r="H308" s="127">
        <f t="shared" si="29"/>
        <v>0</v>
      </c>
      <c r="I308" s="130">
        <f t="shared" si="30"/>
        <v>0</v>
      </c>
      <c r="J308" s="133">
        <f t="shared" si="31"/>
        <v>0</v>
      </c>
      <c r="K308" s="134">
        <v>0</v>
      </c>
      <c r="L308" s="129">
        <f t="shared" si="32"/>
        <v>0</v>
      </c>
    </row>
    <row r="309" spans="1:12">
      <c r="A309" s="122">
        <v>302</v>
      </c>
      <c r="D309" s="130">
        <v>0</v>
      </c>
      <c r="E309" s="128">
        <f t="shared" si="28"/>
        <v>0</v>
      </c>
      <c r="F309" s="123">
        <f t="shared" si="33"/>
        <v>0</v>
      </c>
      <c r="G309" s="128">
        <f t="shared" si="34"/>
        <v>0</v>
      </c>
      <c r="H309" s="127">
        <f t="shared" si="29"/>
        <v>0</v>
      </c>
      <c r="I309" s="130">
        <f t="shared" si="30"/>
        <v>0</v>
      </c>
      <c r="J309" s="133">
        <f t="shared" si="31"/>
        <v>0</v>
      </c>
      <c r="K309" s="134">
        <v>0</v>
      </c>
      <c r="L309" s="129">
        <f t="shared" si="32"/>
        <v>0</v>
      </c>
    </row>
    <row r="310" spans="1:12">
      <c r="A310" s="122">
        <v>303</v>
      </c>
      <c r="D310" s="130">
        <v>0</v>
      </c>
      <c r="E310" s="128">
        <f t="shared" si="28"/>
        <v>0</v>
      </c>
      <c r="F310" s="123">
        <f t="shared" si="33"/>
        <v>0</v>
      </c>
      <c r="G310" s="128">
        <f t="shared" si="34"/>
        <v>0</v>
      </c>
      <c r="H310" s="127">
        <f t="shared" si="29"/>
        <v>0</v>
      </c>
      <c r="I310" s="130">
        <f t="shared" si="30"/>
        <v>0</v>
      </c>
      <c r="J310" s="133">
        <f t="shared" si="31"/>
        <v>0</v>
      </c>
      <c r="K310" s="134">
        <v>0</v>
      </c>
      <c r="L310" s="129">
        <f t="shared" si="32"/>
        <v>0</v>
      </c>
    </row>
    <row r="311" spans="1:12">
      <c r="A311" s="122">
        <v>304</v>
      </c>
      <c r="D311" s="130">
        <v>0</v>
      </c>
      <c r="E311" s="128">
        <f t="shared" si="28"/>
        <v>0</v>
      </c>
      <c r="F311" s="123">
        <f t="shared" si="33"/>
        <v>0</v>
      </c>
      <c r="G311" s="128">
        <f t="shared" si="34"/>
        <v>0</v>
      </c>
      <c r="H311" s="127">
        <f t="shared" si="29"/>
        <v>0</v>
      </c>
      <c r="I311" s="130">
        <f t="shared" si="30"/>
        <v>0</v>
      </c>
      <c r="J311" s="133">
        <f t="shared" si="31"/>
        <v>0</v>
      </c>
      <c r="K311" s="134">
        <v>0</v>
      </c>
      <c r="L311" s="129">
        <f t="shared" si="32"/>
        <v>0</v>
      </c>
    </row>
    <row r="312" spans="1:12">
      <c r="A312" s="122">
        <v>305</v>
      </c>
      <c r="D312" s="130">
        <v>0</v>
      </c>
      <c r="E312" s="128">
        <f t="shared" si="28"/>
        <v>0</v>
      </c>
      <c r="F312" s="123">
        <f t="shared" si="33"/>
        <v>0</v>
      </c>
      <c r="G312" s="128">
        <f t="shared" si="34"/>
        <v>0</v>
      </c>
      <c r="H312" s="127">
        <f t="shared" si="29"/>
        <v>0</v>
      </c>
      <c r="I312" s="130">
        <f t="shared" si="30"/>
        <v>0</v>
      </c>
      <c r="J312" s="133">
        <f t="shared" si="31"/>
        <v>0</v>
      </c>
      <c r="K312" s="134">
        <v>0</v>
      </c>
      <c r="L312" s="129">
        <f t="shared" si="32"/>
        <v>0</v>
      </c>
    </row>
    <row r="313" spans="1:12">
      <c r="A313" s="122">
        <v>306</v>
      </c>
      <c r="D313" s="130">
        <v>0</v>
      </c>
      <c r="E313" s="128">
        <f t="shared" si="28"/>
        <v>0</v>
      </c>
      <c r="F313" s="123">
        <f t="shared" si="33"/>
        <v>0</v>
      </c>
      <c r="G313" s="128">
        <f t="shared" si="34"/>
        <v>0</v>
      </c>
      <c r="H313" s="127">
        <f t="shared" si="29"/>
        <v>0</v>
      </c>
      <c r="I313" s="130">
        <f t="shared" si="30"/>
        <v>0</v>
      </c>
      <c r="J313" s="133">
        <f t="shared" si="31"/>
        <v>0</v>
      </c>
      <c r="K313" s="134">
        <v>0</v>
      </c>
      <c r="L313" s="129">
        <f t="shared" si="32"/>
        <v>0</v>
      </c>
    </row>
    <row r="314" spans="1:12">
      <c r="A314" s="122">
        <v>307</v>
      </c>
      <c r="D314" s="130">
        <v>0</v>
      </c>
      <c r="E314" s="128">
        <f t="shared" si="28"/>
        <v>0</v>
      </c>
      <c r="F314" s="123">
        <f t="shared" si="33"/>
        <v>0</v>
      </c>
      <c r="G314" s="128">
        <f t="shared" si="34"/>
        <v>0</v>
      </c>
      <c r="H314" s="127">
        <f t="shared" si="29"/>
        <v>0</v>
      </c>
      <c r="I314" s="130">
        <f t="shared" si="30"/>
        <v>0</v>
      </c>
      <c r="J314" s="133">
        <f t="shared" si="31"/>
        <v>0</v>
      </c>
      <c r="K314" s="134">
        <v>0</v>
      </c>
      <c r="L314" s="129">
        <f t="shared" si="32"/>
        <v>0</v>
      </c>
    </row>
    <row r="315" spans="1:12">
      <c r="A315" s="122">
        <v>308</v>
      </c>
      <c r="D315" s="130">
        <v>0</v>
      </c>
      <c r="E315" s="128">
        <f t="shared" si="28"/>
        <v>0</v>
      </c>
      <c r="F315" s="123">
        <f t="shared" si="33"/>
        <v>0</v>
      </c>
      <c r="G315" s="128">
        <f t="shared" si="34"/>
        <v>0</v>
      </c>
      <c r="H315" s="127">
        <f t="shared" si="29"/>
        <v>0</v>
      </c>
      <c r="I315" s="130">
        <f t="shared" si="30"/>
        <v>0</v>
      </c>
      <c r="J315" s="133">
        <f t="shared" si="31"/>
        <v>0</v>
      </c>
      <c r="K315" s="134">
        <v>0</v>
      </c>
      <c r="L315" s="129">
        <f t="shared" si="32"/>
        <v>0</v>
      </c>
    </row>
    <row r="316" spans="1:12">
      <c r="A316" s="122">
        <v>309</v>
      </c>
      <c r="D316" s="130">
        <v>0</v>
      </c>
      <c r="E316" s="128">
        <f t="shared" si="28"/>
        <v>0</v>
      </c>
      <c r="F316" s="123">
        <f t="shared" si="33"/>
        <v>0</v>
      </c>
      <c r="G316" s="128">
        <f t="shared" si="34"/>
        <v>0</v>
      </c>
      <c r="H316" s="127">
        <f t="shared" si="29"/>
        <v>0</v>
      </c>
      <c r="I316" s="130">
        <f t="shared" si="30"/>
        <v>0</v>
      </c>
      <c r="J316" s="133">
        <f t="shared" si="31"/>
        <v>0</v>
      </c>
      <c r="K316" s="134">
        <v>0</v>
      </c>
      <c r="L316" s="129">
        <f t="shared" si="32"/>
        <v>0</v>
      </c>
    </row>
    <row r="317" spans="1:12">
      <c r="A317" s="122">
        <v>310</v>
      </c>
      <c r="D317" s="130">
        <v>0</v>
      </c>
      <c r="E317" s="128">
        <f t="shared" si="28"/>
        <v>0</v>
      </c>
      <c r="F317" s="123">
        <f t="shared" si="33"/>
        <v>0</v>
      </c>
      <c r="G317" s="128">
        <f t="shared" si="34"/>
        <v>0</v>
      </c>
      <c r="H317" s="127">
        <f t="shared" si="29"/>
        <v>0</v>
      </c>
      <c r="I317" s="130">
        <f t="shared" si="30"/>
        <v>0</v>
      </c>
      <c r="J317" s="133">
        <f t="shared" si="31"/>
        <v>0</v>
      </c>
      <c r="K317" s="134">
        <v>0</v>
      </c>
      <c r="L317" s="129">
        <f t="shared" si="32"/>
        <v>0</v>
      </c>
    </row>
    <row r="318" spans="1:12">
      <c r="A318" s="122">
        <v>311</v>
      </c>
      <c r="D318" s="130">
        <v>0</v>
      </c>
      <c r="E318" s="128">
        <f t="shared" si="28"/>
        <v>0</v>
      </c>
      <c r="F318" s="123">
        <f t="shared" si="33"/>
        <v>0</v>
      </c>
      <c r="G318" s="128">
        <f t="shared" si="34"/>
        <v>0</v>
      </c>
      <c r="H318" s="127">
        <f t="shared" si="29"/>
        <v>0</v>
      </c>
      <c r="I318" s="130">
        <f t="shared" si="30"/>
        <v>0</v>
      </c>
      <c r="J318" s="133">
        <f t="shared" si="31"/>
        <v>0</v>
      </c>
      <c r="K318" s="134">
        <v>0</v>
      </c>
      <c r="L318" s="129">
        <f t="shared" si="32"/>
        <v>0</v>
      </c>
    </row>
    <row r="319" spans="1:12">
      <c r="A319" s="122">
        <v>312</v>
      </c>
      <c r="D319" s="130">
        <v>0</v>
      </c>
      <c r="E319" s="128">
        <f t="shared" si="28"/>
        <v>0</v>
      </c>
      <c r="F319" s="123">
        <f t="shared" si="33"/>
        <v>0</v>
      </c>
      <c r="G319" s="128">
        <f t="shared" si="34"/>
        <v>0</v>
      </c>
      <c r="H319" s="127">
        <f t="shared" si="29"/>
        <v>0</v>
      </c>
      <c r="I319" s="130">
        <f t="shared" si="30"/>
        <v>0</v>
      </c>
      <c r="J319" s="133">
        <f t="shared" si="31"/>
        <v>0</v>
      </c>
      <c r="K319" s="134">
        <v>0</v>
      </c>
      <c r="L319" s="129">
        <f t="shared" si="32"/>
        <v>0</v>
      </c>
    </row>
    <row r="320" spans="1:12">
      <c r="A320" s="122">
        <v>313</v>
      </c>
      <c r="D320" s="130">
        <v>0</v>
      </c>
      <c r="E320" s="128">
        <f t="shared" si="28"/>
        <v>0</v>
      </c>
      <c r="F320" s="123">
        <f t="shared" si="33"/>
        <v>0</v>
      </c>
      <c r="G320" s="128">
        <f t="shared" si="34"/>
        <v>0</v>
      </c>
      <c r="H320" s="127">
        <f t="shared" si="29"/>
        <v>0</v>
      </c>
      <c r="I320" s="130">
        <f t="shared" si="30"/>
        <v>0</v>
      </c>
      <c r="J320" s="133">
        <f t="shared" si="31"/>
        <v>0</v>
      </c>
      <c r="K320" s="134">
        <v>0</v>
      </c>
      <c r="L320" s="129">
        <f t="shared" si="32"/>
        <v>0</v>
      </c>
    </row>
    <row r="321" spans="1:12">
      <c r="A321" s="122">
        <v>314</v>
      </c>
      <c r="D321" s="130">
        <v>0</v>
      </c>
      <c r="E321" s="128">
        <f t="shared" si="28"/>
        <v>0</v>
      </c>
      <c r="F321" s="123">
        <f t="shared" si="33"/>
        <v>0</v>
      </c>
      <c r="G321" s="128">
        <f t="shared" si="34"/>
        <v>0</v>
      </c>
      <c r="H321" s="127">
        <f t="shared" si="29"/>
        <v>0</v>
      </c>
      <c r="I321" s="130">
        <f t="shared" si="30"/>
        <v>0</v>
      </c>
      <c r="J321" s="133">
        <f t="shared" si="31"/>
        <v>0</v>
      </c>
      <c r="K321" s="134">
        <v>0</v>
      </c>
      <c r="L321" s="129">
        <f t="shared" si="32"/>
        <v>0</v>
      </c>
    </row>
    <row r="322" spans="1:12">
      <c r="A322" s="122">
        <v>315</v>
      </c>
      <c r="D322" s="130">
        <v>0</v>
      </c>
      <c r="E322" s="128">
        <f t="shared" si="28"/>
        <v>0</v>
      </c>
      <c r="F322" s="123">
        <f t="shared" si="33"/>
        <v>0</v>
      </c>
      <c r="G322" s="128">
        <f t="shared" si="34"/>
        <v>0</v>
      </c>
      <c r="H322" s="127">
        <f t="shared" si="29"/>
        <v>0</v>
      </c>
      <c r="I322" s="130">
        <f t="shared" si="30"/>
        <v>0</v>
      </c>
      <c r="J322" s="133">
        <f t="shared" si="31"/>
        <v>0</v>
      </c>
      <c r="K322" s="134">
        <v>0</v>
      </c>
      <c r="L322" s="129">
        <f t="shared" si="32"/>
        <v>0</v>
      </c>
    </row>
    <row r="323" spans="1:12">
      <c r="A323" s="122">
        <v>316</v>
      </c>
      <c r="D323" s="130">
        <v>0</v>
      </c>
      <c r="E323" s="128">
        <f t="shared" si="28"/>
        <v>0</v>
      </c>
      <c r="F323" s="123">
        <f t="shared" si="33"/>
        <v>0</v>
      </c>
      <c r="G323" s="128">
        <f t="shared" si="34"/>
        <v>0</v>
      </c>
      <c r="H323" s="127">
        <f t="shared" si="29"/>
        <v>0</v>
      </c>
      <c r="I323" s="130">
        <f t="shared" si="30"/>
        <v>0</v>
      </c>
      <c r="J323" s="133">
        <f t="shared" si="31"/>
        <v>0</v>
      </c>
      <c r="K323" s="134">
        <v>0</v>
      </c>
      <c r="L323" s="129">
        <f t="shared" si="32"/>
        <v>0</v>
      </c>
    </row>
    <row r="324" spans="1:12">
      <c r="A324" s="122">
        <v>317</v>
      </c>
      <c r="D324" s="130">
        <v>0</v>
      </c>
      <c r="E324" s="128">
        <f t="shared" si="28"/>
        <v>0</v>
      </c>
      <c r="F324" s="123">
        <f t="shared" si="33"/>
        <v>0</v>
      </c>
      <c r="G324" s="128">
        <f t="shared" si="34"/>
        <v>0</v>
      </c>
      <c r="H324" s="127">
        <f t="shared" si="29"/>
        <v>0</v>
      </c>
      <c r="I324" s="130">
        <f t="shared" si="30"/>
        <v>0</v>
      </c>
      <c r="J324" s="133">
        <f t="shared" si="31"/>
        <v>0</v>
      </c>
      <c r="K324" s="134">
        <v>0</v>
      </c>
      <c r="L324" s="129">
        <f t="shared" si="32"/>
        <v>0</v>
      </c>
    </row>
    <row r="325" spans="1:12">
      <c r="A325" s="122">
        <v>318</v>
      </c>
      <c r="D325" s="130">
        <v>0</v>
      </c>
      <c r="E325" s="128">
        <f t="shared" si="28"/>
        <v>0</v>
      </c>
      <c r="F325" s="123">
        <f t="shared" si="33"/>
        <v>0</v>
      </c>
      <c r="G325" s="128">
        <f t="shared" si="34"/>
        <v>0</v>
      </c>
      <c r="H325" s="127">
        <f t="shared" si="29"/>
        <v>0</v>
      </c>
      <c r="I325" s="130">
        <f t="shared" si="30"/>
        <v>0</v>
      </c>
      <c r="J325" s="133">
        <f t="shared" si="31"/>
        <v>0</v>
      </c>
      <c r="K325" s="134">
        <v>0</v>
      </c>
      <c r="L325" s="129">
        <f t="shared" si="32"/>
        <v>0</v>
      </c>
    </row>
    <row r="326" spans="1:12">
      <c r="A326" s="122">
        <v>319</v>
      </c>
      <c r="D326" s="130">
        <v>0</v>
      </c>
      <c r="E326" s="128">
        <f t="shared" si="28"/>
        <v>0</v>
      </c>
      <c r="F326" s="123">
        <f t="shared" si="33"/>
        <v>0</v>
      </c>
      <c r="G326" s="128">
        <f t="shared" si="34"/>
        <v>0</v>
      </c>
      <c r="H326" s="127">
        <f t="shared" si="29"/>
        <v>0</v>
      </c>
      <c r="I326" s="130">
        <f t="shared" si="30"/>
        <v>0</v>
      </c>
      <c r="J326" s="133">
        <f t="shared" si="31"/>
        <v>0</v>
      </c>
      <c r="K326" s="134">
        <v>0</v>
      </c>
      <c r="L326" s="129">
        <f t="shared" si="32"/>
        <v>0</v>
      </c>
    </row>
    <row r="327" spans="1:12">
      <c r="A327" s="122">
        <v>320</v>
      </c>
      <c r="D327" s="130">
        <v>0</v>
      </c>
      <c r="E327" s="128">
        <f t="shared" si="28"/>
        <v>0</v>
      </c>
      <c r="F327" s="123">
        <f t="shared" si="33"/>
        <v>0</v>
      </c>
      <c r="G327" s="128">
        <f t="shared" si="34"/>
        <v>0</v>
      </c>
      <c r="H327" s="127">
        <f t="shared" si="29"/>
        <v>0</v>
      </c>
      <c r="I327" s="130">
        <f t="shared" si="30"/>
        <v>0</v>
      </c>
      <c r="J327" s="133">
        <f t="shared" si="31"/>
        <v>0</v>
      </c>
      <c r="K327" s="134">
        <v>0</v>
      </c>
      <c r="L327" s="129">
        <f t="shared" si="32"/>
        <v>0</v>
      </c>
    </row>
    <row r="328" spans="1:12">
      <c r="A328" s="122">
        <v>321</v>
      </c>
      <c r="D328" s="130">
        <v>0</v>
      </c>
      <c r="E328" s="128">
        <f t="shared" ref="E328:E391" si="35">D328*0.08</f>
        <v>0</v>
      </c>
      <c r="F328" s="123">
        <f t="shared" si="33"/>
        <v>0</v>
      </c>
      <c r="G328" s="128">
        <f t="shared" si="34"/>
        <v>0</v>
      </c>
      <c r="H328" s="127">
        <f t="shared" ref="H328:H391" si="36">+D328-G328-E328</f>
        <v>0</v>
      </c>
      <c r="I328" s="130">
        <f t="shared" ref="I328:I391" si="37">IF(G328=0,(D328*0.01),IF(H328&lt;=0,0.01*D328,IF(AND(H328&gt;0,H328&lt;=300000),H328*7%,IF(AND(H328&gt;=300000,H328&lt;600000),21000+(H328-300000)*11%,IF(AND(H328&gt;=600000,H328&lt;1100000),54000+(H328-600000)*15%,IF(AND(H328&gt;=1100000,H328&lt;1600000),129000+(H328-1100000)*19%,IF(AND(H328&gt;=1600000,H328&lt;3200000),224000+(H328-1600000)*21%,560000+(H328-3200000)*24%)))))))</f>
        <v>0</v>
      </c>
      <c r="J328" s="133">
        <f t="shared" ref="J328:J391" si="38">I328/12</f>
        <v>0</v>
      </c>
      <c r="K328" s="134">
        <v>0</v>
      </c>
      <c r="L328" s="129">
        <f t="shared" ref="L328:L391" si="39">+J328*K328</f>
        <v>0</v>
      </c>
    </row>
    <row r="329" spans="1:12">
      <c r="A329" s="122">
        <v>322</v>
      </c>
      <c r="D329" s="130">
        <v>0</v>
      </c>
      <c r="E329" s="128">
        <f t="shared" si="35"/>
        <v>0</v>
      </c>
      <c r="F329" s="123">
        <f t="shared" ref="F329:F392" si="40">D329-E329</f>
        <v>0</v>
      </c>
      <c r="G329" s="128">
        <f t="shared" ref="G329:G392" si="41">IF(F329&lt;=300000,0,IF(F329&gt;=20000000,(F329*0.21),(F329*0.2)+200000))</f>
        <v>0</v>
      </c>
      <c r="H329" s="127">
        <f t="shared" si="36"/>
        <v>0</v>
      </c>
      <c r="I329" s="130">
        <f t="shared" si="37"/>
        <v>0</v>
      </c>
      <c r="J329" s="133">
        <f t="shared" si="38"/>
        <v>0</v>
      </c>
      <c r="K329" s="134">
        <v>0</v>
      </c>
      <c r="L329" s="129">
        <f t="shared" si="39"/>
        <v>0</v>
      </c>
    </row>
    <row r="330" spans="1:12">
      <c r="A330" s="122">
        <v>323</v>
      </c>
      <c r="D330" s="130">
        <v>0</v>
      </c>
      <c r="E330" s="128">
        <f t="shared" si="35"/>
        <v>0</v>
      </c>
      <c r="F330" s="123">
        <f t="shared" si="40"/>
        <v>0</v>
      </c>
      <c r="G330" s="128">
        <f t="shared" si="41"/>
        <v>0</v>
      </c>
      <c r="H330" s="127">
        <f t="shared" si="36"/>
        <v>0</v>
      </c>
      <c r="I330" s="130">
        <f t="shared" si="37"/>
        <v>0</v>
      </c>
      <c r="J330" s="133">
        <f t="shared" si="38"/>
        <v>0</v>
      </c>
      <c r="K330" s="134">
        <v>0</v>
      </c>
      <c r="L330" s="129">
        <f t="shared" si="39"/>
        <v>0</v>
      </c>
    </row>
    <row r="331" spans="1:12">
      <c r="A331" s="122">
        <v>324</v>
      </c>
      <c r="D331" s="130">
        <v>0</v>
      </c>
      <c r="E331" s="128">
        <f t="shared" si="35"/>
        <v>0</v>
      </c>
      <c r="F331" s="123">
        <f t="shared" si="40"/>
        <v>0</v>
      </c>
      <c r="G331" s="128">
        <f t="shared" si="41"/>
        <v>0</v>
      </c>
      <c r="H331" s="127">
        <f t="shared" si="36"/>
        <v>0</v>
      </c>
      <c r="I331" s="130">
        <f t="shared" si="37"/>
        <v>0</v>
      </c>
      <c r="J331" s="133">
        <f t="shared" si="38"/>
        <v>0</v>
      </c>
      <c r="K331" s="134">
        <v>0</v>
      </c>
      <c r="L331" s="129">
        <f t="shared" si="39"/>
        <v>0</v>
      </c>
    </row>
    <row r="332" spans="1:12">
      <c r="A332" s="122">
        <v>325</v>
      </c>
      <c r="D332" s="130">
        <v>0</v>
      </c>
      <c r="E332" s="128">
        <f t="shared" si="35"/>
        <v>0</v>
      </c>
      <c r="F332" s="123">
        <f t="shared" si="40"/>
        <v>0</v>
      </c>
      <c r="G332" s="128">
        <f t="shared" si="41"/>
        <v>0</v>
      </c>
      <c r="H332" s="127">
        <f t="shared" si="36"/>
        <v>0</v>
      </c>
      <c r="I332" s="130">
        <f t="shared" si="37"/>
        <v>0</v>
      </c>
      <c r="J332" s="133">
        <f t="shared" si="38"/>
        <v>0</v>
      </c>
      <c r="K332" s="134">
        <v>0</v>
      </c>
      <c r="L332" s="129">
        <f t="shared" si="39"/>
        <v>0</v>
      </c>
    </row>
    <row r="333" spans="1:12">
      <c r="A333" s="122">
        <v>326</v>
      </c>
      <c r="D333" s="130">
        <v>0</v>
      </c>
      <c r="E333" s="128">
        <f t="shared" si="35"/>
        <v>0</v>
      </c>
      <c r="F333" s="123">
        <f t="shared" si="40"/>
        <v>0</v>
      </c>
      <c r="G333" s="128">
        <f t="shared" si="41"/>
        <v>0</v>
      </c>
      <c r="H333" s="127">
        <f t="shared" si="36"/>
        <v>0</v>
      </c>
      <c r="I333" s="130">
        <f t="shared" si="37"/>
        <v>0</v>
      </c>
      <c r="J333" s="133">
        <f t="shared" si="38"/>
        <v>0</v>
      </c>
      <c r="K333" s="134">
        <v>0</v>
      </c>
      <c r="L333" s="129">
        <f t="shared" si="39"/>
        <v>0</v>
      </c>
    </row>
    <row r="334" spans="1:12">
      <c r="A334" s="122">
        <v>327</v>
      </c>
      <c r="D334" s="130">
        <v>0</v>
      </c>
      <c r="E334" s="128">
        <f t="shared" si="35"/>
        <v>0</v>
      </c>
      <c r="F334" s="123">
        <f t="shared" si="40"/>
        <v>0</v>
      </c>
      <c r="G334" s="128">
        <f t="shared" si="41"/>
        <v>0</v>
      </c>
      <c r="H334" s="127">
        <f t="shared" si="36"/>
        <v>0</v>
      </c>
      <c r="I334" s="130">
        <f t="shared" si="37"/>
        <v>0</v>
      </c>
      <c r="J334" s="133">
        <f t="shared" si="38"/>
        <v>0</v>
      </c>
      <c r="K334" s="134">
        <v>0</v>
      </c>
      <c r="L334" s="129">
        <f t="shared" si="39"/>
        <v>0</v>
      </c>
    </row>
    <row r="335" spans="1:12">
      <c r="A335" s="122">
        <v>328</v>
      </c>
      <c r="D335" s="130">
        <v>0</v>
      </c>
      <c r="E335" s="128">
        <f t="shared" si="35"/>
        <v>0</v>
      </c>
      <c r="F335" s="123">
        <f t="shared" si="40"/>
        <v>0</v>
      </c>
      <c r="G335" s="128">
        <f t="shared" si="41"/>
        <v>0</v>
      </c>
      <c r="H335" s="127">
        <f t="shared" si="36"/>
        <v>0</v>
      </c>
      <c r="I335" s="130">
        <f t="shared" si="37"/>
        <v>0</v>
      </c>
      <c r="J335" s="133">
        <f t="shared" si="38"/>
        <v>0</v>
      </c>
      <c r="K335" s="134">
        <v>0</v>
      </c>
      <c r="L335" s="129">
        <f t="shared" si="39"/>
        <v>0</v>
      </c>
    </row>
    <row r="336" spans="1:12">
      <c r="A336" s="122">
        <v>329</v>
      </c>
      <c r="D336" s="130">
        <v>0</v>
      </c>
      <c r="E336" s="128">
        <f t="shared" si="35"/>
        <v>0</v>
      </c>
      <c r="F336" s="123">
        <f t="shared" si="40"/>
        <v>0</v>
      </c>
      <c r="G336" s="128">
        <f t="shared" si="41"/>
        <v>0</v>
      </c>
      <c r="H336" s="127">
        <f t="shared" si="36"/>
        <v>0</v>
      </c>
      <c r="I336" s="130">
        <f t="shared" si="37"/>
        <v>0</v>
      </c>
      <c r="J336" s="133">
        <f t="shared" si="38"/>
        <v>0</v>
      </c>
      <c r="K336" s="134">
        <v>0</v>
      </c>
      <c r="L336" s="129">
        <f t="shared" si="39"/>
        <v>0</v>
      </c>
    </row>
    <row r="337" spans="1:12">
      <c r="A337" s="122">
        <v>330</v>
      </c>
      <c r="D337" s="130">
        <v>0</v>
      </c>
      <c r="E337" s="128">
        <f t="shared" si="35"/>
        <v>0</v>
      </c>
      <c r="F337" s="123">
        <f t="shared" si="40"/>
        <v>0</v>
      </c>
      <c r="G337" s="128">
        <f t="shared" si="41"/>
        <v>0</v>
      </c>
      <c r="H337" s="127">
        <f t="shared" si="36"/>
        <v>0</v>
      </c>
      <c r="I337" s="130">
        <f t="shared" si="37"/>
        <v>0</v>
      </c>
      <c r="J337" s="133">
        <f t="shared" si="38"/>
        <v>0</v>
      </c>
      <c r="K337" s="134">
        <v>0</v>
      </c>
      <c r="L337" s="129">
        <f t="shared" si="39"/>
        <v>0</v>
      </c>
    </row>
    <row r="338" spans="1:12">
      <c r="A338" s="122">
        <v>331</v>
      </c>
      <c r="D338" s="130">
        <v>0</v>
      </c>
      <c r="E338" s="128">
        <f t="shared" si="35"/>
        <v>0</v>
      </c>
      <c r="F338" s="123">
        <f t="shared" si="40"/>
        <v>0</v>
      </c>
      <c r="G338" s="128">
        <f t="shared" si="41"/>
        <v>0</v>
      </c>
      <c r="H338" s="127">
        <f t="shared" si="36"/>
        <v>0</v>
      </c>
      <c r="I338" s="130">
        <f t="shared" si="37"/>
        <v>0</v>
      </c>
      <c r="J338" s="133">
        <f t="shared" si="38"/>
        <v>0</v>
      </c>
      <c r="K338" s="134">
        <v>0</v>
      </c>
      <c r="L338" s="129">
        <f t="shared" si="39"/>
        <v>0</v>
      </c>
    </row>
    <row r="339" spans="1:12">
      <c r="A339" s="122">
        <v>332</v>
      </c>
      <c r="D339" s="130">
        <v>0</v>
      </c>
      <c r="E339" s="128">
        <f t="shared" si="35"/>
        <v>0</v>
      </c>
      <c r="F339" s="123">
        <f t="shared" si="40"/>
        <v>0</v>
      </c>
      <c r="G339" s="128">
        <f t="shared" si="41"/>
        <v>0</v>
      </c>
      <c r="H339" s="127">
        <f t="shared" si="36"/>
        <v>0</v>
      </c>
      <c r="I339" s="130">
        <f t="shared" si="37"/>
        <v>0</v>
      </c>
      <c r="J339" s="133">
        <f t="shared" si="38"/>
        <v>0</v>
      </c>
      <c r="K339" s="134">
        <v>0</v>
      </c>
      <c r="L339" s="129">
        <f t="shared" si="39"/>
        <v>0</v>
      </c>
    </row>
    <row r="340" spans="1:12">
      <c r="A340" s="122">
        <v>333</v>
      </c>
      <c r="D340" s="130">
        <v>0</v>
      </c>
      <c r="E340" s="128">
        <f t="shared" si="35"/>
        <v>0</v>
      </c>
      <c r="F340" s="123">
        <f t="shared" si="40"/>
        <v>0</v>
      </c>
      <c r="G340" s="128">
        <f t="shared" si="41"/>
        <v>0</v>
      </c>
      <c r="H340" s="127">
        <f t="shared" si="36"/>
        <v>0</v>
      </c>
      <c r="I340" s="130">
        <f t="shared" si="37"/>
        <v>0</v>
      </c>
      <c r="J340" s="133">
        <f t="shared" si="38"/>
        <v>0</v>
      </c>
      <c r="K340" s="134">
        <v>0</v>
      </c>
      <c r="L340" s="129">
        <f t="shared" si="39"/>
        <v>0</v>
      </c>
    </row>
    <row r="341" spans="1:12">
      <c r="A341" s="122">
        <v>334</v>
      </c>
      <c r="D341" s="130">
        <v>0</v>
      </c>
      <c r="E341" s="128">
        <f t="shared" si="35"/>
        <v>0</v>
      </c>
      <c r="F341" s="123">
        <f t="shared" si="40"/>
        <v>0</v>
      </c>
      <c r="G341" s="128">
        <f t="shared" si="41"/>
        <v>0</v>
      </c>
      <c r="H341" s="127">
        <f t="shared" si="36"/>
        <v>0</v>
      </c>
      <c r="I341" s="130">
        <f t="shared" si="37"/>
        <v>0</v>
      </c>
      <c r="J341" s="133">
        <f t="shared" si="38"/>
        <v>0</v>
      </c>
      <c r="K341" s="134">
        <v>0</v>
      </c>
      <c r="L341" s="129">
        <f t="shared" si="39"/>
        <v>0</v>
      </c>
    </row>
    <row r="342" spans="1:12">
      <c r="A342" s="122">
        <v>335</v>
      </c>
      <c r="D342" s="130">
        <v>0</v>
      </c>
      <c r="E342" s="128">
        <f t="shared" si="35"/>
        <v>0</v>
      </c>
      <c r="F342" s="123">
        <f t="shared" si="40"/>
        <v>0</v>
      </c>
      <c r="G342" s="128">
        <f t="shared" si="41"/>
        <v>0</v>
      </c>
      <c r="H342" s="127">
        <f t="shared" si="36"/>
        <v>0</v>
      </c>
      <c r="I342" s="130">
        <f t="shared" si="37"/>
        <v>0</v>
      </c>
      <c r="J342" s="133">
        <f t="shared" si="38"/>
        <v>0</v>
      </c>
      <c r="K342" s="134">
        <v>0</v>
      </c>
      <c r="L342" s="129">
        <f t="shared" si="39"/>
        <v>0</v>
      </c>
    </row>
    <row r="343" spans="1:12">
      <c r="A343" s="122">
        <v>336</v>
      </c>
      <c r="D343" s="130">
        <v>0</v>
      </c>
      <c r="E343" s="128">
        <f t="shared" si="35"/>
        <v>0</v>
      </c>
      <c r="F343" s="123">
        <f t="shared" si="40"/>
        <v>0</v>
      </c>
      <c r="G343" s="128">
        <f t="shared" si="41"/>
        <v>0</v>
      </c>
      <c r="H343" s="127">
        <f t="shared" si="36"/>
        <v>0</v>
      </c>
      <c r="I343" s="130">
        <f t="shared" si="37"/>
        <v>0</v>
      </c>
      <c r="J343" s="133">
        <f t="shared" si="38"/>
        <v>0</v>
      </c>
      <c r="K343" s="134">
        <v>0</v>
      </c>
      <c r="L343" s="129">
        <f t="shared" si="39"/>
        <v>0</v>
      </c>
    </row>
    <row r="344" spans="1:12">
      <c r="A344" s="122">
        <v>337</v>
      </c>
      <c r="D344" s="130">
        <v>0</v>
      </c>
      <c r="E344" s="128">
        <f t="shared" si="35"/>
        <v>0</v>
      </c>
      <c r="F344" s="123">
        <f t="shared" si="40"/>
        <v>0</v>
      </c>
      <c r="G344" s="128">
        <f t="shared" si="41"/>
        <v>0</v>
      </c>
      <c r="H344" s="127">
        <f t="shared" si="36"/>
        <v>0</v>
      </c>
      <c r="I344" s="130">
        <f t="shared" si="37"/>
        <v>0</v>
      </c>
      <c r="J344" s="133">
        <f t="shared" si="38"/>
        <v>0</v>
      </c>
      <c r="K344" s="134">
        <v>0</v>
      </c>
      <c r="L344" s="129">
        <f t="shared" si="39"/>
        <v>0</v>
      </c>
    </row>
    <row r="345" spans="1:12">
      <c r="A345" s="122">
        <v>338</v>
      </c>
      <c r="D345" s="130">
        <v>0</v>
      </c>
      <c r="E345" s="128">
        <f t="shared" si="35"/>
        <v>0</v>
      </c>
      <c r="F345" s="123">
        <f t="shared" si="40"/>
        <v>0</v>
      </c>
      <c r="G345" s="128">
        <f t="shared" si="41"/>
        <v>0</v>
      </c>
      <c r="H345" s="127">
        <f t="shared" si="36"/>
        <v>0</v>
      </c>
      <c r="I345" s="130">
        <f t="shared" si="37"/>
        <v>0</v>
      </c>
      <c r="J345" s="133">
        <f t="shared" si="38"/>
        <v>0</v>
      </c>
      <c r="K345" s="134">
        <v>0</v>
      </c>
      <c r="L345" s="129">
        <f t="shared" si="39"/>
        <v>0</v>
      </c>
    </row>
    <row r="346" spans="1:12">
      <c r="A346" s="122">
        <v>339</v>
      </c>
      <c r="D346" s="130">
        <v>0</v>
      </c>
      <c r="E346" s="128">
        <f t="shared" si="35"/>
        <v>0</v>
      </c>
      <c r="F346" s="123">
        <f t="shared" si="40"/>
        <v>0</v>
      </c>
      <c r="G346" s="128">
        <f t="shared" si="41"/>
        <v>0</v>
      </c>
      <c r="H346" s="127">
        <f t="shared" si="36"/>
        <v>0</v>
      </c>
      <c r="I346" s="130">
        <f t="shared" si="37"/>
        <v>0</v>
      </c>
      <c r="J346" s="133">
        <f t="shared" si="38"/>
        <v>0</v>
      </c>
      <c r="K346" s="134">
        <v>0</v>
      </c>
      <c r="L346" s="129">
        <f t="shared" si="39"/>
        <v>0</v>
      </c>
    </row>
    <row r="347" spans="1:12">
      <c r="A347" s="122">
        <v>340</v>
      </c>
      <c r="D347" s="130">
        <v>0</v>
      </c>
      <c r="E347" s="128">
        <f t="shared" si="35"/>
        <v>0</v>
      </c>
      <c r="F347" s="123">
        <f t="shared" si="40"/>
        <v>0</v>
      </c>
      <c r="G347" s="128">
        <f t="shared" si="41"/>
        <v>0</v>
      </c>
      <c r="H347" s="127">
        <f t="shared" si="36"/>
        <v>0</v>
      </c>
      <c r="I347" s="130">
        <f t="shared" si="37"/>
        <v>0</v>
      </c>
      <c r="J347" s="133">
        <f t="shared" si="38"/>
        <v>0</v>
      </c>
      <c r="K347" s="134">
        <v>0</v>
      </c>
      <c r="L347" s="129">
        <f t="shared" si="39"/>
        <v>0</v>
      </c>
    </row>
    <row r="348" spans="1:12">
      <c r="A348" s="122">
        <v>341</v>
      </c>
      <c r="D348" s="130">
        <v>0</v>
      </c>
      <c r="E348" s="128">
        <f t="shared" si="35"/>
        <v>0</v>
      </c>
      <c r="F348" s="123">
        <f t="shared" si="40"/>
        <v>0</v>
      </c>
      <c r="G348" s="128">
        <f t="shared" si="41"/>
        <v>0</v>
      </c>
      <c r="H348" s="127">
        <f t="shared" si="36"/>
        <v>0</v>
      </c>
      <c r="I348" s="130">
        <f t="shared" si="37"/>
        <v>0</v>
      </c>
      <c r="J348" s="133">
        <f t="shared" si="38"/>
        <v>0</v>
      </c>
      <c r="K348" s="134">
        <v>0</v>
      </c>
      <c r="L348" s="129">
        <f t="shared" si="39"/>
        <v>0</v>
      </c>
    </row>
    <row r="349" spans="1:12">
      <c r="A349" s="122">
        <v>342</v>
      </c>
      <c r="D349" s="130">
        <v>0</v>
      </c>
      <c r="E349" s="128">
        <f t="shared" si="35"/>
        <v>0</v>
      </c>
      <c r="F349" s="123">
        <f t="shared" si="40"/>
        <v>0</v>
      </c>
      <c r="G349" s="128">
        <f t="shared" si="41"/>
        <v>0</v>
      </c>
      <c r="H349" s="127">
        <f t="shared" si="36"/>
        <v>0</v>
      </c>
      <c r="I349" s="130">
        <f t="shared" si="37"/>
        <v>0</v>
      </c>
      <c r="J349" s="133">
        <f t="shared" si="38"/>
        <v>0</v>
      </c>
      <c r="K349" s="134">
        <v>0</v>
      </c>
      <c r="L349" s="129">
        <f t="shared" si="39"/>
        <v>0</v>
      </c>
    </row>
    <row r="350" spans="1:12">
      <c r="A350" s="122">
        <v>343</v>
      </c>
      <c r="D350" s="130">
        <v>0</v>
      </c>
      <c r="E350" s="128">
        <f t="shared" si="35"/>
        <v>0</v>
      </c>
      <c r="F350" s="123">
        <f t="shared" si="40"/>
        <v>0</v>
      </c>
      <c r="G350" s="128">
        <f t="shared" si="41"/>
        <v>0</v>
      </c>
      <c r="H350" s="127">
        <f t="shared" si="36"/>
        <v>0</v>
      </c>
      <c r="I350" s="130">
        <f t="shared" si="37"/>
        <v>0</v>
      </c>
      <c r="J350" s="133">
        <f t="shared" si="38"/>
        <v>0</v>
      </c>
      <c r="K350" s="134">
        <v>0</v>
      </c>
      <c r="L350" s="129">
        <f t="shared" si="39"/>
        <v>0</v>
      </c>
    </row>
    <row r="351" spans="1:12">
      <c r="A351" s="122">
        <v>344</v>
      </c>
      <c r="D351" s="130">
        <v>0</v>
      </c>
      <c r="E351" s="128">
        <f t="shared" si="35"/>
        <v>0</v>
      </c>
      <c r="F351" s="123">
        <f t="shared" si="40"/>
        <v>0</v>
      </c>
      <c r="G351" s="128">
        <f t="shared" si="41"/>
        <v>0</v>
      </c>
      <c r="H351" s="127">
        <f t="shared" si="36"/>
        <v>0</v>
      </c>
      <c r="I351" s="130">
        <f t="shared" si="37"/>
        <v>0</v>
      </c>
      <c r="J351" s="133">
        <f t="shared" si="38"/>
        <v>0</v>
      </c>
      <c r="K351" s="134">
        <v>0</v>
      </c>
      <c r="L351" s="129">
        <f t="shared" si="39"/>
        <v>0</v>
      </c>
    </row>
    <row r="352" spans="1:12">
      <c r="A352" s="122">
        <v>345</v>
      </c>
      <c r="D352" s="130">
        <v>0</v>
      </c>
      <c r="E352" s="128">
        <f t="shared" si="35"/>
        <v>0</v>
      </c>
      <c r="F352" s="123">
        <f t="shared" si="40"/>
        <v>0</v>
      </c>
      <c r="G352" s="128">
        <f t="shared" si="41"/>
        <v>0</v>
      </c>
      <c r="H352" s="127">
        <f t="shared" si="36"/>
        <v>0</v>
      </c>
      <c r="I352" s="130">
        <f t="shared" si="37"/>
        <v>0</v>
      </c>
      <c r="J352" s="133">
        <f t="shared" si="38"/>
        <v>0</v>
      </c>
      <c r="K352" s="134">
        <v>0</v>
      </c>
      <c r="L352" s="129">
        <f t="shared" si="39"/>
        <v>0</v>
      </c>
    </row>
    <row r="353" spans="1:12">
      <c r="A353" s="122">
        <v>346</v>
      </c>
      <c r="D353" s="130">
        <v>0</v>
      </c>
      <c r="E353" s="128">
        <f t="shared" si="35"/>
        <v>0</v>
      </c>
      <c r="F353" s="123">
        <f t="shared" si="40"/>
        <v>0</v>
      </c>
      <c r="G353" s="128">
        <f t="shared" si="41"/>
        <v>0</v>
      </c>
      <c r="H353" s="127">
        <f t="shared" si="36"/>
        <v>0</v>
      </c>
      <c r="I353" s="130">
        <f t="shared" si="37"/>
        <v>0</v>
      </c>
      <c r="J353" s="133">
        <f t="shared" si="38"/>
        <v>0</v>
      </c>
      <c r="K353" s="134">
        <v>0</v>
      </c>
      <c r="L353" s="129">
        <f t="shared" si="39"/>
        <v>0</v>
      </c>
    </row>
    <row r="354" spans="1:12">
      <c r="A354" s="122">
        <v>347</v>
      </c>
      <c r="D354" s="130">
        <v>0</v>
      </c>
      <c r="E354" s="128">
        <f t="shared" si="35"/>
        <v>0</v>
      </c>
      <c r="F354" s="123">
        <f t="shared" si="40"/>
        <v>0</v>
      </c>
      <c r="G354" s="128">
        <f t="shared" si="41"/>
        <v>0</v>
      </c>
      <c r="H354" s="127">
        <f t="shared" si="36"/>
        <v>0</v>
      </c>
      <c r="I354" s="130">
        <f t="shared" si="37"/>
        <v>0</v>
      </c>
      <c r="J354" s="133">
        <f t="shared" si="38"/>
        <v>0</v>
      </c>
      <c r="K354" s="134">
        <v>0</v>
      </c>
      <c r="L354" s="129">
        <f t="shared" si="39"/>
        <v>0</v>
      </c>
    </row>
    <row r="355" spans="1:12">
      <c r="A355" s="122">
        <v>348</v>
      </c>
      <c r="D355" s="130">
        <v>0</v>
      </c>
      <c r="E355" s="128">
        <f t="shared" si="35"/>
        <v>0</v>
      </c>
      <c r="F355" s="123">
        <f t="shared" si="40"/>
        <v>0</v>
      </c>
      <c r="G355" s="128">
        <f t="shared" si="41"/>
        <v>0</v>
      </c>
      <c r="H355" s="127">
        <f t="shared" si="36"/>
        <v>0</v>
      </c>
      <c r="I355" s="130">
        <f t="shared" si="37"/>
        <v>0</v>
      </c>
      <c r="J355" s="133">
        <f t="shared" si="38"/>
        <v>0</v>
      </c>
      <c r="K355" s="134">
        <v>0</v>
      </c>
      <c r="L355" s="129">
        <f t="shared" si="39"/>
        <v>0</v>
      </c>
    </row>
    <row r="356" spans="1:12">
      <c r="A356" s="122">
        <v>349</v>
      </c>
      <c r="D356" s="130">
        <v>0</v>
      </c>
      <c r="E356" s="128">
        <f t="shared" si="35"/>
        <v>0</v>
      </c>
      <c r="F356" s="123">
        <f t="shared" si="40"/>
        <v>0</v>
      </c>
      <c r="G356" s="128">
        <f t="shared" si="41"/>
        <v>0</v>
      </c>
      <c r="H356" s="127">
        <f t="shared" si="36"/>
        <v>0</v>
      </c>
      <c r="I356" s="130">
        <f t="shared" si="37"/>
        <v>0</v>
      </c>
      <c r="J356" s="133">
        <f t="shared" si="38"/>
        <v>0</v>
      </c>
      <c r="K356" s="134">
        <v>0</v>
      </c>
      <c r="L356" s="129">
        <f t="shared" si="39"/>
        <v>0</v>
      </c>
    </row>
    <row r="357" spans="1:12">
      <c r="A357" s="122">
        <v>350</v>
      </c>
      <c r="D357" s="130">
        <v>0</v>
      </c>
      <c r="E357" s="128">
        <f t="shared" si="35"/>
        <v>0</v>
      </c>
      <c r="F357" s="123">
        <f t="shared" si="40"/>
        <v>0</v>
      </c>
      <c r="G357" s="128">
        <f t="shared" si="41"/>
        <v>0</v>
      </c>
      <c r="H357" s="127">
        <f t="shared" si="36"/>
        <v>0</v>
      </c>
      <c r="I357" s="130">
        <f t="shared" si="37"/>
        <v>0</v>
      </c>
      <c r="J357" s="133">
        <f t="shared" si="38"/>
        <v>0</v>
      </c>
      <c r="K357" s="134">
        <v>0</v>
      </c>
      <c r="L357" s="129">
        <f t="shared" si="39"/>
        <v>0</v>
      </c>
    </row>
    <row r="358" spans="1:12">
      <c r="A358" s="122">
        <v>351</v>
      </c>
      <c r="D358" s="130">
        <v>0</v>
      </c>
      <c r="E358" s="128">
        <f t="shared" si="35"/>
        <v>0</v>
      </c>
      <c r="F358" s="123">
        <f t="shared" si="40"/>
        <v>0</v>
      </c>
      <c r="G358" s="128">
        <f t="shared" si="41"/>
        <v>0</v>
      </c>
      <c r="H358" s="127">
        <f t="shared" si="36"/>
        <v>0</v>
      </c>
      <c r="I358" s="130">
        <f t="shared" si="37"/>
        <v>0</v>
      </c>
      <c r="J358" s="133">
        <f t="shared" si="38"/>
        <v>0</v>
      </c>
      <c r="K358" s="134">
        <v>0</v>
      </c>
      <c r="L358" s="129">
        <f t="shared" si="39"/>
        <v>0</v>
      </c>
    </row>
    <row r="359" spans="1:12">
      <c r="A359" s="122">
        <v>352</v>
      </c>
      <c r="D359" s="130">
        <v>0</v>
      </c>
      <c r="E359" s="128">
        <f t="shared" si="35"/>
        <v>0</v>
      </c>
      <c r="F359" s="123">
        <f t="shared" si="40"/>
        <v>0</v>
      </c>
      <c r="G359" s="128">
        <f t="shared" si="41"/>
        <v>0</v>
      </c>
      <c r="H359" s="127">
        <f t="shared" si="36"/>
        <v>0</v>
      </c>
      <c r="I359" s="130">
        <f t="shared" si="37"/>
        <v>0</v>
      </c>
      <c r="J359" s="133">
        <f t="shared" si="38"/>
        <v>0</v>
      </c>
      <c r="K359" s="134">
        <v>0</v>
      </c>
      <c r="L359" s="129">
        <f t="shared" si="39"/>
        <v>0</v>
      </c>
    </row>
    <row r="360" spans="1:12">
      <c r="A360" s="122">
        <v>353</v>
      </c>
      <c r="D360" s="130">
        <v>0</v>
      </c>
      <c r="E360" s="128">
        <f t="shared" si="35"/>
        <v>0</v>
      </c>
      <c r="F360" s="123">
        <f t="shared" si="40"/>
        <v>0</v>
      </c>
      <c r="G360" s="128">
        <f t="shared" si="41"/>
        <v>0</v>
      </c>
      <c r="H360" s="127">
        <f t="shared" si="36"/>
        <v>0</v>
      </c>
      <c r="I360" s="130">
        <f t="shared" si="37"/>
        <v>0</v>
      </c>
      <c r="J360" s="133">
        <f t="shared" si="38"/>
        <v>0</v>
      </c>
      <c r="K360" s="134">
        <v>0</v>
      </c>
      <c r="L360" s="129">
        <f t="shared" si="39"/>
        <v>0</v>
      </c>
    </row>
    <row r="361" spans="1:12">
      <c r="A361" s="122">
        <v>354</v>
      </c>
      <c r="D361" s="130">
        <v>0</v>
      </c>
      <c r="E361" s="128">
        <f t="shared" si="35"/>
        <v>0</v>
      </c>
      <c r="F361" s="123">
        <f t="shared" si="40"/>
        <v>0</v>
      </c>
      <c r="G361" s="128">
        <f t="shared" si="41"/>
        <v>0</v>
      </c>
      <c r="H361" s="127">
        <f t="shared" si="36"/>
        <v>0</v>
      </c>
      <c r="I361" s="130">
        <f t="shared" si="37"/>
        <v>0</v>
      </c>
      <c r="J361" s="133">
        <f t="shared" si="38"/>
        <v>0</v>
      </c>
      <c r="K361" s="134">
        <v>0</v>
      </c>
      <c r="L361" s="129">
        <f t="shared" si="39"/>
        <v>0</v>
      </c>
    </row>
    <row r="362" spans="1:12">
      <c r="A362" s="122">
        <v>355</v>
      </c>
      <c r="D362" s="130">
        <v>0</v>
      </c>
      <c r="E362" s="128">
        <f t="shared" si="35"/>
        <v>0</v>
      </c>
      <c r="F362" s="123">
        <f t="shared" si="40"/>
        <v>0</v>
      </c>
      <c r="G362" s="128">
        <f t="shared" si="41"/>
        <v>0</v>
      </c>
      <c r="H362" s="127">
        <f t="shared" si="36"/>
        <v>0</v>
      </c>
      <c r="I362" s="130">
        <f t="shared" si="37"/>
        <v>0</v>
      </c>
      <c r="J362" s="133">
        <f t="shared" si="38"/>
        <v>0</v>
      </c>
      <c r="K362" s="134">
        <v>0</v>
      </c>
      <c r="L362" s="129">
        <f t="shared" si="39"/>
        <v>0</v>
      </c>
    </row>
    <row r="363" spans="1:12">
      <c r="A363" s="122">
        <v>356</v>
      </c>
      <c r="D363" s="130">
        <v>0</v>
      </c>
      <c r="E363" s="128">
        <f t="shared" si="35"/>
        <v>0</v>
      </c>
      <c r="F363" s="123">
        <f t="shared" si="40"/>
        <v>0</v>
      </c>
      <c r="G363" s="128">
        <f t="shared" si="41"/>
        <v>0</v>
      </c>
      <c r="H363" s="127">
        <f t="shared" si="36"/>
        <v>0</v>
      </c>
      <c r="I363" s="130">
        <f t="shared" si="37"/>
        <v>0</v>
      </c>
      <c r="J363" s="133">
        <f t="shared" si="38"/>
        <v>0</v>
      </c>
      <c r="K363" s="134">
        <v>0</v>
      </c>
      <c r="L363" s="129">
        <f t="shared" si="39"/>
        <v>0</v>
      </c>
    </row>
    <row r="364" spans="1:12">
      <c r="A364" s="122">
        <v>357</v>
      </c>
      <c r="D364" s="130">
        <v>0</v>
      </c>
      <c r="E364" s="128">
        <f t="shared" si="35"/>
        <v>0</v>
      </c>
      <c r="F364" s="123">
        <f t="shared" si="40"/>
        <v>0</v>
      </c>
      <c r="G364" s="128">
        <f t="shared" si="41"/>
        <v>0</v>
      </c>
      <c r="H364" s="127">
        <f t="shared" si="36"/>
        <v>0</v>
      </c>
      <c r="I364" s="130">
        <f t="shared" si="37"/>
        <v>0</v>
      </c>
      <c r="J364" s="133">
        <f t="shared" si="38"/>
        <v>0</v>
      </c>
      <c r="K364" s="134">
        <v>0</v>
      </c>
      <c r="L364" s="129">
        <f t="shared" si="39"/>
        <v>0</v>
      </c>
    </row>
    <row r="365" spans="1:12">
      <c r="A365" s="122">
        <v>358</v>
      </c>
      <c r="D365" s="130">
        <v>0</v>
      </c>
      <c r="E365" s="128">
        <f t="shared" si="35"/>
        <v>0</v>
      </c>
      <c r="F365" s="123">
        <f t="shared" si="40"/>
        <v>0</v>
      </c>
      <c r="G365" s="128">
        <f t="shared" si="41"/>
        <v>0</v>
      </c>
      <c r="H365" s="127">
        <f t="shared" si="36"/>
        <v>0</v>
      </c>
      <c r="I365" s="130">
        <f t="shared" si="37"/>
        <v>0</v>
      </c>
      <c r="J365" s="133">
        <f t="shared" si="38"/>
        <v>0</v>
      </c>
      <c r="K365" s="134">
        <v>0</v>
      </c>
      <c r="L365" s="129">
        <f t="shared" si="39"/>
        <v>0</v>
      </c>
    </row>
    <row r="366" spans="1:12">
      <c r="A366" s="122">
        <v>359</v>
      </c>
      <c r="D366" s="130">
        <v>0</v>
      </c>
      <c r="E366" s="128">
        <f t="shared" si="35"/>
        <v>0</v>
      </c>
      <c r="F366" s="123">
        <f t="shared" si="40"/>
        <v>0</v>
      </c>
      <c r="G366" s="128">
        <f t="shared" si="41"/>
        <v>0</v>
      </c>
      <c r="H366" s="127">
        <f t="shared" si="36"/>
        <v>0</v>
      </c>
      <c r="I366" s="130">
        <f t="shared" si="37"/>
        <v>0</v>
      </c>
      <c r="J366" s="133">
        <f t="shared" si="38"/>
        <v>0</v>
      </c>
      <c r="K366" s="134">
        <v>0</v>
      </c>
      <c r="L366" s="129">
        <f t="shared" si="39"/>
        <v>0</v>
      </c>
    </row>
    <row r="367" spans="1:12">
      <c r="A367" s="122">
        <v>360</v>
      </c>
      <c r="D367" s="130">
        <v>0</v>
      </c>
      <c r="E367" s="128">
        <f t="shared" si="35"/>
        <v>0</v>
      </c>
      <c r="F367" s="123">
        <f t="shared" si="40"/>
        <v>0</v>
      </c>
      <c r="G367" s="128">
        <f t="shared" si="41"/>
        <v>0</v>
      </c>
      <c r="H367" s="127">
        <f t="shared" si="36"/>
        <v>0</v>
      </c>
      <c r="I367" s="130">
        <f t="shared" si="37"/>
        <v>0</v>
      </c>
      <c r="J367" s="133">
        <f t="shared" si="38"/>
        <v>0</v>
      </c>
      <c r="K367" s="134">
        <v>0</v>
      </c>
      <c r="L367" s="129">
        <f t="shared" si="39"/>
        <v>0</v>
      </c>
    </row>
    <row r="368" spans="1:12">
      <c r="A368" s="122">
        <v>361</v>
      </c>
      <c r="D368" s="130">
        <v>0</v>
      </c>
      <c r="E368" s="128">
        <f t="shared" si="35"/>
        <v>0</v>
      </c>
      <c r="F368" s="123">
        <f t="shared" si="40"/>
        <v>0</v>
      </c>
      <c r="G368" s="128">
        <f t="shared" si="41"/>
        <v>0</v>
      </c>
      <c r="H368" s="127">
        <f t="shared" si="36"/>
        <v>0</v>
      </c>
      <c r="I368" s="130">
        <f t="shared" si="37"/>
        <v>0</v>
      </c>
      <c r="J368" s="133">
        <f t="shared" si="38"/>
        <v>0</v>
      </c>
      <c r="K368" s="134">
        <v>0</v>
      </c>
      <c r="L368" s="129">
        <f t="shared" si="39"/>
        <v>0</v>
      </c>
    </row>
    <row r="369" spans="1:12">
      <c r="A369" s="122">
        <v>362</v>
      </c>
      <c r="D369" s="130">
        <v>0</v>
      </c>
      <c r="E369" s="128">
        <f t="shared" si="35"/>
        <v>0</v>
      </c>
      <c r="F369" s="123">
        <f t="shared" si="40"/>
        <v>0</v>
      </c>
      <c r="G369" s="128">
        <f t="shared" si="41"/>
        <v>0</v>
      </c>
      <c r="H369" s="127">
        <f t="shared" si="36"/>
        <v>0</v>
      </c>
      <c r="I369" s="130">
        <f t="shared" si="37"/>
        <v>0</v>
      </c>
      <c r="J369" s="133">
        <f t="shared" si="38"/>
        <v>0</v>
      </c>
      <c r="K369" s="134">
        <v>0</v>
      </c>
      <c r="L369" s="129">
        <f t="shared" si="39"/>
        <v>0</v>
      </c>
    </row>
    <row r="370" spans="1:12">
      <c r="A370" s="122">
        <v>363</v>
      </c>
      <c r="D370" s="130">
        <v>0</v>
      </c>
      <c r="E370" s="128">
        <f t="shared" si="35"/>
        <v>0</v>
      </c>
      <c r="F370" s="123">
        <f t="shared" si="40"/>
        <v>0</v>
      </c>
      <c r="G370" s="128">
        <f t="shared" si="41"/>
        <v>0</v>
      </c>
      <c r="H370" s="127">
        <f t="shared" si="36"/>
        <v>0</v>
      </c>
      <c r="I370" s="130">
        <f t="shared" si="37"/>
        <v>0</v>
      </c>
      <c r="J370" s="133">
        <f t="shared" si="38"/>
        <v>0</v>
      </c>
      <c r="K370" s="134">
        <v>0</v>
      </c>
      <c r="L370" s="129">
        <f t="shared" si="39"/>
        <v>0</v>
      </c>
    </row>
    <row r="371" spans="1:12">
      <c r="A371" s="122">
        <v>364</v>
      </c>
      <c r="D371" s="130">
        <v>0</v>
      </c>
      <c r="E371" s="128">
        <f t="shared" si="35"/>
        <v>0</v>
      </c>
      <c r="F371" s="123">
        <f t="shared" si="40"/>
        <v>0</v>
      </c>
      <c r="G371" s="128">
        <f t="shared" si="41"/>
        <v>0</v>
      </c>
      <c r="H371" s="127">
        <f t="shared" si="36"/>
        <v>0</v>
      </c>
      <c r="I371" s="130">
        <f t="shared" si="37"/>
        <v>0</v>
      </c>
      <c r="J371" s="133">
        <f t="shared" si="38"/>
        <v>0</v>
      </c>
      <c r="K371" s="134">
        <v>0</v>
      </c>
      <c r="L371" s="129">
        <f t="shared" si="39"/>
        <v>0</v>
      </c>
    </row>
    <row r="372" spans="1:12">
      <c r="A372" s="122">
        <v>365</v>
      </c>
      <c r="D372" s="130">
        <v>0</v>
      </c>
      <c r="E372" s="128">
        <f t="shared" si="35"/>
        <v>0</v>
      </c>
      <c r="F372" s="123">
        <f t="shared" si="40"/>
        <v>0</v>
      </c>
      <c r="G372" s="128">
        <f t="shared" si="41"/>
        <v>0</v>
      </c>
      <c r="H372" s="127">
        <f t="shared" si="36"/>
        <v>0</v>
      </c>
      <c r="I372" s="130">
        <f t="shared" si="37"/>
        <v>0</v>
      </c>
      <c r="J372" s="133">
        <f t="shared" si="38"/>
        <v>0</v>
      </c>
      <c r="K372" s="134">
        <v>0</v>
      </c>
      <c r="L372" s="129">
        <f t="shared" si="39"/>
        <v>0</v>
      </c>
    </row>
    <row r="373" spans="1:12">
      <c r="A373" s="122">
        <v>366</v>
      </c>
      <c r="D373" s="130">
        <v>0</v>
      </c>
      <c r="E373" s="128">
        <f t="shared" si="35"/>
        <v>0</v>
      </c>
      <c r="F373" s="123">
        <f t="shared" si="40"/>
        <v>0</v>
      </c>
      <c r="G373" s="128">
        <f t="shared" si="41"/>
        <v>0</v>
      </c>
      <c r="H373" s="127">
        <f t="shared" si="36"/>
        <v>0</v>
      </c>
      <c r="I373" s="130">
        <f t="shared" si="37"/>
        <v>0</v>
      </c>
      <c r="J373" s="133">
        <f t="shared" si="38"/>
        <v>0</v>
      </c>
      <c r="K373" s="134">
        <v>0</v>
      </c>
      <c r="L373" s="129">
        <f t="shared" si="39"/>
        <v>0</v>
      </c>
    </row>
    <row r="374" spans="1:12">
      <c r="A374" s="122">
        <v>367</v>
      </c>
      <c r="D374" s="130">
        <v>0</v>
      </c>
      <c r="E374" s="128">
        <f t="shared" si="35"/>
        <v>0</v>
      </c>
      <c r="F374" s="123">
        <f t="shared" si="40"/>
        <v>0</v>
      </c>
      <c r="G374" s="128">
        <f t="shared" si="41"/>
        <v>0</v>
      </c>
      <c r="H374" s="127">
        <f t="shared" si="36"/>
        <v>0</v>
      </c>
      <c r="I374" s="130">
        <f t="shared" si="37"/>
        <v>0</v>
      </c>
      <c r="J374" s="133">
        <f t="shared" si="38"/>
        <v>0</v>
      </c>
      <c r="K374" s="134">
        <v>0</v>
      </c>
      <c r="L374" s="129">
        <f t="shared" si="39"/>
        <v>0</v>
      </c>
    </row>
    <row r="375" spans="1:12">
      <c r="A375" s="122">
        <v>368</v>
      </c>
      <c r="D375" s="130">
        <v>0</v>
      </c>
      <c r="E375" s="128">
        <f t="shared" si="35"/>
        <v>0</v>
      </c>
      <c r="F375" s="123">
        <f t="shared" si="40"/>
        <v>0</v>
      </c>
      <c r="G375" s="128">
        <f t="shared" si="41"/>
        <v>0</v>
      </c>
      <c r="H375" s="127">
        <f t="shared" si="36"/>
        <v>0</v>
      </c>
      <c r="I375" s="130">
        <f t="shared" si="37"/>
        <v>0</v>
      </c>
      <c r="J375" s="133">
        <f t="shared" si="38"/>
        <v>0</v>
      </c>
      <c r="K375" s="134">
        <v>0</v>
      </c>
      <c r="L375" s="129">
        <f t="shared" si="39"/>
        <v>0</v>
      </c>
    </row>
    <row r="376" spans="1:12">
      <c r="A376" s="122">
        <v>369</v>
      </c>
      <c r="D376" s="130">
        <v>0</v>
      </c>
      <c r="E376" s="128">
        <f t="shared" si="35"/>
        <v>0</v>
      </c>
      <c r="F376" s="123">
        <f t="shared" si="40"/>
        <v>0</v>
      </c>
      <c r="G376" s="128">
        <f t="shared" si="41"/>
        <v>0</v>
      </c>
      <c r="H376" s="127">
        <f t="shared" si="36"/>
        <v>0</v>
      </c>
      <c r="I376" s="130">
        <f t="shared" si="37"/>
        <v>0</v>
      </c>
      <c r="J376" s="133">
        <f t="shared" si="38"/>
        <v>0</v>
      </c>
      <c r="K376" s="134">
        <v>0</v>
      </c>
      <c r="L376" s="129">
        <f t="shared" si="39"/>
        <v>0</v>
      </c>
    </row>
    <row r="377" spans="1:12">
      <c r="A377" s="122">
        <v>370</v>
      </c>
      <c r="D377" s="130">
        <v>0</v>
      </c>
      <c r="E377" s="128">
        <f t="shared" si="35"/>
        <v>0</v>
      </c>
      <c r="F377" s="123">
        <f t="shared" si="40"/>
        <v>0</v>
      </c>
      <c r="G377" s="128">
        <f t="shared" si="41"/>
        <v>0</v>
      </c>
      <c r="H377" s="127">
        <f t="shared" si="36"/>
        <v>0</v>
      </c>
      <c r="I377" s="130">
        <f t="shared" si="37"/>
        <v>0</v>
      </c>
      <c r="J377" s="133">
        <f t="shared" si="38"/>
        <v>0</v>
      </c>
      <c r="K377" s="134">
        <v>0</v>
      </c>
      <c r="L377" s="129">
        <f t="shared" si="39"/>
        <v>0</v>
      </c>
    </row>
    <row r="378" spans="1:12">
      <c r="A378" s="122">
        <v>371</v>
      </c>
      <c r="D378" s="130">
        <v>0</v>
      </c>
      <c r="E378" s="128">
        <f t="shared" si="35"/>
        <v>0</v>
      </c>
      <c r="F378" s="123">
        <f t="shared" si="40"/>
        <v>0</v>
      </c>
      <c r="G378" s="128">
        <f t="shared" si="41"/>
        <v>0</v>
      </c>
      <c r="H378" s="127">
        <f t="shared" si="36"/>
        <v>0</v>
      </c>
      <c r="I378" s="130">
        <f t="shared" si="37"/>
        <v>0</v>
      </c>
      <c r="J378" s="133">
        <f t="shared" si="38"/>
        <v>0</v>
      </c>
      <c r="K378" s="134">
        <v>0</v>
      </c>
      <c r="L378" s="129">
        <f t="shared" si="39"/>
        <v>0</v>
      </c>
    </row>
    <row r="379" spans="1:12">
      <c r="A379" s="122">
        <v>372</v>
      </c>
      <c r="D379" s="130">
        <v>0</v>
      </c>
      <c r="E379" s="128">
        <f t="shared" si="35"/>
        <v>0</v>
      </c>
      <c r="F379" s="123">
        <f t="shared" si="40"/>
        <v>0</v>
      </c>
      <c r="G379" s="128">
        <f t="shared" si="41"/>
        <v>0</v>
      </c>
      <c r="H379" s="127">
        <f t="shared" si="36"/>
        <v>0</v>
      </c>
      <c r="I379" s="130">
        <f t="shared" si="37"/>
        <v>0</v>
      </c>
      <c r="J379" s="133">
        <f t="shared" si="38"/>
        <v>0</v>
      </c>
      <c r="K379" s="134">
        <v>0</v>
      </c>
      <c r="L379" s="129">
        <f t="shared" si="39"/>
        <v>0</v>
      </c>
    </row>
    <row r="380" spans="1:12">
      <c r="A380" s="122">
        <v>373</v>
      </c>
      <c r="D380" s="130">
        <v>0</v>
      </c>
      <c r="E380" s="128">
        <f t="shared" si="35"/>
        <v>0</v>
      </c>
      <c r="F380" s="123">
        <f t="shared" si="40"/>
        <v>0</v>
      </c>
      <c r="G380" s="128">
        <f t="shared" si="41"/>
        <v>0</v>
      </c>
      <c r="H380" s="127">
        <f t="shared" si="36"/>
        <v>0</v>
      </c>
      <c r="I380" s="130">
        <f t="shared" si="37"/>
        <v>0</v>
      </c>
      <c r="J380" s="133">
        <f t="shared" si="38"/>
        <v>0</v>
      </c>
      <c r="K380" s="134">
        <v>0</v>
      </c>
      <c r="L380" s="129">
        <f t="shared" si="39"/>
        <v>0</v>
      </c>
    </row>
    <row r="381" spans="1:12">
      <c r="A381" s="122">
        <v>374</v>
      </c>
      <c r="D381" s="130">
        <v>0</v>
      </c>
      <c r="E381" s="128">
        <f t="shared" si="35"/>
        <v>0</v>
      </c>
      <c r="F381" s="123">
        <f t="shared" si="40"/>
        <v>0</v>
      </c>
      <c r="G381" s="128">
        <f t="shared" si="41"/>
        <v>0</v>
      </c>
      <c r="H381" s="127">
        <f t="shared" si="36"/>
        <v>0</v>
      </c>
      <c r="I381" s="130">
        <f t="shared" si="37"/>
        <v>0</v>
      </c>
      <c r="J381" s="133">
        <f t="shared" si="38"/>
        <v>0</v>
      </c>
      <c r="K381" s="134">
        <v>0</v>
      </c>
      <c r="L381" s="129">
        <f t="shared" si="39"/>
        <v>0</v>
      </c>
    </row>
    <row r="382" spans="1:12">
      <c r="A382" s="122">
        <v>375</v>
      </c>
      <c r="D382" s="130">
        <v>0</v>
      </c>
      <c r="E382" s="128">
        <f t="shared" si="35"/>
        <v>0</v>
      </c>
      <c r="F382" s="123">
        <f t="shared" si="40"/>
        <v>0</v>
      </c>
      <c r="G382" s="128">
        <f t="shared" si="41"/>
        <v>0</v>
      </c>
      <c r="H382" s="127">
        <f t="shared" si="36"/>
        <v>0</v>
      </c>
      <c r="I382" s="130">
        <f t="shared" si="37"/>
        <v>0</v>
      </c>
      <c r="J382" s="133">
        <f t="shared" si="38"/>
        <v>0</v>
      </c>
      <c r="K382" s="134">
        <v>0</v>
      </c>
      <c r="L382" s="129">
        <f t="shared" si="39"/>
        <v>0</v>
      </c>
    </row>
    <row r="383" spans="1:12">
      <c r="A383" s="122">
        <v>376</v>
      </c>
      <c r="D383" s="130">
        <v>0</v>
      </c>
      <c r="E383" s="128">
        <f t="shared" si="35"/>
        <v>0</v>
      </c>
      <c r="F383" s="123">
        <f t="shared" si="40"/>
        <v>0</v>
      </c>
      <c r="G383" s="128">
        <f t="shared" si="41"/>
        <v>0</v>
      </c>
      <c r="H383" s="127">
        <f t="shared" si="36"/>
        <v>0</v>
      </c>
      <c r="I383" s="130">
        <f t="shared" si="37"/>
        <v>0</v>
      </c>
      <c r="J383" s="133">
        <f t="shared" si="38"/>
        <v>0</v>
      </c>
      <c r="K383" s="134">
        <v>0</v>
      </c>
      <c r="L383" s="129">
        <f t="shared" si="39"/>
        <v>0</v>
      </c>
    </row>
    <row r="384" spans="1:12">
      <c r="A384" s="122">
        <v>377</v>
      </c>
      <c r="D384" s="130">
        <v>0</v>
      </c>
      <c r="E384" s="128">
        <f t="shared" si="35"/>
        <v>0</v>
      </c>
      <c r="F384" s="123">
        <f t="shared" si="40"/>
        <v>0</v>
      </c>
      <c r="G384" s="128">
        <f t="shared" si="41"/>
        <v>0</v>
      </c>
      <c r="H384" s="127">
        <f t="shared" si="36"/>
        <v>0</v>
      </c>
      <c r="I384" s="130">
        <f t="shared" si="37"/>
        <v>0</v>
      </c>
      <c r="J384" s="133">
        <f t="shared" si="38"/>
        <v>0</v>
      </c>
      <c r="K384" s="134">
        <v>0</v>
      </c>
      <c r="L384" s="129">
        <f t="shared" si="39"/>
        <v>0</v>
      </c>
    </row>
    <row r="385" spans="1:12">
      <c r="A385" s="122">
        <v>378</v>
      </c>
      <c r="D385" s="130">
        <v>0</v>
      </c>
      <c r="E385" s="128">
        <f t="shared" si="35"/>
        <v>0</v>
      </c>
      <c r="F385" s="123">
        <f t="shared" si="40"/>
        <v>0</v>
      </c>
      <c r="G385" s="128">
        <f t="shared" si="41"/>
        <v>0</v>
      </c>
      <c r="H385" s="127">
        <f t="shared" si="36"/>
        <v>0</v>
      </c>
      <c r="I385" s="130">
        <f t="shared" si="37"/>
        <v>0</v>
      </c>
      <c r="J385" s="133">
        <f t="shared" si="38"/>
        <v>0</v>
      </c>
      <c r="K385" s="134">
        <v>0</v>
      </c>
      <c r="L385" s="129">
        <f t="shared" si="39"/>
        <v>0</v>
      </c>
    </row>
    <row r="386" spans="1:12">
      <c r="A386" s="122">
        <v>379</v>
      </c>
      <c r="D386" s="130">
        <v>0</v>
      </c>
      <c r="E386" s="128">
        <f t="shared" si="35"/>
        <v>0</v>
      </c>
      <c r="F386" s="123">
        <f t="shared" si="40"/>
        <v>0</v>
      </c>
      <c r="G386" s="128">
        <f t="shared" si="41"/>
        <v>0</v>
      </c>
      <c r="H386" s="127">
        <f t="shared" si="36"/>
        <v>0</v>
      </c>
      <c r="I386" s="130">
        <f t="shared" si="37"/>
        <v>0</v>
      </c>
      <c r="J386" s="133">
        <f t="shared" si="38"/>
        <v>0</v>
      </c>
      <c r="K386" s="134">
        <v>0</v>
      </c>
      <c r="L386" s="129">
        <f t="shared" si="39"/>
        <v>0</v>
      </c>
    </row>
    <row r="387" spans="1:12">
      <c r="A387" s="122">
        <v>380</v>
      </c>
      <c r="D387" s="130">
        <v>0</v>
      </c>
      <c r="E387" s="128">
        <f t="shared" si="35"/>
        <v>0</v>
      </c>
      <c r="F387" s="123">
        <f t="shared" si="40"/>
        <v>0</v>
      </c>
      <c r="G387" s="128">
        <f t="shared" si="41"/>
        <v>0</v>
      </c>
      <c r="H387" s="127">
        <f t="shared" si="36"/>
        <v>0</v>
      </c>
      <c r="I387" s="130">
        <f t="shared" si="37"/>
        <v>0</v>
      </c>
      <c r="J387" s="133">
        <f t="shared" si="38"/>
        <v>0</v>
      </c>
      <c r="K387" s="134">
        <v>0</v>
      </c>
      <c r="L387" s="129">
        <f t="shared" si="39"/>
        <v>0</v>
      </c>
    </row>
    <row r="388" spans="1:12">
      <c r="A388" s="122">
        <v>381</v>
      </c>
      <c r="D388" s="130">
        <v>0</v>
      </c>
      <c r="E388" s="128">
        <f t="shared" si="35"/>
        <v>0</v>
      </c>
      <c r="F388" s="123">
        <f t="shared" si="40"/>
        <v>0</v>
      </c>
      <c r="G388" s="128">
        <f t="shared" si="41"/>
        <v>0</v>
      </c>
      <c r="H388" s="127">
        <f t="shared" si="36"/>
        <v>0</v>
      </c>
      <c r="I388" s="130">
        <f t="shared" si="37"/>
        <v>0</v>
      </c>
      <c r="J388" s="133">
        <f t="shared" si="38"/>
        <v>0</v>
      </c>
      <c r="K388" s="134">
        <v>0</v>
      </c>
      <c r="L388" s="129">
        <f t="shared" si="39"/>
        <v>0</v>
      </c>
    </row>
    <row r="389" spans="1:12">
      <c r="A389" s="122">
        <v>382</v>
      </c>
      <c r="D389" s="130">
        <v>0</v>
      </c>
      <c r="E389" s="128">
        <f t="shared" si="35"/>
        <v>0</v>
      </c>
      <c r="F389" s="123">
        <f t="shared" si="40"/>
        <v>0</v>
      </c>
      <c r="G389" s="128">
        <f t="shared" si="41"/>
        <v>0</v>
      </c>
      <c r="H389" s="127">
        <f t="shared" si="36"/>
        <v>0</v>
      </c>
      <c r="I389" s="130">
        <f t="shared" si="37"/>
        <v>0</v>
      </c>
      <c r="J389" s="133">
        <f t="shared" si="38"/>
        <v>0</v>
      </c>
      <c r="K389" s="134">
        <v>0</v>
      </c>
      <c r="L389" s="129">
        <f t="shared" si="39"/>
        <v>0</v>
      </c>
    </row>
    <row r="390" spans="1:12">
      <c r="A390" s="122">
        <v>383</v>
      </c>
      <c r="D390" s="130">
        <v>0</v>
      </c>
      <c r="E390" s="128">
        <f t="shared" si="35"/>
        <v>0</v>
      </c>
      <c r="F390" s="123">
        <f t="shared" si="40"/>
        <v>0</v>
      </c>
      <c r="G390" s="128">
        <f t="shared" si="41"/>
        <v>0</v>
      </c>
      <c r="H390" s="127">
        <f t="shared" si="36"/>
        <v>0</v>
      </c>
      <c r="I390" s="130">
        <f t="shared" si="37"/>
        <v>0</v>
      </c>
      <c r="J390" s="133">
        <f t="shared" si="38"/>
        <v>0</v>
      </c>
      <c r="K390" s="134">
        <v>0</v>
      </c>
      <c r="L390" s="129">
        <f t="shared" si="39"/>
        <v>0</v>
      </c>
    </row>
    <row r="391" spans="1:12">
      <c r="A391" s="122">
        <v>384</v>
      </c>
      <c r="D391" s="130">
        <v>0</v>
      </c>
      <c r="E391" s="128">
        <f t="shared" si="35"/>
        <v>0</v>
      </c>
      <c r="F391" s="123">
        <f t="shared" si="40"/>
        <v>0</v>
      </c>
      <c r="G391" s="128">
        <f t="shared" si="41"/>
        <v>0</v>
      </c>
      <c r="H391" s="127">
        <f t="shared" si="36"/>
        <v>0</v>
      </c>
      <c r="I391" s="130">
        <f t="shared" si="37"/>
        <v>0</v>
      </c>
      <c r="J391" s="133">
        <f t="shared" si="38"/>
        <v>0</v>
      </c>
      <c r="K391" s="134">
        <v>0</v>
      </c>
      <c r="L391" s="129">
        <f t="shared" si="39"/>
        <v>0</v>
      </c>
    </row>
    <row r="392" spans="1:12">
      <c r="A392" s="122">
        <v>385</v>
      </c>
      <c r="D392" s="130">
        <v>0</v>
      </c>
      <c r="E392" s="128">
        <f t="shared" ref="E392:E455" si="42">D392*0.08</f>
        <v>0</v>
      </c>
      <c r="F392" s="123">
        <f t="shared" si="40"/>
        <v>0</v>
      </c>
      <c r="G392" s="128">
        <f t="shared" si="41"/>
        <v>0</v>
      </c>
      <c r="H392" s="127">
        <f t="shared" ref="H392:H455" si="43">+D392-G392-E392</f>
        <v>0</v>
      </c>
      <c r="I392" s="130">
        <f t="shared" ref="I392:I455" si="44">IF(G392=0,(D392*0.01),IF(H392&lt;=0,0.01*D392,IF(AND(H392&gt;0,H392&lt;=300000),H392*7%,IF(AND(H392&gt;=300000,H392&lt;600000),21000+(H392-300000)*11%,IF(AND(H392&gt;=600000,H392&lt;1100000),54000+(H392-600000)*15%,IF(AND(H392&gt;=1100000,H392&lt;1600000),129000+(H392-1100000)*19%,IF(AND(H392&gt;=1600000,H392&lt;3200000),224000+(H392-1600000)*21%,560000+(H392-3200000)*24%)))))))</f>
        <v>0</v>
      </c>
      <c r="J392" s="133">
        <f t="shared" ref="J392:J455" si="45">I392/12</f>
        <v>0</v>
      </c>
      <c r="K392" s="134">
        <v>0</v>
      </c>
      <c r="L392" s="129">
        <f t="shared" ref="L392:L455" si="46">+J392*K392</f>
        <v>0</v>
      </c>
    </row>
    <row r="393" spans="1:12">
      <c r="A393" s="122">
        <v>386</v>
      </c>
      <c r="D393" s="130">
        <v>0</v>
      </c>
      <c r="E393" s="128">
        <f t="shared" si="42"/>
        <v>0</v>
      </c>
      <c r="F393" s="123">
        <f t="shared" ref="F393:F456" si="47">D393-E393</f>
        <v>0</v>
      </c>
      <c r="G393" s="128">
        <f t="shared" ref="G393:G456" si="48">IF(F393&lt;=300000,0,IF(F393&gt;=20000000,(F393*0.21),(F393*0.2)+200000))</f>
        <v>0</v>
      </c>
      <c r="H393" s="127">
        <f t="shared" si="43"/>
        <v>0</v>
      </c>
      <c r="I393" s="130">
        <f t="shared" si="44"/>
        <v>0</v>
      </c>
      <c r="J393" s="133">
        <f t="shared" si="45"/>
        <v>0</v>
      </c>
      <c r="K393" s="134">
        <v>0</v>
      </c>
      <c r="L393" s="129">
        <f t="shared" si="46"/>
        <v>0</v>
      </c>
    </row>
    <row r="394" spans="1:12">
      <c r="A394" s="122">
        <v>387</v>
      </c>
      <c r="D394" s="130">
        <v>0</v>
      </c>
      <c r="E394" s="128">
        <f t="shared" si="42"/>
        <v>0</v>
      </c>
      <c r="F394" s="123">
        <f t="shared" si="47"/>
        <v>0</v>
      </c>
      <c r="G394" s="128">
        <f t="shared" si="48"/>
        <v>0</v>
      </c>
      <c r="H394" s="127">
        <f t="shared" si="43"/>
        <v>0</v>
      </c>
      <c r="I394" s="130">
        <f t="shared" si="44"/>
        <v>0</v>
      </c>
      <c r="J394" s="133">
        <f t="shared" si="45"/>
        <v>0</v>
      </c>
      <c r="K394" s="134">
        <v>0</v>
      </c>
      <c r="L394" s="129">
        <f t="shared" si="46"/>
        <v>0</v>
      </c>
    </row>
    <row r="395" spans="1:12">
      <c r="A395" s="122">
        <v>388</v>
      </c>
      <c r="D395" s="130">
        <v>0</v>
      </c>
      <c r="E395" s="128">
        <f t="shared" si="42"/>
        <v>0</v>
      </c>
      <c r="F395" s="123">
        <f t="shared" si="47"/>
        <v>0</v>
      </c>
      <c r="G395" s="128">
        <f t="shared" si="48"/>
        <v>0</v>
      </c>
      <c r="H395" s="127">
        <f t="shared" si="43"/>
        <v>0</v>
      </c>
      <c r="I395" s="130">
        <f t="shared" si="44"/>
        <v>0</v>
      </c>
      <c r="J395" s="133">
        <f t="shared" si="45"/>
        <v>0</v>
      </c>
      <c r="K395" s="134">
        <v>0</v>
      </c>
      <c r="L395" s="129">
        <f t="shared" si="46"/>
        <v>0</v>
      </c>
    </row>
    <row r="396" spans="1:12">
      <c r="A396" s="122">
        <v>389</v>
      </c>
      <c r="D396" s="130">
        <v>0</v>
      </c>
      <c r="E396" s="128">
        <f t="shared" si="42"/>
        <v>0</v>
      </c>
      <c r="F396" s="123">
        <f t="shared" si="47"/>
        <v>0</v>
      </c>
      <c r="G396" s="128">
        <f t="shared" si="48"/>
        <v>0</v>
      </c>
      <c r="H396" s="127">
        <f t="shared" si="43"/>
        <v>0</v>
      </c>
      <c r="I396" s="130">
        <f t="shared" si="44"/>
        <v>0</v>
      </c>
      <c r="J396" s="133">
        <f t="shared" si="45"/>
        <v>0</v>
      </c>
      <c r="K396" s="134">
        <v>0</v>
      </c>
      <c r="L396" s="129">
        <f t="shared" si="46"/>
        <v>0</v>
      </c>
    </row>
    <row r="397" spans="1:12">
      <c r="A397" s="122">
        <v>390</v>
      </c>
      <c r="D397" s="130">
        <v>0</v>
      </c>
      <c r="E397" s="128">
        <f t="shared" si="42"/>
        <v>0</v>
      </c>
      <c r="F397" s="123">
        <f t="shared" si="47"/>
        <v>0</v>
      </c>
      <c r="G397" s="128">
        <f t="shared" si="48"/>
        <v>0</v>
      </c>
      <c r="H397" s="127">
        <f t="shared" si="43"/>
        <v>0</v>
      </c>
      <c r="I397" s="130">
        <f t="shared" si="44"/>
        <v>0</v>
      </c>
      <c r="J397" s="133">
        <f t="shared" si="45"/>
        <v>0</v>
      </c>
      <c r="K397" s="134">
        <v>0</v>
      </c>
      <c r="L397" s="129">
        <f t="shared" si="46"/>
        <v>0</v>
      </c>
    </row>
    <row r="398" spans="1:12">
      <c r="A398" s="122">
        <v>391</v>
      </c>
      <c r="D398" s="130">
        <v>0</v>
      </c>
      <c r="E398" s="128">
        <f t="shared" si="42"/>
        <v>0</v>
      </c>
      <c r="F398" s="123">
        <f t="shared" si="47"/>
        <v>0</v>
      </c>
      <c r="G398" s="128">
        <f t="shared" si="48"/>
        <v>0</v>
      </c>
      <c r="H398" s="127">
        <f t="shared" si="43"/>
        <v>0</v>
      </c>
      <c r="I398" s="130">
        <f t="shared" si="44"/>
        <v>0</v>
      </c>
      <c r="J398" s="133">
        <f t="shared" si="45"/>
        <v>0</v>
      </c>
      <c r="K398" s="134">
        <v>0</v>
      </c>
      <c r="L398" s="129">
        <f t="shared" si="46"/>
        <v>0</v>
      </c>
    </row>
    <row r="399" spans="1:12">
      <c r="A399" s="122">
        <v>392</v>
      </c>
      <c r="D399" s="130">
        <v>0</v>
      </c>
      <c r="E399" s="128">
        <f t="shared" si="42"/>
        <v>0</v>
      </c>
      <c r="F399" s="123">
        <f t="shared" si="47"/>
        <v>0</v>
      </c>
      <c r="G399" s="128">
        <f t="shared" si="48"/>
        <v>0</v>
      </c>
      <c r="H399" s="127">
        <f t="shared" si="43"/>
        <v>0</v>
      </c>
      <c r="I399" s="130">
        <f t="shared" si="44"/>
        <v>0</v>
      </c>
      <c r="J399" s="133">
        <f t="shared" si="45"/>
        <v>0</v>
      </c>
      <c r="K399" s="134">
        <v>0</v>
      </c>
      <c r="L399" s="129">
        <f t="shared" si="46"/>
        <v>0</v>
      </c>
    </row>
    <row r="400" spans="1:12">
      <c r="A400" s="122">
        <v>393</v>
      </c>
      <c r="D400" s="130">
        <v>0</v>
      </c>
      <c r="E400" s="128">
        <f t="shared" si="42"/>
        <v>0</v>
      </c>
      <c r="F400" s="123">
        <f t="shared" si="47"/>
        <v>0</v>
      </c>
      <c r="G400" s="128">
        <f t="shared" si="48"/>
        <v>0</v>
      </c>
      <c r="H400" s="127">
        <f t="shared" si="43"/>
        <v>0</v>
      </c>
      <c r="I400" s="130">
        <f t="shared" si="44"/>
        <v>0</v>
      </c>
      <c r="J400" s="133">
        <f t="shared" si="45"/>
        <v>0</v>
      </c>
      <c r="K400" s="134">
        <v>0</v>
      </c>
      <c r="L400" s="129">
        <f t="shared" si="46"/>
        <v>0</v>
      </c>
    </row>
    <row r="401" spans="1:12">
      <c r="A401" s="122">
        <v>394</v>
      </c>
      <c r="D401" s="130">
        <v>0</v>
      </c>
      <c r="E401" s="128">
        <f t="shared" si="42"/>
        <v>0</v>
      </c>
      <c r="F401" s="123">
        <f t="shared" si="47"/>
        <v>0</v>
      </c>
      <c r="G401" s="128">
        <f t="shared" si="48"/>
        <v>0</v>
      </c>
      <c r="H401" s="127">
        <f t="shared" si="43"/>
        <v>0</v>
      </c>
      <c r="I401" s="130">
        <f t="shared" si="44"/>
        <v>0</v>
      </c>
      <c r="J401" s="133">
        <f t="shared" si="45"/>
        <v>0</v>
      </c>
      <c r="K401" s="134">
        <v>0</v>
      </c>
      <c r="L401" s="129">
        <f t="shared" si="46"/>
        <v>0</v>
      </c>
    </row>
    <row r="402" spans="1:12">
      <c r="A402" s="122">
        <v>395</v>
      </c>
      <c r="D402" s="130">
        <v>0</v>
      </c>
      <c r="E402" s="128">
        <f t="shared" si="42"/>
        <v>0</v>
      </c>
      <c r="F402" s="123">
        <f t="shared" si="47"/>
        <v>0</v>
      </c>
      <c r="G402" s="128">
        <f t="shared" si="48"/>
        <v>0</v>
      </c>
      <c r="H402" s="127">
        <f t="shared" si="43"/>
        <v>0</v>
      </c>
      <c r="I402" s="130">
        <f t="shared" si="44"/>
        <v>0</v>
      </c>
      <c r="J402" s="133">
        <f t="shared" si="45"/>
        <v>0</v>
      </c>
      <c r="K402" s="134">
        <v>0</v>
      </c>
      <c r="L402" s="129">
        <f t="shared" si="46"/>
        <v>0</v>
      </c>
    </row>
    <row r="403" spans="1:12">
      <c r="A403" s="122">
        <v>396</v>
      </c>
      <c r="D403" s="130">
        <v>0</v>
      </c>
      <c r="E403" s="128">
        <f t="shared" si="42"/>
        <v>0</v>
      </c>
      <c r="F403" s="123">
        <f t="shared" si="47"/>
        <v>0</v>
      </c>
      <c r="G403" s="128">
        <f t="shared" si="48"/>
        <v>0</v>
      </c>
      <c r="H403" s="127">
        <f t="shared" si="43"/>
        <v>0</v>
      </c>
      <c r="I403" s="130">
        <f t="shared" si="44"/>
        <v>0</v>
      </c>
      <c r="J403" s="133">
        <f t="shared" si="45"/>
        <v>0</v>
      </c>
      <c r="K403" s="134">
        <v>0</v>
      </c>
      <c r="L403" s="129">
        <f t="shared" si="46"/>
        <v>0</v>
      </c>
    </row>
    <row r="404" spans="1:12">
      <c r="A404" s="122">
        <v>397</v>
      </c>
      <c r="D404" s="130">
        <v>0</v>
      </c>
      <c r="E404" s="128">
        <f t="shared" si="42"/>
        <v>0</v>
      </c>
      <c r="F404" s="123">
        <f t="shared" si="47"/>
        <v>0</v>
      </c>
      <c r="G404" s="128">
        <f t="shared" si="48"/>
        <v>0</v>
      </c>
      <c r="H404" s="127">
        <f t="shared" si="43"/>
        <v>0</v>
      </c>
      <c r="I404" s="130">
        <f t="shared" si="44"/>
        <v>0</v>
      </c>
      <c r="J404" s="133">
        <f t="shared" si="45"/>
        <v>0</v>
      </c>
      <c r="K404" s="134">
        <v>0</v>
      </c>
      <c r="L404" s="129">
        <f t="shared" si="46"/>
        <v>0</v>
      </c>
    </row>
    <row r="405" spans="1:12">
      <c r="A405" s="122">
        <v>398</v>
      </c>
      <c r="D405" s="130">
        <v>0</v>
      </c>
      <c r="E405" s="128">
        <f t="shared" si="42"/>
        <v>0</v>
      </c>
      <c r="F405" s="123">
        <f t="shared" si="47"/>
        <v>0</v>
      </c>
      <c r="G405" s="128">
        <f t="shared" si="48"/>
        <v>0</v>
      </c>
      <c r="H405" s="127">
        <f t="shared" si="43"/>
        <v>0</v>
      </c>
      <c r="I405" s="130">
        <f t="shared" si="44"/>
        <v>0</v>
      </c>
      <c r="J405" s="133">
        <f t="shared" si="45"/>
        <v>0</v>
      </c>
      <c r="K405" s="134">
        <v>0</v>
      </c>
      <c r="L405" s="129">
        <f t="shared" si="46"/>
        <v>0</v>
      </c>
    </row>
    <row r="406" spans="1:12">
      <c r="A406" s="122">
        <v>399</v>
      </c>
      <c r="D406" s="130">
        <v>0</v>
      </c>
      <c r="E406" s="128">
        <f t="shared" si="42"/>
        <v>0</v>
      </c>
      <c r="F406" s="123">
        <f t="shared" si="47"/>
        <v>0</v>
      </c>
      <c r="G406" s="128">
        <f t="shared" si="48"/>
        <v>0</v>
      </c>
      <c r="H406" s="127">
        <f t="shared" si="43"/>
        <v>0</v>
      </c>
      <c r="I406" s="130">
        <f t="shared" si="44"/>
        <v>0</v>
      </c>
      <c r="J406" s="133">
        <f t="shared" si="45"/>
        <v>0</v>
      </c>
      <c r="K406" s="134">
        <v>0</v>
      </c>
      <c r="L406" s="129">
        <f t="shared" si="46"/>
        <v>0</v>
      </c>
    </row>
    <row r="407" spans="1:12">
      <c r="A407" s="122">
        <v>400</v>
      </c>
      <c r="D407" s="130">
        <v>0</v>
      </c>
      <c r="E407" s="128">
        <f t="shared" si="42"/>
        <v>0</v>
      </c>
      <c r="F407" s="123">
        <f t="shared" si="47"/>
        <v>0</v>
      </c>
      <c r="G407" s="128">
        <f t="shared" si="48"/>
        <v>0</v>
      </c>
      <c r="H407" s="127">
        <f t="shared" si="43"/>
        <v>0</v>
      </c>
      <c r="I407" s="130">
        <f t="shared" si="44"/>
        <v>0</v>
      </c>
      <c r="J407" s="133">
        <f t="shared" si="45"/>
        <v>0</v>
      </c>
      <c r="K407" s="134">
        <v>0</v>
      </c>
      <c r="L407" s="129">
        <f t="shared" si="46"/>
        <v>0</v>
      </c>
    </row>
    <row r="408" spans="1:12">
      <c r="A408" s="122">
        <v>401</v>
      </c>
      <c r="D408" s="130">
        <v>0</v>
      </c>
      <c r="E408" s="128">
        <f t="shared" si="42"/>
        <v>0</v>
      </c>
      <c r="F408" s="123">
        <f t="shared" si="47"/>
        <v>0</v>
      </c>
      <c r="G408" s="128">
        <f t="shared" si="48"/>
        <v>0</v>
      </c>
      <c r="H408" s="127">
        <f t="shared" si="43"/>
        <v>0</v>
      </c>
      <c r="I408" s="130">
        <f t="shared" si="44"/>
        <v>0</v>
      </c>
      <c r="J408" s="133">
        <f t="shared" si="45"/>
        <v>0</v>
      </c>
      <c r="K408" s="134">
        <v>0</v>
      </c>
      <c r="L408" s="129">
        <f t="shared" si="46"/>
        <v>0</v>
      </c>
    </row>
    <row r="409" spans="1:12">
      <c r="A409" s="122">
        <v>402</v>
      </c>
      <c r="D409" s="130">
        <v>0</v>
      </c>
      <c r="E409" s="128">
        <f t="shared" si="42"/>
        <v>0</v>
      </c>
      <c r="F409" s="123">
        <f t="shared" si="47"/>
        <v>0</v>
      </c>
      <c r="G409" s="128">
        <f t="shared" si="48"/>
        <v>0</v>
      </c>
      <c r="H409" s="127">
        <f t="shared" si="43"/>
        <v>0</v>
      </c>
      <c r="I409" s="130">
        <f t="shared" si="44"/>
        <v>0</v>
      </c>
      <c r="J409" s="133">
        <f t="shared" si="45"/>
        <v>0</v>
      </c>
      <c r="K409" s="134">
        <v>0</v>
      </c>
      <c r="L409" s="129">
        <f t="shared" si="46"/>
        <v>0</v>
      </c>
    </row>
    <row r="410" spans="1:12">
      <c r="A410" s="122">
        <v>403</v>
      </c>
      <c r="D410" s="130">
        <v>0</v>
      </c>
      <c r="E410" s="128">
        <f t="shared" si="42"/>
        <v>0</v>
      </c>
      <c r="F410" s="123">
        <f t="shared" si="47"/>
        <v>0</v>
      </c>
      <c r="G410" s="128">
        <f t="shared" si="48"/>
        <v>0</v>
      </c>
      <c r="H410" s="127">
        <f t="shared" si="43"/>
        <v>0</v>
      </c>
      <c r="I410" s="130">
        <f t="shared" si="44"/>
        <v>0</v>
      </c>
      <c r="J410" s="133">
        <f t="shared" si="45"/>
        <v>0</v>
      </c>
      <c r="K410" s="134">
        <v>0</v>
      </c>
      <c r="L410" s="129">
        <f t="shared" si="46"/>
        <v>0</v>
      </c>
    </row>
    <row r="411" spans="1:12">
      <c r="A411" s="122">
        <v>404</v>
      </c>
      <c r="D411" s="130">
        <v>0</v>
      </c>
      <c r="E411" s="128">
        <f t="shared" si="42"/>
        <v>0</v>
      </c>
      <c r="F411" s="123">
        <f t="shared" si="47"/>
        <v>0</v>
      </c>
      <c r="G411" s="128">
        <f t="shared" si="48"/>
        <v>0</v>
      </c>
      <c r="H411" s="127">
        <f t="shared" si="43"/>
        <v>0</v>
      </c>
      <c r="I411" s="130">
        <f t="shared" si="44"/>
        <v>0</v>
      </c>
      <c r="J411" s="133">
        <f t="shared" si="45"/>
        <v>0</v>
      </c>
      <c r="K411" s="134">
        <v>0</v>
      </c>
      <c r="L411" s="129">
        <f t="shared" si="46"/>
        <v>0</v>
      </c>
    </row>
    <row r="412" spans="1:12">
      <c r="A412" s="122">
        <v>405</v>
      </c>
      <c r="D412" s="130">
        <v>0</v>
      </c>
      <c r="E412" s="128">
        <f t="shared" si="42"/>
        <v>0</v>
      </c>
      <c r="F412" s="123">
        <f t="shared" si="47"/>
        <v>0</v>
      </c>
      <c r="G412" s="128">
        <f t="shared" si="48"/>
        <v>0</v>
      </c>
      <c r="H412" s="127">
        <f t="shared" si="43"/>
        <v>0</v>
      </c>
      <c r="I412" s="130">
        <f t="shared" si="44"/>
        <v>0</v>
      </c>
      <c r="J412" s="133">
        <f t="shared" si="45"/>
        <v>0</v>
      </c>
      <c r="K412" s="134">
        <v>0</v>
      </c>
      <c r="L412" s="129">
        <f t="shared" si="46"/>
        <v>0</v>
      </c>
    </row>
    <row r="413" spans="1:12">
      <c r="A413" s="122">
        <v>406</v>
      </c>
      <c r="D413" s="130">
        <v>0</v>
      </c>
      <c r="E413" s="128">
        <f t="shared" si="42"/>
        <v>0</v>
      </c>
      <c r="F413" s="123">
        <f t="shared" si="47"/>
        <v>0</v>
      </c>
      <c r="G413" s="128">
        <f t="shared" si="48"/>
        <v>0</v>
      </c>
      <c r="H413" s="127">
        <f t="shared" si="43"/>
        <v>0</v>
      </c>
      <c r="I413" s="130">
        <f t="shared" si="44"/>
        <v>0</v>
      </c>
      <c r="J413" s="133">
        <f t="shared" si="45"/>
        <v>0</v>
      </c>
      <c r="K413" s="134">
        <v>0</v>
      </c>
      <c r="L413" s="129">
        <f t="shared" si="46"/>
        <v>0</v>
      </c>
    </row>
    <row r="414" spans="1:12">
      <c r="A414" s="122">
        <v>407</v>
      </c>
      <c r="D414" s="130">
        <v>0</v>
      </c>
      <c r="E414" s="128">
        <f t="shared" si="42"/>
        <v>0</v>
      </c>
      <c r="F414" s="123">
        <f t="shared" si="47"/>
        <v>0</v>
      </c>
      <c r="G414" s="128">
        <f t="shared" si="48"/>
        <v>0</v>
      </c>
      <c r="H414" s="127">
        <f t="shared" si="43"/>
        <v>0</v>
      </c>
      <c r="I414" s="130">
        <f t="shared" si="44"/>
        <v>0</v>
      </c>
      <c r="J414" s="133">
        <f t="shared" si="45"/>
        <v>0</v>
      </c>
      <c r="K414" s="134">
        <v>0</v>
      </c>
      <c r="L414" s="129">
        <f t="shared" si="46"/>
        <v>0</v>
      </c>
    </row>
    <row r="415" spans="1:12">
      <c r="A415" s="122">
        <v>408</v>
      </c>
      <c r="D415" s="130">
        <v>0</v>
      </c>
      <c r="E415" s="128">
        <f t="shared" si="42"/>
        <v>0</v>
      </c>
      <c r="F415" s="123">
        <f t="shared" si="47"/>
        <v>0</v>
      </c>
      <c r="G415" s="128">
        <f t="shared" si="48"/>
        <v>0</v>
      </c>
      <c r="H415" s="127">
        <f t="shared" si="43"/>
        <v>0</v>
      </c>
      <c r="I415" s="130">
        <f t="shared" si="44"/>
        <v>0</v>
      </c>
      <c r="J415" s="133">
        <f t="shared" si="45"/>
        <v>0</v>
      </c>
      <c r="K415" s="134">
        <v>0</v>
      </c>
      <c r="L415" s="129">
        <f t="shared" si="46"/>
        <v>0</v>
      </c>
    </row>
    <row r="416" spans="1:12">
      <c r="A416" s="122">
        <v>409</v>
      </c>
      <c r="D416" s="130">
        <v>0</v>
      </c>
      <c r="E416" s="128">
        <f t="shared" si="42"/>
        <v>0</v>
      </c>
      <c r="F416" s="123">
        <f t="shared" si="47"/>
        <v>0</v>
      </c>
      <c r="G416" s="128">
        <f t="shared" si="48"/>
        <v>0</v>
      </c>
      <c r="H416" s="127">
        <f t="shared" si="43"/>
        <v>0</v>
      </c>
      <c r="I416" s="130">
        <f t="shared" si="44"/>
        <v>0</v>
      </c>
      <c r="J416" s="133">
        <f t="shared" si="45"/>
        <v>0</v>
      </c>
      <c r="K416" s="134">
        <v>0</v>
      </c>
      <c r="L416" s="129">
        <f t="shared" si="46"/>
        <v>0</v>
      </c>
    </row>
    <row r="417" spans="1:12">
      <c r="A417" s="122">
        <v>410</v>
      </c>
      <c r="D417" s="130">
        <v>0</v>
      </c>
      <c r="E417" s="128">
        <f t="shared" si="42"/>
        <v>0</v>
      </c>
      <c r="F417" s="123">
        <f t="shared" si="47"/>
        <v>0</v>
      </c>
      <c r="G417" s="128">
        <f t="shared" si="48"/>
        <v>0</v>
      </c>
      <c r="H417" s="127">
        <f t="shared" si="43"/>
        <v>0</v>
      </c>
      <c r="I417" s="130">
        <f t="shared" si="44"/>
        <v>0</v>
      </c>
      <c r="J417" s="133">
        <f t="shared" si="45"/>
        <v>0</v>
      </c>
      <c r="K417" s="134">
        <v>0</v>
      </c>
      <c r="L417" s="129">
        <f t="shared" si="46"/>
        <v>0</v>
      </c>
    </row>
    <row r="418" spans="1:12">
      <c r="A418" s="122">
        <v>411</v>
      </c>
      <c r="D418" s="130">
        <v>0</v>
      </c>
      <c r="E418" s="128">
        <f t="shared" si="42"/>
        <v>0</v>
      </c>
      <c r="F418" s="123">
        <f t="shared" si="47"/>
        <v>0</v>
      </c>
      <c r="G418" s="128">
        <f t="shared" si="48"/>
        <v>0</v>
      </c>
      <c r="H418" s="127">
        <f t="shared" si="43"/>
        <v>0</v>
      </c>
      <c r="I418" s="130">
        <f t="shared" si="44"/>
        <v>0</v>
      </c>
      <c r="J418" s="133">
        <f t="shared" si="45"/>
        <v>0</v>
      </c>
      <c r="K418" s="134">
        <v>0</v>
      </c>
      <c r="L418" s="129">
        <f t="shared" si="46"/>
        <v>0</v>
      </c>
    </row>
    <row r="419" spans="1:12">
      <c r="A419" s="122">
        <v>412</v>
      </c>
      <c r="D419" s="130">
        <v>0</v>
      </c>
      <c r="E419" s="128">
        <f t="shared" si="42"/>
        <v>0</v>
      </c>
      <c r="F419" s="123">
        <f t="shared" si="47"/>
        <v>0</v>
      </c>
      <c r="G419" s="128">
        <f t="shared" si="48"/>
        <v>0</v>
      </c>
      <c r="H419" s="127">
        <f t="shared" si="43"/>
        <v>0</v>
      </c>
      <c r="I419" s="130">
        <f t="shared" si="44"/>
        <v>0</v>
      </c>
      <c r="J419" s="133">
        <f t="shared" si="45"/>
        <v>0</v>
      </c>
      <c r="K419" s="134">
        <v>0</v>
      </c>
      <c r="L419" s="129">
        <f t="shared" si="46"/>
        <v>0</v>
      </c>
    </row>
    <row r="420" spans="1:12">
      <c r="A420" s="122">
        <v>413</v>
      </c>
      <c r="D420" s="130">
        <v>0</v>
      </c>
      <c r="E420" s="128">
        <f t="shared" si="42"/>
        <v>0</v>
      </c>
      <c r="F420" s="123">
        <f t="shared" si="47"/>
        <v>0</v>
      </c>
      <c r="G420" s="128">
        <f t="shared" si="48"/>
        <v>0</v>
      </c>
      <c r="H420" s="127">
        <f t="shared" si="43"/>
        <v>0</v>
      </c>
      <c r="I420" s="130">
        <f t="shared" si="44"/>
        <v>0</v>
      </c>
      <c r="J420" s="133">
        <f t="shared" si="45"/>
        <v>0</v>
      </c>
      <c r="K420" s="134">
        <v>0</v>
      </c>
      <c r="L420" s="129">
        <f t="shared" si="46"/>
        <v>0</v>
      </c>
    </row>
    <row r="421" spans="1:12">
      <c r="A421" s="122">
        <v>414</v>
      </c>
      <c r="D421" s="130">
        <v>0</v>
      </c>
      <c r="E421" s="128">
        <f t="shared" si="42"/>
        <v>0</v>
      </c>
      <c r="F421" s="123">
        <f t="shared" si="47"/>
        <v>0</v>
      </c>
      <c r="G421" s="128">
        <f t="shared" si="48"/>
        <v>0</v>
      </c>
      <c r="H421" s="127">
        <f t="shared" si="43"/>
        <v>0</v>
      </c>
      <c r="I421" s="130">
        <f t="shared" si="44"/>
        <v>0</v>
      </c>
      <c r="J421" s="133">
        <f t="shared" si="45"/>
        <v>0</v>
      </c>
      <c r="K421" s="134">
        <v>0</v>
      </c>
      <c r="L421" s="129">
        <f t="shared" si="46"/>
        <v>0</v>
      </c>
    </row>
    <row r="422" spans="1:12">
      <c r="A422" s="122">
        <v>415</v>
      </c>
      <c r="D422" s="130">
        <v>0</v>
      </c>
      <c r="E422" s="128">
        <f t="shared" si="42"/>
        <v>0</v>
      </c>
      <c r="F422" s="123">
        <f t="shared" si="47"/>
        <v>0</v>
      </c>
      <c r="G422" s="128">
        <f t="shared" si="48"/>
        <v>0</v>
      </c>
      <c r="H422" s="127">
        <f t="shared" si="43"/>
        <v>0</v>
      </c>
      <c r="I422" s="130">
        <f t="shared" si="44"/>
        <v>0</v>
      </c>
      <c r="J422" s="133">
        <f t="shared" si="45"/>
        <v>0</v>
      </c>
      <c r="K422" s="134">
        <v>0</v>
      </c>
      <c r="L422" s="129">
        <f t="shared" si="46"/>
        <v>0</v>
      </c>
    </row>
    <row r="423" spans="1:12">
      <c r="A423" s="122">
        <v>416</v>
      </c>
      <c r="D423" s="130">
        <v>0</v>
      </c>
      <c r="E423" s="128">
        <f t="shared" si="42"/>
        <v>0</v>
      </c>
      <c r="F423" s="123">
        <f t="shared" si="47"/>
        <v>0</v>
      </c>
      <c r="G423" s="128">
        <f t="shared" si="48"/>
        <v>0</v>
      </c>
      <c r="H423" s="127">
        <f t="shared" si="43"/>
        <v>0</v>
      </c>
      <c r="I423" s="130">
        <f t="shared" si="44"/>
        <v>0</v>
      </c>
      <c r="J423" s="133">
        <f t="shared" si="45"/>
        <v>0</v>
      </c>
      <c r="K423" s="134">
        <v>0</v>
      </c>
      <c r="L423" s="129">
        <f t="shared" si="46"/>
        <v>0</v>
      </c>
    </row>
    <row r="424" spans="1:12">
      <c r="A424" s="122">
        <v>417</v>
      </c>
      <c r="D424" s="130">
        <v>0</v>
      </c>
      <c r="E424" s="128">
        <f t="shared" si="42"/>
        <v>0</v>
      </c>
      <c r="F424" s="123">
        <f t="shared" si="47"/>
        <v>0</v>
      </c>
      <c r="G424" s="128">
        <f t="shared" si="48"/>
        <v>0</v>
      </c>
      <c r="H424" s="127">
        <f t="shared" si="43"/>
        <v>0</v>
      </c>
      <c r="I424" s="130">
        <f t="shared" si="44"/>
        <v>0</v>
      </c>
      <c r="J424" s="133">
        <f t="shared" si="45"/>
        <v>0</v>
      </c>
      <c r="K424" s="134">
        <v>0</v>
      </c>
      <c r="L424" s="129">
        <f t="shared" si="46"/>
        <v>0</v>
      </c>
    </row>
    <row r="425" spans="1:12">
      <c r="A425" s="122">
        <v>418</v>
      </c>
      <c r="D425" s="130">
        <v>0</v>
      </c>
      <c r="E425" s="128">
        <f t="shared" si="42"/>
        <v>0</v>
      </c>
      <c r="F425" s="123">
        <f t="shared" si="47"/>
        <v>0</v>
      </c>
      <c r="G425" s="128">
        <f t="shared" si="48"/>
        <v>0</v>
      </c>
      <c r="H425" s="127">
        <f t="shared" si="43"/>
        <v>0</v>
      </c>
      <c r="I425" s="130">
        <f t="shared" si="44"/>
        <v>0</v>
      </c>
      <c r="J425" s="133">
        <f t="shared" si="45"/>
        <v>0</v>
      </c>
      <c r="K425" s="134">
        <v>0</v>
      </c>
      <c r="L425" s="129">
        <f t="shared" si="46"/>
        <v>0</v>
      </c>
    </row>
    <row r="426" spans="1:12">
      <c r="A426" s="122">
        <v>419</v>
      </c>
      <c r="D426" s="130">
        <v>0</v>
      </c>
      <c r="E426" s="128">
        <f t="shared" si="42"/>
        <v>0</v>
      </c>
      <c r="F426" s="123">
        <f t="shared" si="47"/>
        <v>0</v>
      </c>
      <c r="G426" s="128">
        <f t="shared" si="48"/>
        <v>0</v>
      </c>
      <c r="H426" s="127">
        <f t="shared" si="43"/>
        <v>0</v>
      </c>
      <c r="I426" s="130">
        <f t="shared" si="44"/>
        <v>0</v>
      </c>
      <c r="J426" s="133">
        <f t="shared" si="45"/>
        <v>0</v>
      </c>
      <c r="K426" s="134">
        <v>0</v>
      </c>
      <c r="L426" s="129">
        <f t="shared" si="46"/>
        <v>0</v>
      </c>
    </row>
    <row r="427" spans="1:12">
      <c r="A427" s="122">
        <v>420</v>
      </c>
      <c r="D427" s="130">
        <v>0</v>
      </c>
      <c r="E427" s="128">
        <f t="shared" si="42"/>
        <v>0</v>
      </c>
      <c r="F427" s="123">
        <f t="shared" si="47"/>
        <v>0</v>
      </c>
      <c r="G427" s="128">
        <f t="shared" si="48"/>
        <v>0</v>
      </c>
      <c r="H427" s="127">
        <f t="shared" si="43"/>
        <v>0</v>
      </c>
      <c r="I427" s="130">
        <f t="shared" si="44"/>
        <v>0</v>
      </c>
      <c r="J427" s="133">
        <f t="shared" si="45"/>
        <v>0</v>
      </c>
      <c r="K427" s="134">
        <v>0</v>
      </c>
      <c r="L427" s="129">
        <f t="shared" si="46"/>
        <v>0</v>
      </c>
    </row>
    <row r="428" spans="1:12">
      <c r="A428" s="122">
        <v>421</v>
      </c>
      <c r="D428" s="130">
        <v>0</v>
      </c>
      <c r="E428" s="128">
        <f t="shared" si="42"/>
        <v>0</v>
      </c>
      <c r="F428" s="123">
        <f t="shared" si="47"/>
        <v>0</v>
      </c>
      <c r="G428" s="128">
        <f t="shared" si="48"/>
        <v>0</v>
      </c>
      <c r="H428" s="127">
        <f t="shared" si="43"/>
        <v>0</v>
      </c>
      <c r="I428" s="130">
        <f t="shared" si="44"/>
        <v>0</v>
      </c>
      <c r="J428" s="133">
        <f t="shared" si="45"/>
        <v>0</v>
      </c>
      <c r="K428" s="134">
        <v>0</v>
      </c>
      <c r="L428" s="129">
        <f t="shared" si="46"/>
        <v>0</v>
      </c>
    </row>
    <row r="429" spans="1:12">
      <c r="A429" s="122">
        <v>422</v>
      </c>
      <c r="D429" s="130">
        <v>0</v>
      </c>
      <c r="E429" s="128">
        <f t="shared" si="42"/>
        <v>0</v>
      </c>
      <c r="F429" s="123">
        <f t="shared" si="47"/>
        <v>0</v>
      </c>
      <c r="G429" s="128">
        <f t="shared" si="48"/>
        <v>0</v>
      </c>
      <c r="H429" s="127">
        <f t="shared" si="43"/>
        <v>0</v>
      </c>
      <c r="I429" s="130">
        <f t="shared" si="44"/>
        <v>0</v>
      </c>
      <c r="J429" s="133">
        <f t="shared" si="45"/>
        <v>0</v>
      </c>
      <c r="K429" s="134">
        <v>0</v>
      </c>
      <c r="L429" s="129">
        <f t="shared" si="46"/>
        <v>0</v>
      </c>
    </row>
    <row r="430" spans="1:12">
      <c r="A430" s="122">
        <v>423</v>
      </c>
      <c r="D430" s="130">
        <v>0</v>
      </c>
      <c r="E430" s="128">
        <f t="shared" si="42"/>
        <v>0</v>
      </c>
      <c r="F430" s="123">
        <f t="shared" si="47"/>
        <v>0</v>
      </c>
      <c r="G430" s="128">
        <f t="shared" si="48"/>
        <v>0</v>
      </c>
      <c r="H430" s="127">
        <f t="shared" si="43"/>
        <v>0</v>
      </c>
      <c r="I430" s="130">
        <f t="shared" si="44"/>
        <v>0</v>
      </c>
      <c r="J430" s="133">
        <f t="shared" si="45"/>
        <v>0</v>
      </c>
      <c r="K430" s="134">
        <v>0</v>
      </c>
      <c r="L430" s="129">
        <f t="shared" si="46"/>
        <v>0</v>
      </c>
    </row>
    <row r="431" spans="1:12">
      <c r="A431" s="122">
        <v>424</v>
      </c>
      <c r="D431" s="130">
        <v>0</v>
      </c>
      <c r="E431" s="128">
        <f t="shared" si="42"/>
        <v>0</v>
      </c>
      <c r="F431" s="123">
        <f t="shared" si="47"/>
        <v>0</v>
      </c>
      <c r="G431" s="128">
        <f t="shared" si="48"/>
        <v>0</v>
      </c>
      <c r="H431" s="127">
        <f t="shared" si="43"/>
        <v>0</v>
      </c>
      <c r="I431" s="130">
        <f t="shared" si="44"/>
        <v>0</v>
      </c>
      <c r="J431" s="133">
        <f t="shared" si="45"/>
        <v>0</v>
      </c>
      <c r="K431" s="134">
        <v>0</v>
      </c>
      <c r="L431" s="129">
        <f t="shared" si="46"/>
        <v>0</v>
      </c>
    </row>
    <row r="432" spans="1:12">
      <c r="A432" s="122">
        <v>425</v>
      </c>
      <c r="D432" s="130">
        <v>0</v>
      </c>
      <c r="E432" s="128">
        <f t="shared" si="42"/>
        <v>0</v>
      </c>
      <c r="F432" s="123">
        <f t="shared" si="47"/>
        <v>0</v>
      </c>
      <c r="G432" s="128">
        <f t="shared" si="48"/>
        <v>0</v>
      </c>
      <c r="H432" s="127">
        <f t="shared" si="43"/>
        <v>0</v>
      </c>
      <c r="I432" s="130">
        <f t="shared" si="44"/>
        <v>0</v>
      </c>
      <c r="J432" s="133">
        <f t="shared" si="45"/>
        <v>0</v>
      </c>
      <c r="K432" s="134">
        <v>0</v>
      </c>
      <c r="L432" s="129">
        <f t="shared" si="46"/>
        <v>0</v>
      </c>
    </row>
    <row r="433" spans="1:12">
      <c r="A433" s="122">
        <v>426</v>
      </c>
      <c r="D433" s="130">
        <v>0</v>
      </c>
      <c r="E433" s="128">
        <f t="shared" si="42"/>
        <v>0</v>
      </c>
      <c r="F433" s="123">
        <f t="shared" si="47"/>
        <v>0</v>
      </c>
      <c r="G433" s="128">
        <f t="shared" si="48"/>
        <v>0</v>
      </c>
      <c r="H433" s="127">
        <f t="shared" si="43"/>
        <v>0</v>
      </c>
      <c r="I433" s="130">
        <f t="shared" si="44"/>
        <v>0</v>
      </c>
      <c r="J433" s="133">
        <f t="shared" si="45"/>
        <v>0</v>
      </c>
      <c r="K433" s="134">
        <v>0</v>
      </c>
      <c r="L433" s="129">
        <f t="shared" si="46"/>
        <v>0</v>
      </c>
    </row>
    <row r="434" spans="1:12">
      <c r="A434" s="122">
        <v>427</v>
      </c>
      <c r="D434" s="130">
        <v>0</v>
      </c>
      <c r="E434" s="128">
        <f t="shared" si="42"/>
        <v>0</v>
      </c>
      <c r="F434" s="123">
        <f t="shared" si="47"/>
        <v>0</v>
      </c>
      <c r="G434" s="128">
        <f t="shared" si="48"/>
        <v>0</v>
      </c>
      <c r="H434" s="127">
        <f t="shared" si="43"/>
        <v>0</v>
      </c>
      <c r="I434" s="130">
        <f t="shared" si="44"/>
        <v>0</v>
      </c>
      <c r="J434" s="133">
        <f t="shared" si="45"/>
        <v>0</v>
      </c>
      <c r="K434" s="134">
        <v>0</v>
      </c>
      <c r="L434" s="129">
        <f t="shared" si="46"/>
        <v>0</v>
      </c>
    </row>
    <row r="435" spans="1:12">
      <c r="A435" s="122">
        <v>428</v>
      </c>
      <c r="D435" s="130">
        <v>0</v>
      </c>
      <c r="E435" s="128">
        <f t="shared" si="42"/>
        <v>0</v>
      </c>
      <c r="F435" s="123">
        <f t="shared" si="47"/>
        <v>0</v>
      </c>
      <c r="G435" s="128">
        <f t="shared" si="48"/>
        <v>0</v>
      </c>
      <c r="H435" s="127">
        <f t="shared" si="43"/>
        <v>0</v>
      </c>
      <c r="I435" s="130">
        <f t="shared" si="44"/>
        <v>0</v>
      </c>
      <c r="J435" s="133">
        <f t="shared" si="45"/>
        <v>0</v>
      </c>
      <c r="K435" s="134">
        <v>0</v>
      </c>
      <c r="L435" s="129">
        <f t="shared" si="46"/>
        <v>0</v>
      </c>
    </row>
    <row r="436" spans="1:12">
      <c r="A436" s="122">
        <v>429</v>
      </c>
      <c r="D436" s="130">
        <v>0</v>
      </c>
      <c r="E436" s="128">
        <f t="shared" si="42"/>
        <v>0</v>
      </c>
      <c r="F436" s="123">
        <f t="shared" si="47"/>
        <v>0</v>
      </c>
      <c r="G436" s="128">
        <f t="shared" si="48"/>
        <v>0</v>
      </c>
      <c r="H436" s="127">
        <f t="shared" si="43"/>
        <v>0</v>
      </c>
      <c r="I436" s="130">
        <f t="shared" si="44"/>
        <v>0</v>
      </c>
      <c r="J436" s="133">
        <f t="shared" si="45"/>
        <v>0</v>
      </c>
      <c r="K436" s="134">
        <v>0</v>
      </c>
      <c r="L436" s="129">
        <f t="shared" si="46"/>
        <v>0</v>
      </c>
    </row>
    <row r="437" spans="1:12">
      <c r="A437" s="122">
        <v>430</v>
      </c>
      <c r="D437" s="130">
        <v>0</v>
      </c>
      <c r="E437" s="128">
        <f t="shared" si="42"/>
        <v>0</v>
      </c>
      <c r="F437" s="123">
        <f t="shared" si="47"/>
        <v>0</v>
      </c>
      <c r="G437" s="128">
        <f t="shared" si="48"/>
        <v>0</v>
      </c>
      <c r="H437" s="127">
        <f t="shared" si="43"/>
        <v>0</v>
      </c>
      <c r="I437" s="130">
        <f t="shared" si="44"/>
        <v>0</v>
      </c>
      <c r="J437" s="133">
        <f t="shared" si="45"/>
        <v>0</v>
      </c>
      <c r="K437" s="134">
        <v>0</v>
      </c>
      <c r="L437" s="129">
        <f t="shared" si="46"/>
        <v>0</v>
      </c>
    </row>
    <row r="438" spans="1:12">
      <c r="A438" s="122">
        <v>431</v>
      </c>
      <c r="D438" s="130">
        <v>0</v>
      </c>
      <c r="E438" s="128">
        <f t="shared" si="42"/>
        <v>0</v>
      </c>
      <c r="F438" s="123">
        <f t="shared" si="47"/>
        <v>0</v>
      </c>
      <c r="G438" s="128">
        <f t="shared" si="48"/>
        <v>0</v>
      </c>
      <c r="H438" s="127">
        <f t="shared" si="43"/>
        <v>0</v>
      </c>
      <c r="I438" s="130">
        <f t="shared" si="44"/>
        <v>0</v>
      </c>
      <c r="J438" s="133">
        <f t="shared" si="45"/>
        <v>0</v>
      </c>
      <c r="K438" s="134">
        <v>0</v>
      </c>
      <c r="L438" s="129">
        <f t="shared" si="46"/>
        <v>0</v>
      </c>
    </row>
    <row r="439" spans="1:12">
      <c r="A439" s="122">
        <v>432</v>
      </c>
      <c r="D439" s="130">
        <v>0</v>
      </c>
      <c r="E439" s="128">
        <f t="shared" si="42"/>
        <v>0</v>
      </c>
      <c r="F439" s="123">
        <f t="shared" si="47"/>
        <v>0</v>
      </c>
      <c r="G439" s="128">
        <f t="shared" si="48"/>
        <v>0</v>
      </c>
      <c r="H439" s="127">
        <f t="shared" si="43"/>
        <v>0</v>
      </c>
      <c r="I439" s="130">
        <f t="shared" si="44"/>
        <v>0</v>
      </c>
      <c r="J439" s="133">
        <f t="shared" si="45"/>
        <v>0</v>
      </c>
      <c r="K439" s="134">
        <v>0</v>
      </c>
      <c r="L439" s="129">
        <f t="shared" si="46"/>
        <v>0</v>
      </c>
    </row>
    <row r="440" spans="1:12">
      <c r="A440" s="122">
        <v>433</v>
      </c>
      <c r="D440" s="130">
        <v>0</v>
      </c>
      <c r="E440" s="128">
        <f t="shared" si="42"/>
        <v>0</v>
      </c>
      <c r="F440" s="123">
        <f t="shared" si="47"/>
        <v>0</v>
      </c>
      <c r="G440" s="128">
        <f t="shared" si="48"/>
        <v>0</v>
      </c>
      <c r="H440" s="127">
        <f t="shared" si="43"/>
        <v>0</v>
      </c>
      <c r="I440" s="130">
        <f t="shared" si="44"/>
        <v>0</v>
      </c>
      <c r="J440" s="133">
        <f t="shared" si="45"/>
        <v>0</v>
      </c>
      <c r="K440" s="134">
        <v>0</v>
      </c>
      <c r="L440" s="129">
        <f t="shared" si="46"/>
        <v>0</v>
      </c>
    </row>
    <row r="441" spans="1:12">
      <c r="A441" s="122">
        <v>434</v>
      </c>
      <c r="D441" s="130">
        <v>0</v>
      </c>
      <c r="E441" s="128">
        <f t="shared" si="42"/>
        <v>0</v>
      </c>
      <c r="F441" s="123">
        <f t="shared" si="47"/>
        <v>0</v>
      </c>
      <c r="G441" s="128">
        <f t="shared" si="48"/>
        <v>0</v>
      </c>
      <c r="H441" s="127">
        <f t="shared" si="43"/>
        <v>0</v>
      </c>
      <c r="I441" s="130">
        <f t="shared" si="44"/>
        <v>0</v>
      </c>
      <c r="J441" s="133">
        <f t="shared" si="45"/>
        <v>0</v>
      </c>
      <c r="K441" s="134">
        <v>0</v>
      </c>
      <c r="L441" s="129">
        <f t="shared" si="46"/>
        <v>0</v>
      </c>
    </row>
    <row r="442" spans="1:12">
      <c r="A442" s="122">
        <v>435</v>
      </c>
      <c r="D442" s="130">
        <v>0</v>
      </c>
      <c r="E442" s="128">
        <f t="shared" si="42"/>
        <v>0</v>
      </c>
      <c r="F442" s="123">
        <f t="shared" si="47"/>
        <v>0</v>
      </c>
      <c r="G442" s="128">
        <f t="shared" si="48"/>
        <v>0</v>
      </c>
      <c r="H442" s="127">
        <f t="shared" si="43"/>
        <v>0</v>
      </c>
      <c r="I442" s="130">
        <f t="shared" si="44"/>
        <v>0</v>
      </c>
      <c r="J442" s="133">
        <f t="shared" si="45"/>
        <v>0</v>
      </c>
      <c r="K442" s="134">
        <v>0</v>
      </c>
      <c r="L442" s="129">
        <f t="shared" si="46"/>
        <v>0</v>
      </c>
    </row>
    <row r="443" spans="1:12">
      <c r="A443" s="122">
        <v>436</v>
      </c>
      <c r="D443" s="130">
        <v>0</v>
      </c>
      <c r="E443" s="128">
        <f t="shared" si="42"/>
        <v>0</v>
      </c>
      <c r="F443" s="123">
        <f t="shared" si="47"/>
        <v>0</v>
      </c>
      <c r="G443" s="128">
        <f t="shared" si="48"/>
        <v>0</v>
      </c>
      <c r="H443" s="127">
        <f t="shared" si="43"/>
        <v>0</v>
      </c>
      <c r="I443" s="130">
        <f t="shared" si="44"/>
        <v>0</v>
      </c>
      <c r="J443" s="133">
        <f t="shared" si="45"/>
        <v>0</v>
      </c>
      <c r="K443" s="134">
        <v>0</v>
      </c>
      <c r="L443" s="129">
        <f t="shared" si="46"/>
        <v>0</v>
      </c>
    </row>
    <row r="444" spans="1:12">
      <c r="A444" s="122">
        <v>437</v>
      </c>
      <c r="D444" s="130">
        <v>0</v>
      </c>
      <c r="E444" s="128">
        <f t="shared" si="42"/>
        <v>0</v>
      </c>
      <c r="F444" s="123">
        <f t="shared" si="47"/>
        <v>0</v>
      </c>
      <c r="G444" s="128">
        <f t="shared" si="48"/>
        <v>0</v>
      </c>
      <c r="H444" s="127">
        <f t="shared" si="43"/>
        <v>0</v>
      </c>
      <c r="I444" s="130">
        <f t="shared" si="44"/>
        <v>0</v>
      </c>
      <c r="J444" s="133">
        <f t="shared" si="45"/>
        <v>0</v>
      </c>
      <c r="K444" s="134">
        <v>0</v>
      </c>
      <c r="L444" s="129">
        <f t="shared" si="46"/>
        <v>0</v>
      </c>
    </row>
    <row r="445" spans="1:12">
      <c r="A445" s="122">
        <v>438</v>
      </c>
      <c r="D445" s="130">
        <v>0</v>
      </c>
      <c r="E445" s="128">
        <f t="shared" si="42"/>
        <v>0</v>
      </c>
      <c r="F445" s="123">
        <f t="shared" si="47"/>
        <v>0</v>
      </c>
      <c r="G445" s="128">
        <f t="shared" si="48"/>
        <v>0</v>
      </c>
      <c r="H445" s="127">
        <f t="shared" si="43"/>
        <v>0</v>
      </c>
      <c r="I445" s="130">
        <f t="shared" si="44"/>
        <v>0</v>
      </c>
      <c r="J445" s="133">
        <f t="shared" si="45"/>
        <v>0</v>
      </c>
      <c r="K445" s="134">
        <v>0</v>
      </c>
      <c r="L445" s="129">
        <f t="shared" si="46"/>
        <v>0</v>
      </c>
    </row>
    <row r="446" spans="1:12">
      <c r="A446" s="122">
        <v>439</v>
      </c>
      <c r="D446" s="130">
        <v>0</v>
      </c>
      <c r="E446" s="128">
        <f t="shared" si="42"/>
        <v>0</v>
      </c>
      <c r="F446" s="123">
        <f t="shared" si="47"/>
        <v>0</v>
      </c>
      <c r="G446" s="128">
        <f t="shared" si="48"/>
        <v>0</v>
      </c>
      <c r="H446" s="127">
        <f t="shared" si="43"/>
        <v>0</v>
      </c>
      <c r="I446" s="130">
        <f t="shared" si="44"/>
        <v>0</v>
      </c>
      <c r="J446" s="133">
        <f t="shared" si="45"/>
        <v>0</v>
      </c>
      <c r="K446" s="134">
        <v>0</v>
      </c>
      <c r="L446" s="129">
        <f t="shared" si="46"/>
        <v>0</v>
      </c>
    </row>
    <row r="447" spans="1:12">
      <c r="A447" s="122">
        <v>440</v>
      </c>
      <c r="D447" s="130">
        <v>0</v>
      </c>
      <c r="E447" s="128">
        <f t="shared" si="42"/>
        <v>0</v>
      </c>
      <c r="F447" s="123">
        <f t="shared" si="47"/>
        <v>0</v>
      </c>
      <c r="G447" s="128">
        <f t="shared" si="48"/>
        <v>0</v>
      </c>
      <c r="H447" s="127">
        <f t="shared" si="43"/>
        <v>0</v>
      </c>
      <c r="I447" s="130">
        <f t="shared" si="44"/>
        <v>0</v>
      </c>
      <c r="J447" s="133">
        <f t="shared" si="45"/>
        <v>0</v>
      </c>
      <c r="K447" s="134">
        <v>0</v>
      </c>
      <c r="L447" s="129">
        <f t="shared" si="46"/>
        <v>0</v>
      </c>
    </row>
    <row r="448" spans="1:12">
      <c r="A448" s="122">
        <v>441</v>
      </c>
      <c r="D448" s="130">
        <v>0</v>
      </c>
      <c r="E448" s="128">
        <f t="shared" si="42"/>
        <v>0</v>
      </c>
      <c r="F448" s="123">
        <f t="shared" si="47"/>
        <v>0</v>
      </c>
      <c r="G448" s="128">
        <f t="shared" si="48"/>
        <v>0</v>
      </c>
      <c r="H448" s="127">
        <f t="shared" si="43"/>
        <v>0</v>
      </c>
      <c r="I448" s="130">
        <f t="shared" si="44"/>
        <v>0</v>
      </c>
      <c r="J448" s="133">
        <f t="shared" si="45"/>
        <v>0</v>
      </c>
      <c r="K448" s="134">
        <v>0</v>
      </c>
      <c r="L448" s="129">
        <f t="shared" si="46"/>
        <v>0</v>
      </c>
    </row>
    <row r="449" spans="1:12">
      <c r="A449" s="122">
        <v>442</v>
      </c>
      <c r="D449" s="130">
        <v>0</v>
      </c>
      <c r="E449" s="128">
        <f t="shared" si="42"/>
        <v>0</v>
      </c>
      <c r="F449" s="123">
        <f t="shared" si="47"/>
        <v>0</v>
      </c>
      <c r="G449" s="128">
        <f t="shared" si="48"/>
        <v>0</v>
      </c>
      <c r="H449" s="127">
        <f t="shared" si="43"/>
        <v>0</v>
      </c>
      <c r="I449" s="130">
        <f t="shared" si="44"/>
        <v>0</v>
      </c>
      <c r="J449" s="133">
        <f t="shared" si="45"/>
        <v>0</v>
      </c>
      <c r="K449" s="134">
        <v>0</v>
      </c>
      <c r="L449" s="129">
        <f t="shared" si="46"/>
        <v>0</v>
      </c>
    </row>
    <row r="450" spans="1:12">
      <c r="A450" s="122">
        <v>443</v>
      </c>
      <c r="D450" s="130">
        <v>0</v>
      </c>
      <c r="E450" s="128">
        <f t="shared" si="42"/>
        <v>0</v>
      </c>
      <c r="F450" s="123">
        <f t="shared" si="47"/>
        <v>0</v>
      </c>
      <c r="G450" s="128">
        <f t="shared" si="48"/>
        <v>0</v>
      </c>
      <c r="H450" s="127">
        <f t="shared" si="43"/>
        <v>0</v>
      </c>
      <c r="I450" s="130">
        <f t="shared" si="44"/>
        <v>0</v>
      </c>
      <c r="J450" s="133">
        <f t="shared" si="45"/>
        <v>0</v>
      </c>
      <c r="K450" s="134">
        <v>0</v>
      </c>
      <c r="L450" s="129">
        <f t="shared" si="46"/>
        <v>0</v>
      </c>
    </row>
    <row r="451" spans="1:12">
      <c r="A451" s="122">
        <v>444</v>
      </c>
      <c r="D451" s="130">
        <v>0</v>
      </c>
      <c r="E451" s="128">
        <f t="shared" si="42"/>
        <v>0</v>
      </c>
      <c r="F451" s="123">
        <f t="shared" si="47"/>
        <v>0</v>
      </c>
      <c r="G451" s="128">
        <f t="shared" si="48"/>
        <v>0</v>
      </c>
      <c r="H451" s="127">
        <f t="shared" si="43"/>
        <v>0</v>
      </c>
      <c r="I451" s="130">
        <f t="shared" si="44"/>
        <v>0</v>
      </c>
      <c r="J451" s="133">
        <f t="shared" si="45"/>
        <v>0</v>
      </c>
      <c r="K451" s="134">
        <v>0</v>
      </c>
      <c r="L451" s="129">
        <f t="shared" si="46"/>
        <v>0</v>
      </c>
    </row>
    <row r="452" spans="1:12">
      <c r="A452" s="122">
        <v>445</v>
      </c>
      <c r="D452" s="130">
        <v>0</v>
      </c>
      <c r="E452" s="128">
        <f t="shared" si="42"/>
        <v>0</v>
      </c>
      <c r="F452" s="123">
        <f t="shared" si="47"/>
        <v>0</v>
      </c>
      <c r="G452" s="128">
        <f t="shared" si="48"/>
        <v>0</v>
      </c>
      <c r="H452" s="127">
        <f t="shared" si="43"/>
        <v>0</v>
      </c>
      <c r="I452" s="130">
        <f t="shared" si="44"/>
        <v>0</v>
      </c>
      <c r="J452" s="133">
        <f t="shared" si="45"/>
        <v>0</v>
      </c>
      <c r="K452" s="134">
        <v>0</v>
      </c>
      <c r="L452" s="129">
        <f t="shared" si="46"/>
        <v>0</v>
      </c>
    </row>
    <row r="453" spans="1:12">
      <c r="A453" s="122">
        <v>446</v>
      </c>
      <c r="D453" s="130">
        <v>0</v>
      </c>
      <c r="E453" s="128">
        <f t="shared" si="42"/>
        <v>0</v>
      </c>
      <c r="F453" s="123">
        <f t="shared" si="47"/>
        <v>0</v>
      </c>
      <c r="G453" s="128">
        <f t="shared" si="48"/>
        <v>0</v>
      </c>
      <c r="H453" s="127">
        <f t="shared" si="43"/>
        <v>0</v>
      </c>
      <c r="I453" s="130">
        <f t="shared" si="44"/>
        <v>0</v>
      </c>
      <c r="J453" s="133">
        <f t="shared" si="45"/>
        <v>0</v>
      </c>
      <c r="K453" s="134">
        <v>0</v>
      </c>
      <c r="L453" s="129">
        <f t="shared" si="46"/>
        <v>0</v>
      </c>
    </row>
    <row r="454" spans="1:12">
      <c r="A454" s="122">
        <v>447</v>
      </c>
      <c r="D454" s="130">
        <v>0</v>
      </c>
      <c r="E454" s="128">
        <f t="shared" si="42"/>
        <v>0</v>
      </c>
      <c r="F454" s="123">
        <f t="shared" si="47"/>
        <v>0</v>
      </c>
      <c r="G454" s="128">
        <f t="shared" si="48"/>
        <v>0</v>
      </c>
      <c r="H454" s="127">
        <f t="shared" si="43"/>
        <v>0</v>
      </c>
      <c r="I454" s="130">
        <f t="shared" si="44"/>
        <v>0</v>
      </c>
      <c r="J454" s="133">
        <f t="shared" si="45"/>
        <v>0</v>
      </c>
      <c r="K454" s="134">
        <v>0</v>
      </c>
      <c r="L454" s="129">
        <f t="shared" si="46"/>
        <v>0</v>
      </c>
    </row>
    <row r="455" spans="1:12">
      <c r="A455" s="122">
        <v>448</v>
      </c>
      <c r="D455" s="130">
        <v>0</v>
      </c>
      <c r="E455" s="128">
        <f t="shared" si="42"/>
        <v>0</v>
      </c>
      <c r="F455" s="123">
        <f t="shared" si="47"/>
        <v>0</v>
      </c>
      <c r="G455" s="128">
        <f t="shared" si="48"/>
        <v>0</v>
      </c>
      <c r="H455" s="127">
        <f t="shared" si="43"/>
        <v>0</v>
      </c>
      <c r="I455" s="130">
        <f t="shared" si="44"/>
        <v>0</v>
      </c>
      <c r="J455" s="133">
        <f t="shared" si="45"/>
        <v>0</v>
      </c>
      <c r="K455" s="134">
        <v>0</v>
      </c>
      <c r="L455" s="129">
        <f t="shared" si="46"/>
        <v>0</v>
      </c>
    </row>
    <row r="456" spans="1:12">
      <c r="A456" s="122">
        <v>449</v>
      </c>
      <c r="D456" s="130">
        <v>0</v>
      </c>
      <c r="E456" s="128">
        <f t="shared" ref="E456:E519" si="49">D456*0.08</f>
        <v>0</v>
      </c>
      <c r="F456" s="123">
        <f t="shared" si="47"/>
        <v>0</v>
      </c>
      <c r="G456" s="128">
        <f t="shared" si="48"/>
        <v>0</v>
      </c>
      <c r="H456" s="127">
        <f t="shared" ref="H456:H519" si="50">+D456-G456-E456</f>
        <v>0</v>
      </c>
      <c r="I456" s="130">
        <f t="shared" ref="I456:I519" si="51">IF(G456=0,(D456*0.01),IF(H456&lt;=0,0.01*D456,IF(AND(H456&gt;0,H456&lt;=300000),H456*7%,IF(AND(H456&gt;=300000,H456&lt;600000),21000+(H456-300000)*11%,IF(AND(H456&gt;=600000,H456&lt;1100000),54000+(H456-600000)*15%,IF(AND(H456&gt;=1100000,H456&lt;1600000),129000+(H456-1100000)*19%,IF(AND(H456&gt;=1600000,H456&lt;3200000),224000+(H456-1600000)*21%,560000+(H456-3200000)*24%)))))))</f>
        <v>0</v>
      </c>
      <c r="J456" s="133">
        <f t="shared" ref="J456:J519" si="52">I456/12</f>
        <v>0</v>
      </c>
      <c r="K456" s="134">
        <v>0</v>
      </c>
      <c r="L456" s="129">
        <f t="shared" ref="L456:L519" si="53">+J456*K456</f>
        <v>0</v>
      </c>
    </row>
    <row r="457" spans="1:12">
      <c r="A457" s="122">
        <v>450</v>
      </c>
      <c r="D457" s="130">
        <v>0</v>
      </c>
      <c r="E457" s="128">
        <f t="shared" si="49"/>
        <v>0</v>
      </c>
      <c r="F457" s="123">
        <f t="shared" ref="F457:F520" si="54">D457-E457</f>
        <v>0</v>
      </c>
      <c r="G457" s="128">
        <f t="shared" ref="G457:G520" si="55">IF(F457&lt;=300000,0,IF(F457&gt;=20000000,(F457*0.21),(F457*0.2)+200000))</f>
        <v>0</v>
      </c>
      <c r="H457" s="127">
        <f t="shared" si="50"/>
        <v>0</v>
      </c>
      <c r="I457" s="130">
        <f t="shared" si="51"/>
        <v>0</v>
      </c>
      <c r="J457" s="133">
        <f t="shared" si="52"/>
        <v>0</v>
      </c>
      <c r="K457" s="134">
        <v>0</v>
      </c>
      <c r="L457" s="129">
        <f t="shared" si="53"/>
        <v>0</v>
      </c>
    </row>
    <row r="458" spans="1:12">
      <c r="A458" s="122">
        <v>451</v>
      </c>
      <c r="D458" s="130">
        <v>0</v>
      </c>
      <c r="E458" s="128">
        <f t="shared" si="49"/>
        <v>0</v>
      </c>
      <c r="F458" s="123">
        <f t="shared" si="54"/>
        <v>0</v>
      </c>
      <c r="G458" s="128">
        <f t="shared" si="55"/>
        <v>0</v>
      </c>
      <c r="H458" s="127">
        <f t="shared" si="50"/>
        <v>0</v>
      </c>
      <c r="I458" s="130">
        <f t="shared" si="51"/>
        <v>0</v>
      </c>
      <c r="J458" s="133">
        <f t="shared" si="52"/>
        <v>0</v>
      </c>
      <c r="K458" s="134">
        <v>0</v>
      </c>
      <c r="L458" s="129">
        <f t="shared" si="53"/>
        <v>0</v>
      </c>
    </row>
    <row r="459" spans="1:12">
      <c r="A459" s="122">
        <v>452</v>
      </c>
      <c r="D459" s="130">
        <v>0</v>
      </c>
      <c r="E459" s="128">
        <f t="shared" si="49"/>
        <v>0</v>
      </c>
      <c r="F459" s="123">
        <f t="shared" si="54"/>
        <v>0</v>
      </c>
      <c r="G459" s="128">
        <f t="shared" si="55"/>
        <v>0</v>
      </c>
      <c r="H459" s="127">
        <f t="shared" si="50"/>
        <v>0</v>
      </c>
      <c r="I459" s="130">
        <f t="shared" si="51"/>
        <v>0</v>
      </c>
      <c r="J459" s="133">
        <f t="shared" si="52"/>
        <v>0</v>
      </c>
      <c r="K459" s="134">
        <v>0</v>
      </c>
      <c r="L459" s="129">
        <f t="shared" si="53"/>
        <v>0</v>
      </c>
    </row>
    <row r="460" spans="1:12">
      <c r="A460" s="122">
        <v>453</v>
      </c>
      <c r="D460" s="130">
        <v>0</v>
      </c>
      <c r="E460" s="128">
        <f t="shared" si="49"/>
        <v>0</v>
      </c>
      <c r="F460" s="123">
        <f t="shared" si="54"/>
        <v>0</v>
      </c>
      <c r="G460" s="128">
        <f t="shared" si="55"/>
        <v>0</v>
      </c>
      <c r="H460" s="127">
        <f t="shared" si="50"/>
        <v>0</v>
      </c>
      <c r="I460" s="130">
        <f t="shared" si="51"/>
        <v>0</v>
      </c>
      <c r="J460" s="133">
        <f t="shared" si="52"/>
        <v>0</v>
      </c>
      <c r="K460" s="134">
        <v>0</v>
      </c>
      <c r="L460" s="129">
        <f t="shared" si="53"/>
        <v>0</v>
      </c>
    </row>
    <row r="461" spans="1:12">
      <c r="A461" s="122">
        <v>454</v>
      </c>
      <c r="D461" s="130">
        <v>0</v>
      </c>
      <c r="E461" s="128">
        <f t="shared" si="49"/>
        <v>0</v>
      </c>
      <c r="F461" s="123">
        <f t="shared" si="54"/>
        <v>0</v>
      </c>
      <c r="G461" s="128">
        <f t="shared" si="55"/>
        <v>0</v>
      </c>
      <c r="H461" s="127">
        <f t="shared" si="50"/>
        <v>0</v>
      </c>
      <c r="I461" s="130">
        <f t="shared" si="51"/>
        <v>0</v>
      </c>
      <c r="J461" s="133">
        <f t="shared" si="52"/>
        <v>0</v>
      </c>
      <c r="K461" s="134">
        <v>0</v>
      </c>
      <c r="L461" s="129">
        <f t="shared" si="53"/>
        <v>0</v>
      </c>
    </row>
    <row r="462" spans="1:12">
      <c r="A462" s="122">
        <v>455</v>
      </c>
      <c r="D462" s="130">
        <v>0</v>
      </c>
      <c r="E462" s="128">
        <f t="shared" si="49"/>
        <v>0</v>
      </c>
      <c r="F462" s="123">
        <f t="shared" si="54"/>
        <v>0</v>
      </c>
      <c r="G462" s="128">
        <f t="shared" si="55"/>
        <v>0</v>
      </c>
      <c r="H462" s="127">
        <f t="shared" si="50"/>
        <v>0</v>
      </c>
      <c r="I462" s="130">
        <f t="shared" si="51"/>
        <v>0</v>
      </c>
      <c r="J462" s="133">
        <f t="shared" si="52"/>
        <v>0</v>
      </c>
      <c r="K462" s="134">
        <v>0</v>
      </c>
      <c r="L462" s="129">
        <f t="shared" si="53"/>
        <v>0</v>
      </c>
    </row>
    <row r="463" spans="1:12">
      <c r="A463" s="122">
        <v>456</v>
      </c>
      <c r="D463" s="130">
        <v>0</v>
      </c>
      <c r="E463" s="128">
        <f t="shared" si="49"/>
        <v>0</v>
      </c>
      <c r="F463" s="123">
        <f t="shared" si="54"/>
        <v>0</v>
      </c>
      <c r="G463" s="128">
        <f t="shared" si="55"/>
        <v>0</v>
      </c>
      <c r="H463" s="127">
        <f t="shared" si="50"/>
        <v>0</v>
      </c>
      <c r="I463" s="130">
        <f t="shared" si="51"/>
        <v>0</v>
      </c>
      <c r="J463" s="133">
        <f t="shared" si="52"/>
        <v>0</v>
      </c>
      <c r="K463" s="134">
        <v>0</v>
      </c>
      <c r="L463" s="129">
        <f t="shared" si="53"/>
        <v>0</v>
      </c>
    </row>
    <row r="464" spans="1:12">
      <c r="A464" s="122">
        <v>457</v>
      </c>
      <c r="D464" s="130">
        <v>0</v>
      </c>
      <c r="E464" s="128">
        <f t="shared" si="49"/>
        <v>0</v>
      </c>
      <c r="F464" s="123">
        <f t="shared" si="54"/>
        <v>0</v>
      </c>
      <c r="G464" s="128">
        <f t="shared" si="55"/>
        <v>0</v>
      </c>
      <c r="H464" s="127">
        <f t="shared" si="50"/>
        <v>0</v>
      </c>
      <c r="I464" s="130">
        <f t="shared" si="51"/>
        <v>0</v>
      </c>
      <c r="J464" s="133">
        <f t="shared" si="52"/>
        <v>0</v>
      </c>
      <c r="K464" s="134">
        <v>0</v>
      </c>
      <c r="L464" s="129">
        <f t="shared" si="53"/>
        <v>0</v>
      </c>
    </row>
    <row r="465" spans="1:12">
      <c r="A465" s="122">
        <v>458</v>
      </c>
      <c r="D465" s="130">
        <v>0</v>
      </c>
      <c r="E465" s="128">
        <f t="shared" si="49"/>
        <v>0</v>
      </c>
      <c r="F465" s="123">
        <f t="shared" si="54"/>
        <v>0</v>
      </c>
      <c r="G465" s="128">
        <f t="shared" si="55"/>
        <v>0</v>
      </c>
      <c r="H465" s="127">
        <f t="shared" si="50"/>
        <v>0</v>
      </c>
      <c r="I465" s="130">
        <f t="shared" si="51"/>
        <v>0</v>
      </c>
      <c r="J465" s="133">
        <f t="shared" si="52"/>
        <v>0</v>
      </c>
      <c r="K465" s="134">
        <v>0</v>
      </c>
      <c r="L465" s="129">
        <f t="shared" si="53"/>
        <v>0</v>
      </c>
    </row>
    <row r="466" spans="1:12">
      <c r="A466" s="122">
        <v>459</v>
      </c>
      <c r="D466" s="130">
        <v>0</v>
      </c>
      <c r="E466" s="128">
        <f t="shared" si="49"/>
        <v>0</v>
      </c>
      <c r="F466" s="123">
        <f t="shared" si="54"/>
        <v>0</v>
      </c>
      <c r="G466" s="128">
        <f t="shared" si="55"/>
        <v>0</v>
      </c>
      <c r="H466" s="127">
        <f t="shared" si="50"/>
        <v>0</v>
      </c>
      <c r="I466" s="130">
        <f t="shared" si="51"/>
        <v>0</v>
      </c>
      <c r="J466" s="133">
        <f t="shared" si="52"/>
        <v>0</v>
      </c>
      <c r="K466" s="134">
        <v>0</v>
      </c>
      <c r="L466" s="129">
        <f t="shared" si="53"/>
        <v>0</v>
      </c>
    </row>
    <row r="467" spans="1:12">
      <c r="A467" s="122">
        <v>460</v>
      </c>
      <c r="D467" s="130">
        <v>0</v>
      </c>
      <c r="E467" s="128">
        <f t="shared" si="49"/>
        <v>0</v>
      </c>
      <c r="F467" s="123">
        <f t="shared" si="54"/>
        <v>0</v>
      </c>
      <c r="G467" s="128">
        <f t="shared" si="55"/>
        <v>0</v>
      </c>
      <c r="H467" s="127">
        <f t="shared" si="50"/>
        <v>0</v>
      </c>
      <c r="I467" s="130">
        <f t="shared" si="51"/>
        <v>0</v>
      </c>
      <c r="J467" s="133">
        <f t="shared" si="52"/>
        <v>0</v>
      </c>
      <c r="K467" s="134">
        <v>0</v>
      </c>
      <c r="L467" s="129">
        <f t="shared" si="53"/>
        <v>0</v>
      </c>
    </row>
    <row r="468" spans="1:12">
      <c r="A468" s="122">
        <v>461</v>
      </c>
      <c r="D468" s="130">
        <v>0</v>
      </c>
      <c r="E468" s="128">
        <f t="shared" si="49"/>
        <v>0</v>
      </c>
      <c r="F468" s="123">
        <f t="shared" si="54"/>
        <v>0</v>
      </c>
      <c r="G468" s="128">
        <f t="shared" si="55"/>
        <v>0</v>
      </c>
      <c r="H468" s="127">
        <f t="shared" si="50"/>
        <v>0</v>
      </c>
      <c r="I468" s="130">
        <f t="shared" si="51"/>
        <v>0</v>
      </c>
      <c r="J468" s="133">
        <f t="shared" si="52"/>
        <v>0</v>
      </c>
      <c r="K468" s="134">
        <v>0</v>
      </c>
      <c r="L468" s="129">
        <f t="shared" si="53"/>
        <v>0</v>
      </c>
    </row>
    <row r="469" spans="1:12">
      <c r="A469" s="122">
        <v>462</v>
      </c>
      <c r="D469" s="130">
        <v>0</v>
      </c>
      <c r="E469" s="128">
        <f t="shared" si="49"/>
        <v>0</v>
      </c>
      <c r="F469" s="123">
        <f t="shared" si="54"/>
        <v>0</v>
      </c>
      <c r="G469" s="128">
        <f t="shared" si="55"/>
        <v>0</v>
      </c>
      <c r="H469" s="127">
        <f t="shared" si="50"/>
        <v>0</v>
      </c>
      <c r="I469" s="130">
        <f t="shared" si="51"/>
        <v>0</v>
      </c>
      <c r="J469" s="133">
        <f t="shared" si="52"/>
        <v>0</v>
      </c>
      <c r="K469" s="134">
        <v>0</v>
      </c>
      <c r="L469" s="129">
        <f t="shared" si="53"/>
        <v>0</v>
      </c>
    </row>
    <row r="470" spans="1:12">
      <c r="A470" s="122">
        <v>463</v>
      </c>
      <c r="D470" s="130">
        <v>0</v>
      </c>
      <c r="E470" s="128">
        <f t="shared" si="49"/>
        <v>0</v>
      </c>
      <c r="F470" s="123">
        <f t="shared" si="54"/>
        <v>0</v>
      </c>
      <c r="G470" s="128">
        <f t="shared" si="55"/>
        <v>0</v>
      </c>
      <c r="H470" s="127">
        <f t="shared" si="50"/>
        <v>0</v>
      </c>
      <c r="I470" s="130">
        <f t="shared" si="51"/>
        <v>0</v>
      </c>
      <c r="J470" s="133">
        <f t="shared" si="52"/>
        <v>0</v>
      </c>
      <c r="K470" s="134">
        <v>0</v>
      </c>
      <c r="L470" s="129">
        <f t="shared" si="53"/>
        <v>0</v>
      </c>
    </row>
    <row r="471" spans="1:12">
      <c r="A471" s="122">
        <v>464</v>
      </c>
      <c r="D471" s="130">
        <v>0</v>
      </c>
      <c r="E471" s="128">
        <f t="shared" si="49"/>
        <v>0</v>
      </c>
      <c r="F471" s="123">
        <f t="shared" si="54"/>
        <v>0</v>
      </c>
      <c r="G471" s="128">
        <f t="shared" si="55"/>
        <v>0</v>
      </c>
      <c r="H471" s="127">
        <f t="shared" si="50"/>
        <v>0</v>
      </c>
      <c r="I471" s="130">
        <f t="shared" si="51"/>
        <v>0</v>
      </c>
      <c r="J471" s="133">
        <f t="shared" si="52"/>
        <v>0</v>
      </c>
      <c r="K471" s="134">
        <v>0</v>
      </c>
      <c r="L471" s="129">
        <f t="shared" si="53"/>
        <v>0</v>
      </c>
    </row>
    <row r="472" spans="1:12">
      <c r="A472" s="122">
        <v>465</v>
      </c>
      <c r="D472" s="130">
        <v>0</v>
      </c>
      <c r="E472" s="128">
        <f t="shared" si="49"/>
        <v>0</v>
      </c>
      <c r="F472" s="123">
        <f t="shared" si="54"/>
        <v>0</v>
      </c>
      <c r="G472" s="128">
        <f t="shared" si="55"/>
        <v>0</v>
      </c>
      <c r="H472" s="127">
        <f t="shared" si="50"/>
        <v>0</v>
      </c>
      <c r="I472" s="130">
        <f t="shared" si="51"/>
        <v>0</v>
      </c>
      <c r="J472" s="133">
        <f t="shared" si="52"/>
        <v>0</v>
      </c>
      <c r="K472" s="134">
        <v>0</v>
      </c>
      <c r="L472" s="129">
        <f t="shared" si="53"/>
        <v>0</v>
      </c>
    </row>
    <row r="473" spans="1:12">
      <c r="A473" s="122">
        <v>466</v>
      </c>
      <c r="D473" s="130">
        <v>0</v>
      </c>
      <c r="E473" s="128">
        <f t="shared" si="49"/>
        <v>0</v>
      </c>
      <c r="F473" s="123">
        <f t="shared" si="54"/>
        <v>0</v>
      </c>
      <c r="G473" s="128">
        <f t="shared" si="55"/>
        <v>0</v>
      </c>
      <c r="H473" s="127">
        <f t="shared" si="50"/>
        <v>0</v>
      </c>
      <c r="I473" s="130">
        <f t="shared" si="51"/>
        <v>0</v>
      </c>
      <c r="J473" s="133">
        <f t="shared" si="52"/>
        <v>0</v>
      </c>
      <c r="K473" s="134">
        <v>0</v>
      </c>
      <c r="L473" s="129">
        <f t="shared" si="53"/>
        <v>0</v>
      </c>
    </row>
    <row r="474" spans="1:12">
      <c r="A474" s="122">
        <v>467</v>
      </c>
      <c r="D474" s="130">
        <v>0</v>
      </c>
      <c r="E474" s="128">
        <f t="shared" si="49"/>
        <v>0</v>
      </c>
      <c r="F474" s="123">
        <f t="shared" si="54"/>
        <v>0</v>
      </c>
      <c r="G474" s="128">
        <f t="shared" si="55"/>
        <v>0</v>
      </c>
      <c r="H474" s="127">
        <f t="shared" si="50"/>
        <v>0</v>
      </c>
      <c r="I474" s="130">
        <f t="shared" si="51"/>
        <v>0</v>
      </c>
      <c r="J474" s="133">
        <f t="shared" si="52"/>
        <v>0</v>
      </c>
      <c r="K474" s="134">
        <v>0</v>
      </c>
      <c r="L474" s="129">
        <f t="shared" si="53"/>
        <v>0</v>
      </c>
    </row>
    <row r="475" spans="1:12">
      <c r="A475" s="122">
        <v>468</v>
      </c>
      <c r="D475" s="130">
        <v>0</v>
      </c>
      <c r="E475" s="128">
        <f t="shared" si="49"/>
        <v>0</v>
      </c>
      <c r="F475" s="123">
        <f t="shared" si="54"/>
        <v>0</v>
      </c>
      <c r="G475" s="128">
        <f t="shared" si="55"/>
        <v>0</v>
      </c>
      <c r="H475" s="127">
        <f t="shared" si="50"/>
        <v>0</v>
      </c>
      <c r="I475" s="130">
        <f t="shared" si="51"/>
        <v>0</v>
      </c>
      <c r="J475" s="133">
        <f t="shared" si="52"/>
        <v>0</v>
      </c>
      <c r="K475" s="134">
        <v>0</v>
      </c>
      <c r="L475" s="129">
        <f t="shared" si="53"/>
        <v>0</v>
      </c>
    </row>
    <row r="476" spans="1:12">
      <c r="A476" s="122">
        <v>469</v>
      </c>
      <c r="D476" s="130">
        <v>0</v>
      </c>
      <c r="E476" s="128">
        <f t="shared" si="49"/>
        <v>0</v>
      </c>
      <c r="F476" s="123">
        <f t="shared" si="54"/>
        <v>0</v>
      </c>
      <c r="G476" s="128">
        <f t="shared" si="55"/>
        <v>0</v>
      </c>
      <c r="H476" s="127">
        <f t="shared" si="50"/>
        <v>0</v>
      </c>
      <c r="I476" s="130">
        <f t="shared" si="51"/>
        <v>0</v>
      </c>
      <c r="J476" s="133">
        <f t="shared" si="52"/>
        <v>0</v>
      </c>
      <c r="K476" s="134">
        <v>0</v>
      </c>
      <c r="L476" s="129">
        <f t="shared" si="53"/>
        <v>0</v>
      </c>
    </row>
    <row r="477" spans="1:12">
      <c r="A477" s="122">
        <v>470</v>
      </c>
      <c r="D477" s="130">
        <v>0</v>
      </c>
      <c r="E477" s="128">
        <f t="shared" si="49"/>
        <v>0</v>
      </c>
      <c r="F477" s="123">
        <f t="shared" si="54"/>
        <v>0</v>
      </c>
      <c r="G477" s="128">
        <f t="shared" si="55"/>
        <v>0</v>
      </c>
      <c r="H477" s="127">
        <f t="shared" si="50"/>
        <v>0</v>
      </c>
      <c r="I477" s="130">
        <f t="shared" si="51"/>
        <v>0</v>
      </c>
      <c r="J477" s="133">
        <f t="shared" si="52"/>
        <v>0</v>
      </c>
      <c r="K477" s="134">
        <v>0</v>
      </c>
      <c r="L477" s="129">
        <f t="shared" si="53"/>
        <v>0</v>
      </c>
    </row>
    <row r="478" spans="1:12">
      <c r="A478" s="122">
        <v>471</v>
      </c>
      <c r="D478" s="130">
        <v>0</v>
      </c>
      <c r="E478" s="128">
        <f t="shared" si="49"/>
        <v>0</v>
      </c>
      <c r="F478" s="123">
        <f t="shared" si="54"/>
        <v>0</v>
      </c>
      <c r="G478" s="128">
        <f t="shared" si="55"/>
        <v>0</v>
      </c>
      <c r="H478" s="127">
        <f t="shared" si="50"/>
        <v>0</v>
      </c>
      <c r="I478" s="130">
        <f t="shared" si="51"/>
        <v>0</v>
      </c>
      <c r="J478" s="133">
        <f t="shared" si="52"/>
        <v>0</v>
      </c>
      <c r="K478" s="134">
        <v>0</v>
      </c>
      <c r="L478" s="129">
        <f t="shared" si="53"/>
        <v>0</v>
      </c>
    </row>
    <row r="479" spans="1:12">
      <c r="A479" s="122">
        <v>472</v>
      </c>
      <c r="D479" s="130">
        <v>0</v>
      </c>
      <c r="E479" s="128">
        <f t="shared" si="49"/>
        <v>0</v>
      </c>
      <c r="F479" s="123">
        <f t="shared" si="54"/>
        <v>0</v>
      </c>
      <c r="G479" s="128">
        <f t="shared" si="55"/>
        <v>0</v>
      </c>
      <c r="H479" s="127">
        <f t="shared" si="50"/>
        <v>0</v>
      </c>
      <c r="I479" s="130">
        <f t="shared" si="51"/>
        <v>0</v>
      </c>
      <c r="J479" s="133">
        <f t="shared" si="52"/>
        <v>0</v>
      </c>
      <c r="K479" s="134">
        <v>0</v>
      </c>
      <c r="L479" s="129">
        <f t="shared" si="53"/>
        <v>0</v>
      </c>
    </row>
    <row r="480" spans="1:12">
      <c r="A480" s="122">
        <v>473</v>
      </c>
      <c r="D480" s="130">
        <v>0</v>
      </c>
      <c r="E480" s="128">
        <f t="shared" si="49"/>
        <v>0</v>
      </c>
      <c r="F480" s="123">
        <f t="shared" si="54"/>
        <v>0</v>
      </c>
      <c r="G480" s="128">
        <f t="shared" si="55"/>
        <v>0</v>
      </c>
      <c r="H480" s="127">
        <f t="shared" si="50"/>
        <v>0</v>
      </c>
      <c r="I480" s="130">
        <f t="shared" si="51"/>
        <v>0</v>
      </c>
      <c r="J480" s="133">
        <f t="shared" si="52"/>
        <v>0</v>
      </c>
      <c r="K480" s="134">
        <v>0</v>
      </c>
      <c r="L480" s="129">
        <f t="shared" si="53"/>
        <v>0</v>
      </c>
    </row>
    <row r="481" spans="1:12">
      <c r="A481" s="122">
        <v>474</v>
      </c>
      <c r="D481" s="130">
        <v>0</v>
      </c>
      <c r="E481" s="128">
        <f t="shared" si="49"/>
        <v>0</v>
      </c>
      <c r="F481" s="123">
        <f t="shared" si="54"/>
        <v>0</v>
      </c>
      <c r="G481" s="128">
        <f t="shared" si="55"/>
        <v>0</v>
      </c>
      <c r="H481" s="127">
        <f t="shared" si="50"/>
        <v>0</v>
      </c>
      <c r="I481" s="130">
        <f t="shared" si="51"/>
        <v>0</v>
      </c>
      <c r="J481" s="133">
        <f t="shared" si="52"/>
        <v>0</v>
      </c>
      <c r="K481" s="134">
        <v>0</v>
      </c>
      <c r="L481" s="129">
        <f t="shared" si="53"/>
        <v>0</v>
      </c>
    </row>
    <row r="482" spans="1:12">
      <c r="A482" s="122">
        <v>475</v>
      </c>
      <c r="D482" s="130">
        <v>0</v>
      </c>
      <c r="E482" s="128">
        <f t="shared" si="49"/>
        <v>0</v>
      </c>
      <c r="F482" s="123">
        <f t="shared" si="54"/>
        <v>0</v>
      </c>
      <c r="G482" s="128">
        <f t="shared" si="55"/>
        <v>0</v>
      </c>
      <c r="H482" s="127">
        <f t="shared" si="50"/>
        <v>0</v>
      </c>
      <c r="I482" s="130">
        <f t="shared" si="51"/>
        <v>0</v>
      </c>
      <c r="J482" s="133">
        <f t="shared" si="52"/>
        <v>0</v>
      </c>
      <c r="K482" s="134">
        <v>0</v>
      </c>
      <c r="L482" s="129">
        <f t="shared" si="53"/>
        <v>0</v>
      </c>
    </row>
    <row r="483" spans="1:12">
      <c r="A483" s="122">
        <v>476</v>
      </c>
      <c r="D483" s="130">
        <v>0</v>
      </c>
      <c r="E483" s="128">
        <f t="shared" si="49"/>
        <v>0</v>
      </c>
      <c r="F483" s="123">
        <f t="shared" si="54"/>
        <v>0</v>
      </c>
      <c r="G483" s="128">
        <f t="shared" si="55"/>
        <v>0</v>
      </c>
      <c r="H483" s="127">
        <f t="shared" si="50"/>
        <v>0</v>
      </c>
      <c r="I483" s="130">
        <f t="shared" si="51"/>
        <v>0</v>
      </c>
      <c r="J483" s="133">
        <f t="shared" si="52"/>
        <v>0</v>
      </c>
      <c r="K483" s="134">
        <v>0</v>
      </c>
      <c r="L483" s="129">
        <f t="shared" si="53"/>
        <v>0</v>
      </c>
    </row>
    <row r="484" spans="1:12">
      <c r="A484" s="122">
        <v>477</v>
      </c>
      <c r="D484" s="130">
        <v>0</v>
      </c>
      <c r="E484" s="128">
        <f t="shared" si="49"/>
        <v>0</v>
      </c>
      <c r="F484" s="123">
        <f t="shared" si="54"/>
        <v>0</v>
      </c>
      <c r="G484" s="128">
        <f t="shared" si="55"/>
        <v>0</v>
      </c>
      <c r="H484" s="127">
        <f t="shared" si="50"/>
        <v>0</v>
      </c>
      <c r="I484" s="130">
        <f t="shared" si="51"/>
        <v>0</v>
      </c>
      <c r="J484" s="133">
        <f t="shared" si="52"/>
        <v>0</v>
      </c>
      <c r="K484" s="134">
        <v>0</v>
      </c>
      <c r="L484" s="129">
        <f t="shared" si="53"/>
        <v>0</v>
      </c>
    </row>
    <row r="485" spans="1:12">
      <c r="A485" s="122">
        <v>478</v>
      </c>
      <c r="D485" s="130">
        <v>0</v>
      </c>
      <c r="E485" s="128">
        <f t="shared" si="49"/>
        <v>0</v>
      </c>
      <c r="F485" s="123">
        <f t="shared" si="54"/>
        <v>0</v>
      </c>
      <c r="G485" s="128">
        <f t="shared" si="55"/>
        <v>0</v>
      </c>
      <c r="H485" s="127">
        <f t="shared" si="50"/>
        <v>0</v>
      </c>
      <c r="I485" s="130">
        <f t="shared" si="51"/>
        <v>0</v>
      </c>
      <c r="J485" s="133">
        <f t="shared" si="52"/>
        <v>0</v>
      </c>
      <c r="K485" s="134">
        <v>0</v>
      </c>
      <c r="L485" s="129">
        <f t="shared" si="53"/>
        <v>0</v>
      </c>
    </row>
    <row r="486" spans="1:12">
      <c r="A486" s="122">
        <v>479</v>
      </c>
      <c r="D486" s="130">
        <v>0</v>
      </c>
      <c r="E486" s="128">
        <f t="shared" si="49"/>
        <v>0</v>
      </c>
      <c r="F486" s="123">
        <f t="shared" si="54"/>
        <v>0</v>
      </c>
      <c r="G486" s="128">
        <f t="shared" si="55"/>
        <v>0</v>
      </c>
      <c r="H486" s="127">
        <f t="shared" si="50"/>
        <v>0</v>
      </c>
      <c r="I486" s="130">
        <f t="shared" si="51"/>
        <v>0</v>
      </c>
      <c r="J486" s="133">
        <f t="shared" si="52"/>
        <v>0</v>
      </c>
      <c r="K486" s="134">
        <v>0</v>
      </c>
      <c r="L486" s="129">
        <f t="shared" si="53"/>
        <v>0</v>
      </c>
    </row>
    <row r="487" spans="1:12">
      <c r="A487" s="122">
        <v>480</v>
      </c>
      <c r="D487" s="130">
        <v>0</v>
      </c>
      <c r="E487" s="128">
        <f t="shared" si="49"/>
        <v>0</v>
      </c>
      <c r="F487" s="123">
        <f t="shared" si="54"/>
        <v>0</v>
      </c>
      <c r="G487" s="128">
        <f t="shared" si="55"/>
        <v>0</v>
      </c>
      <c r="H487" s="127">
        <f t="shared" si="50"/>
        <v>0</v>
      </c>
      <c r="I487" s="130">
        <f t="shared" si="51"/>
        <v>0</v>
      </c>
      <c r="J487" s="133">
        <f t="shared" si="52"/>
        <v>0</v>
      </c>
      <c r="K487" s="134">
        <v>0</v>
      </c>
      <c r="L487" s="129">
        <f t="shared" si="53"/>
        <v>0</v>
      </c>
    </row>
    <row r="488" spans="1:12">
      <c r="A488" s="122">
        <v>481</v>
      </c>
      <c r="D488" s="130">
        <v>0</v>
      </c>
      <c r="E488" s="128">
        <f t="shared" si="49"/>
        <v>0</v>
      </c>
      <c r="F488" s="123">
        <f t="shared" si="54"/>
        <v>0</v>
      </c>
      <c r="G488" s="128">
        <f t="shared" si="55"/>
        <v>0</v>
      </c>
      <c r="H488" s="127">
        <f t="shared" si="50"/>
        <v>0</v>
      </c>
      <c r="I488" s="130">
        <f t="shared" si="51"/>
        <v>0</v>
      </c>
      <c r="J488" s="133">
        <f t="shared" si="52"/>
        <v>0</v>
      </c>
      <c r="K488" s="134">
        <v>0</v>
      </c>
      <c r="L488" s="129">
        <f t="shared" si="53"/>
        <v>0</v>
      </c>
    </row>
    <row r="489" spans="1:12">
      <c r="A489" s="122">
        <v>482</v>
      </c>
      <c r="D489" s="130">
        <v>0</v>
      </c>
      <c r="E489" s="128">
        <f t="shared" si="49"/>
        <v>0</v>
      </c>
      <c r="F489" s="123">
        <f t="shared" si="54"/>
        <v>0</v>
      </c>
      <c r="G489" s="128">
        <f t="shared" si="55"/>
        <v>0</v>
      </c>
      <c r="H489" s="127">
        <f t="shared" si="50"/>
        <v>0</v>
      </c>
      <c r="I489" s="130">
        <f t="shared" si="51"/>
        <v>0</v>
      </c>
      <c r="J489" s="133">
        <f t="shared" si="52"/>
        <v>0</v>
      </c>
      <c r="K489" s="134">
        <v>0</v>
      </c>
      <c r="L489" s="129">
        <f t="shared" si="53"/>
        <v>0</v>
      </c>
    </row>
    <row r="490" spans="1:12">
      <c r="A490" s="122">
        <v>483</v>
      </c>
      <c r="D490" s="130">
        <v>0</v>
      </c>
      <c r="E490" s="128">
        <f t="shared" si="49"/>
        <v>0</v>
      </c>
      <c r="F490" s="123">
        <f t="shared" si="54"/>
        <v>0</v>
      </c>
      <c r="G490" s="128">
        <f t="shared" si="55"/>
        <v>0</v>
      </c>
      <c r="H490" s="127">
        <f t="shared" si="50"/>
        <v>0</v>
      </c>
      <c r="I490" s="130">
        <f t="shared" si="51"/>
        <v>0</v>
      </c>
      <c r="J490" s="133">
        <f t="shared" si="52"/>
        <v>0</v>
      </c>
      <c r="K490" s="134">
        <v>0</v>
      </c>
      <c r="L490" s="129">
        <f t="shared" si="53"/>
        <v>0</v>
      </c>
    </row>
    <row r="491" spans="1:12">
      <c r="A491" s="122">
        <v>484</v>
      </c>
      <c r="D491" s="130">
        <v>0</v>
      </c>
      <c r="E491" s="128">
        <f t="shared" si="49"/>
        <v>0</v>
      </c>
      <c r="F491" s="123">
        <f t="shared" si="54"/>
        <v>0</v>
      </c>
      <c r="G491" s="128">
        <f t="shared" si="55"/>
        <v>0</v>
      </c>
      <c r="H491" s="127">
        <f t="shared" si="50"/>
        <v>0</v>
      </c>
      <c r="I491" s="130">
        <f t="shared" si="51"/>
        <v>0</v>
      </c>
      <c r="J491" s="133">
        <f t="shared" si="52"/>
        <v>0</v>
      </c>
      <c r="K491" s="134">
        <v>0</v>
      </c>
      <c r="L491" s="129">
        <f t="shared" si="53"/>
        <v>0</v>
      </c>
    </row>
    <row r="492" spans="1:12">
      <c r="A492" s="122">
        <v>485</v>
      </c>
      <c r="D492" s="130">
        <v>0</v>
      </c>
      <c r="E492" s="128">
        <f t="shared" si="49"/>
        <v>0</v>
      </c>
      <c r="F492" s="123">
        <f t="shared" si="54"/>
        <v>0</v>
      </c>
      <c r="G492" s="128">
        <f t="shared" si="55"/>
        <v>0</v>
      </c>
      <c r="H492" s="127">
        <f t="shared" si="50"/>
        <v>0</v>
      </c>
      <c r="I492" s="130">
        <f t="shared" si="51"/>
        <v>0</v>
      </c>
      <c r="J492" s="133">
        <f t="shared" si="52"/>
        <v>0</v>
      </c>
      <c r="K492" s="134">
        <v>0</v>
      </c>
      <c r="L492" s="129">
        <f t="shared" si="53"/>
        <v>0</v>
      </c>
    </row>
    <row r="493" spans="1:12">
      <c r="A493" s="122">
        <v>486</v>
      </c>
      <c r="D493" s="130">
        <v>0</v>
      </c>
      <c r="E493" s="128">
        <f t="shared" si="49"/>
        <v>0</v>
      </c>
      <c r="F493" s="123">
        <f t="shared" si="54"/>
        <v>0</v>
      </c>
      <c r="G493" s="128">
        <f t="shared" si="55"/>
        <v>0</v>
      </c>
      <c r="H493" s="127">
        <f t="shared" si="50"/>
        <v>0</v>
      </c>
      <c r="I493" s="130">
        <f t="shared" si="51"/>
        <v>0</v>
      </c>
      <c r="J493" s="133">
        <f t="shared" si="52"/>
        <v>0</v>
      </c>
      <c r="K493" s="134">
        <v>0</v>
      </c>
      <c r="L493" s="129">
        <f t="shared" si="53"/>
        <v>0</v>
      </c>
    </row>
    <row r="494" spans="1:12">
      <c r="A494" s="122">
        <v>487</v>
      </c>
      <c r="D494" s="130">
        <v>0</v>
      </c>
      <c r="E494" s="128">
        <f t="shared" si="49"/>
        <v>0</v>
      </c>
      <c r="F494" s="123">
        <f t="shared" si="54"/>
        <v>0</v>
      </c>
      <c r="G494" s="128">
        <f t="shared" si="55"/>
        <v>0</v>
      </c>
      <c r="H494" s="127">
        <f t="shared" si="50"/>
        <v>0</v>
      </c>
      <c r="I494" s="130">
        <f t="shared" si="51"/>
        <v>0</v>
      </c>
      <c r="J494" s="133">
        <f t="shared" si="52"/>
        <v>0</v>
      </c>
      <c r="K494" s="134">
        <v>0</v>
      </c>
      <c r="L494" s="129">
        <f t="shared" si="53"/>
        <v>0</v>
      </c>
    </row>
    <row r="495" spans="1:12">
      <c r="A495" s="122">
        <v>488</v>
      </c>
      <c r="D495" s="130">
        <v>0</v>
      </c>
      <c r="E495" s="128">
        <f t="shared" si="49"/>
        <v>0</v>
      </c>
      <c r="F495" s="123">
        <f t="shared" si="54"/>
        <v>0</v>
      </c>
      <c r="G495" s="128">
        <f t="shared" si="55"/>
        <v>0</v>
      </c>
      <c r="H495" s="127">
        <f t="shared" si="50"/>
        <v>0</v>
      </c>
      <c r="I495" s="130">
        <f t="shared" si="51"/>
        <v>0</v>
      </c>
      <c r="J495" s="133">
        <f t="shared" si="52"/>
        <v>0</v>
      </c>
      <c r="K495" s="134">
        <v>0</v>
      </c>
      <c r="L495" s="129">
        <f t="shared" si="53"/>
        <v>0</v>
      </c>
    </row>
    <row r="496" spans="1:12">
      <c r="A496" s="122">
        <v>489</v>
      </c>
      <c r="D496" s="130">
        <v>0</v>
      </c>
      <c r="E496" s="128">
        <f t="shared" si="49"/>
        <v>0</v>
      </c>
      <c r="F496" s="123">
        <f t="shared" si="54"/>
        <v>0</v>
      </c>
      <c r="G496" s="128">
        <f t="shared" si="55"/>
        <v>0</v>
      </c>
      <c r="H496" s="127">
        <f t="shared" si="50"/>
        <v>0</v>
      </c>
      <c r="I496" s="130">
        <f t="shared" si="51"/>
        <v>0</v>
      </c>
      <c r="J496" s="133">
        <f t="shared" si="52"/>
        <v>0</v>
      </c>
      <c r="K496" s="134">
        <v>0</v>
      </c>
      <c r="L496" s="129">
        <f t="shared" si="53"/>
        <v>0</v>
      </c>
    </row>
    <row r="497" spans="1:12">
      <c r="A497" s="122">
        <v>490</v>
      </c>
      <c r="D497" s="130">
        <v>0</v>
      </c>
      <c r="E497" s="128">
        <f t="shared" si="49"/>
        <v>0</v>
      </c>
      <c r="F497" s="123">
        <f t="shared" si="54"/>
        <v>0</v>
      </c>
      <c r="G497" s="128">
        <f t="shared" si="55"/>
        <v>0</v>
      </c>
      <c r="H497" s="127">
        <f t="shared" si="50"/>
        <v>0</v>
      </c>
      <c r="I497" s="130">
        <f t="shared" si="51"/>
        <v>0</v>
      </c>
      <c r="J497" s="133">
        <f t="shared" si="52"/>
        <v>0</v>
      </c>
      <c r="K497" s="134">
        <v>0</v>
      </c>
      <c r="L497" s="129">
        <f t="shared" si="53"/>
        <v>0</v>
      </c>
    </row>
    <row r="498" spans="1:12">
      <c r="A498" s="122">
        <v>491</v>
      </c>
      <c r="D498" s="130">
        <v>0</v>
      </c>
      <c r="E498" s="128">
        <f t="shared" si="49"/>
        <v>0</v>
      </c>
      <c r="F498" s="123">
        <f t="shared" si="54"/>
        <v>0</v>
      </c>
      <c r="G498" s="128">
        <f t="shared" si="55"/>
        <v>0</v>
      </c>
      <c r="H498" s="127">
        <f t="shared" si="50"/>
        <v>0</v>
      </c>
      <c r="I498" s="130">
        <f t="shared" si="51"/>
        <v>0</v>
      </c>
      <c r="J498" s="133">
        <f t="shared" si="52"/>
        <v>0</v>
      </c>
      <c r="K498" s="134">
        <v>0</v>
      </c>
      <c r="L498" s="129">
        <f t="shared" si="53"/>
        <v>0</v>
      </c>
    </row>
    <row r="499" spans="1:12">
      <c r="A499" s="122">
        <v>492</v>
      </c>
      <c r="D499" s="130">
        <v>0</v>
      </c>
      <c r="E499" s="128">
        <f t="shared" si="49"/>
        <v>0</v>
      </c>
      <c r="F499" s="123">
        <f t="shared" si="54"/>
        <v>0</v>
      </c>
      <c r="G499" s="128">
        <f t="shared" si="55"/>
        <v>0</v>
      </c>
      <c r="H499" s="127">
        <f t="shared" si="50"/>
        <v>0</v>
      </c>
      <c r="I499" s="130">
        <f t="shared" si="51"/>
        <v>0</v>
      </c>
      <c r="J499" s="133">
        <f t="shared" si="52"/>
        <v>0</v>
      </c>
      <c r="K499" s="134">
        <v>0</v>
      </c>
      <c r="L499" s="129">
        <f t="shared" si="53"/>
        <v>0</v>
      </c>
    </row>
    <row r="500" spans="1:12">
      <c r="A500" s="122">
        <v>493</v>
      </c>
      <c r="D500" s="130">
        <v>0</v>
      </c>
      <c r="E500" s="128">
        <f t="shared" si="49"/>
        <v>0</v>
      </c>
      <c r="F500" s="123">
        <f t="shared" si="54"/>
        <v>0</v>
      </c>
      <c r="G500" s="128">
        <f t="shared" si="55"/>
        <v>0</v>
      </c>
      <c r="H500" s="127">
        <f t="shared" si="50"/>
        <v>0</v>
      </c>
      <c r="I500" s="130">
        <f t="shared" si="51"/>
        <v>0</v>
      </c>
      <c r="J500" s="133">
        <f t="shared" si="52"/>
        <v>0</v>
      </c>
      <c r="K500" s="134">
        <v>0</v>
      </c>
      <c r="L500" s="129">
        <f t="shared" si="53"/>
        <v>0</v>
      </c>
    </row>
    <row r="501" spans="1:12">
      <c r="A501" s="122">
        <v>494</v>
      </c>
      <c r="D501" s="130">
        <v>0</v>
      </c>
      <c r="E501" s="128">
        <f t="shared" si="49"/>
        <v>0</v>
      </c>
      <c r="F501" s="123">
        <f t="shared" si="54"/>
        <v>0</v>
      </c>
      <c r="G501" s="128">
        <f t="shared" si="55"/>
        <v>0</v>
      </c>
      <c r="H501" s="127">
        <f t="shared" si="50"/>
        <v>0</v>
      </c>
      <c r="I501" s="130">
        <f t="shared" si="51"/>
        <v>0</v>
      </c>
      <c r="J501" s="133">
        <f t="shared" si="52"/>
        <v>0</v>
      </c>
      <c r="K501" s="134">
        <v>0</v>
      </c>
      <c r="L501" s="129">
        <f t="shared" si="53"/>
        <v>0</v>
      </c>
    </row>
    <row r="502" spans="1:12">
      <c r="A502" s="122">
        <v>495</v>
      </c>
      <c r="D502" s="130">
        <v>0</v>
      </c>
      <c r="E502" s="128">
        <f t="shared" si="49"/>
        <v>0</v>
      </c>
      <c r="F502" s="123">
        <f t="shared" si="54"/>
        <v>0</v>
      </c>
      <c r="G502" s="128">
        <f t="shared" si="55"/>
        <v>0</v>
      </c>
      <c r="H502" s="127">
        <f t="shared" si="50"/>
        <v>0</v>
      </c>
      <c r="I502" s="130">
        <f t="shared" si="51"/>
        <v>0</v>
      </c>
      <c r="J502" s="133">
        <f t="shared" si="52"/>
        <v>0</v>
      </c>
      <c r="K502" s="134">
        <v>0</v>
      </c>
      <c r="L502" s="129">
        <f t="shared" si="53"/>
        <v>0</v>
      </c>
    </row>
    <row r="503" spans="1:12">
      <c r="A503" s="122">
        <v>496</v>
      </c>
      <c r="D503" s="130">
        <v>0</v>
      </c>
      <c r="E503" s="128">
        <f t="shared" si="49"/>
        <v>0</v>
      </c>
      <c r="F503" s="123">
        <f t="shared" si="54"/>
        <v>0</v>
      </c>
      <c r="G503" s="128">
        <f t="shared" si="55"/>
        <v>0</v>
      </c>
      <c r="H503" s="127">
        <f t="shared" si="50"/>
        <v>0</v>
      </c>
      <c r="I503" s="130">
        <f t="shared" si="51"/>
        <v>0</v>
      </c>
      <c r="J503" s="133">
        <f t="shared" si="52"/>
        <v>0</v>
      </c>
      <c r="K503" s="134">
        <v>0</v>
      </c>
      <c r="L503" s="129">
        <f t="shared" si="53"/>
        <v>0</v>
      </c>
    </row>
    <row r="504" spans="1:12">
      <c r="A504" s="122">
        <v>497</v>
      </c>
      <c r="D504" s="130">
        <v>0</v>
      </c>
      <c r="E504" s="128">
        <f t="shared" si="49"/>
        <v>0</v>
      </c>
      <c r="F504" s="123">
        <f t="shared" si="54"/>
        <v>0</v>
      </c>
      <c r="G504" s="128">
        <f t="shared" si="55"/>
        <v>0</v>
      </c>
      <c r="H504" s="127">
        <f t="shared" si="50"/>
        <v>0</v>
      </c>
      <c r="I504" s="130">
        <f t="shared" si="51"/>
        <v>0</v>
      </c>
      <c r="J504" s="133">
        <f t="shared" si="52"/>
        <v>0</v>
      </c>
      <c r="K504" s="134">
        <v>0</v>
      </c>
      <c r="L504" s="129">
        <f t="shared" si="53"/>
        <v>0</v>
      </c>
    </row>
    <row r="505" spans="1:12">
      <c r="A505" s="122">
        <v>498</v>
      </c>
      <c r="D505" s="130">
        <v>0</v>
      </c>
      <c r="E505" s="128">
        <f t="shared" si="49"/>
        <v>0</v>
      </c>
      <c r="F505" s="123">
        <f t="shared" si="54"/>
        <v>0</v>
      </c>
      <c r="G505" s="128">
        <f t="shared" si="55"/>
        <v>0</v>
      </c>
      <c r="H505" s="127">
        <f t="shared" si="50"/>
        <v>0</v>
      </c>
      <c r="I505" s="130">
        <f t="shared" si="51"/>
        <v>0</v>
      </c>
      <c r="J505" s="133">
        <f t="shared" si="52"/>
        <v>0</v>
      </c>
      <c r="K505" s="134">
        <v>0</v>
      </c>
      <c r="L505" s="129">
        <f t="shared" si="53"/>
        <v>0</v>
      </c>
    </row>
    <row r="506" spans="1:12">
      <c r="A506" s="122">
        <v>499</v>
      </c>
      <c r="D506" s="130">
        <v>0</v>
      </c>
      <c r="E506" s="128">
        <f t="shared" si="49"/>
        <v>0</v>
      </c>
      <c r="F506" s="123">
        <f t="shared" si="54"/>
        <v>0</v>
      </c>
      <c r="G506" s="128">
        <f t="shared" si="55"/>
        <v>0</v>
      </c>
      <c r="H506" s="127">
        <f t="shared" si="50"/>
        <v>0</v>
      </c>
      <c r="I506" s="130">
        <f t="shared" si="51"/>
        <v>0</v>
      </c>
      <c r="J506" s="133">
        <f t="shared" si="52"/>
        <v>0</v>
      </c>
      <c r="K506" s="134">
        <v>0</v>
      </c>
      <c r="L506" s="129">
        <f t="shared" si="53"/>
        <v>0</v>
      </c>
    </row>
    <row r="507" spans="1:12">
      <c r="A507" s="122">
        <v>500</v>
      </c>
      <c r="D507" s="130">
        <v>0</v>
      </c>
      <c r="E507" s="128">
        <f t="shared" si="49"/>
        <v>0</v>
      </c>
      <c r="F507" s="123">
        <f t="shared" si="54"/>
        <v>0</v>
      </c>
      <c r="G507" s="128">
        <f t="shared" si="55"/>
        <v>0</v>
      </c>
      <c r="H507" s="127">
        <f t="shared" si="50"/>
        <v>0</v>
      </c>
      <c r="I507" s="130">
        <f t="shared" si="51"/>
        <v>0</v>
      </c>
      <c r="J507" s="133">
        <f t="shared" si="52"/>
        <v>0</v>
      </c>
      <c r="K507" s="134">
        <v>0</v>
      </c>
      <c r="L507" s="129">
        <f t="shared" si="53"/>
        <v>0</v>
      </c>
    </row>
    <row r="508" spans="1:12">
      <c r="A508" s="122">
        <v>501</v>
      </c>
      <c r="D508" s="130">
        <v>0</v>
      </c>
      <c r="E508" s="128">
        <f t="shared" si="49"/>
        <v>0</v>
      </c>
      <c r="F508" s="123">
        <f t="shared" si="54"/>
        <v>0</v>
      </c>
      <c r="G508" s="128">
        <f t="shared" si="55"/>
        <v>0</v>
      </c>
      <c r="H508" s="127">
        <f t="shared" si="50"/>
        <v>0</v>
      </c>
      <c r="I508" s="130">
        <f t="shared" si="51"/>
        <v>0</v>
      </c>
      <c r="J508" s="133">
        <f t="shared" si="52"/>
        <v>0</v>
      </c>
      <c r="K508" s="134">
        <v>0</v>
      </c>
      <c r="L508" s="129">
        <f t="shared" si="53"/>
        <v>0</v>
      </c>
    </row>
    <row r="509" spans="1:12">
      <c r="A509" s="122">
        <v>502</v>
      </c>
      <c r="D509" s="130">
        <v>0</v>
      </c>
      <c r="E509" s="128">
        <f t="shared" si="49"/>
        <v>0</v>
      </c>
      <c r="F509" s="123">
        <f t="shared" si="54"/>
        <v>0</v>
      </c>
      <c r="G509" s="128">
        <f t="shared" si="55"/>
        <v>0</v>
      </c>
      <c r="H509" s="127">
        <f t="shared" si="50"/>
        <v>0</v>
      </c>
      <c r="I509" s="130">
        <f t="shared" si="51"/>
        <v>0</v>
      </c>
      <c r="J509" s="133">
        <f t="shared" si="52"/>
        <v>0</v>
      </c>
      <c r="K509" s="134">
        <v>0</v>
      </c>
      <c r="L509" s="129">
        <f t="shared" si="53"/>
        <v>0</v>
      </c>
    </row>
    <row r="510" spans="1:12">
      <c r="A510" s="122">
        <v>503</v>
      </c>
      <c r="D510" s="130">
        <v>0</v>
      </c>
      <c r="E510" s="128">
        <f t="shared" si="49"/>
        <v>0</v>
      </c>
      <c r="F510" s="123">
        <f t="shared" si="54"/>
        <v>0</v>
      </c>
      <c r="G510" s="128">
        <f t="shared" si="55"/>
        <v>0</v>
      </c>
      <c r="H510" s="127">
        <f t="shared" si="50"/>
        <v>0</v>
      </c>
      <c r="I510" s="130">
        <f t="shared" si="51"/>
        <v>0</v>
      </c>
      <c r="J510" s="133">
        <f t="shared" si="52"/>
        <v>0</v>
      </c>
      <c r="K510" s="134">
        <v>0</v>
      </c>
      <c r="L510" s="129">
        <f t="shared" si="53"/>
        <v>0</v>
      </c>
    </row>
    <row r="511" spans="1:12">
      <c r="A511" s="122">
        <v>504</v>
      </c>
      <c r="D511" s="130">
        <v>0</v>
      </c>
      <c r="E511" s="128">
        <f t="shared" si="49"/>
        <v>0</v>
      </c>
      <c r="F511" s="123">
        <f t="shared" si="54"/>
        <v>0</v>
      </c>
      <c r="G511" s="128">
        <f t="shared" si="55"/>
        <v>0</v>
      </c>
      <c r="H511" s="127">
        <f t="shared" si="50"/>
        <v>0</v>
      </c>
      <c r="I511" s="130">
        <f t="shared" si="51"/>
        <v>0</v>
      </c>
      <c r="J511" s="133">
        <f t="shared" si="52"/>
        <v>0</v>
      </c>
      <c r="K511" s="134">
        <v>0</v>
      </c>
      <c r="L511" s="129">
        <f t="shared" si="53"/>
        <v>0</v>
      </c>
    </row>
    <row r="512" spans="1:12">
      <c r="A512" s="122">
        <v>505</v>
      </c>
      <c r="D512" s="130">
        <v>0</v>
      </c>
      <c r="E512" s="128">
        <f t="shared" si="49"/>
        <v>0</v>
      </c>
      <c r="F512" s="123">
        <f t="shared" si="54"/>
        <v>0</v>
      </c>
      <c r="G512" s="128">
        <f t="shared" si="55"/>
        <v>0</v>
      </c>
      <c r="H512" s="127">
        <f t="shared" si="50"/>
        <v>0</v>
      </c>
      <c r="I512" s="130">
        <f t="shared" si="51"/>
        <v>0</v>
      </c>
      <c r="J512" s="133">
        <f t="shared" si="52"/>
        <v>0</v>
      </c>
      <c r="K512" s="134">
        <v>0</v>
      </c>
      <c r="L512" s="129">
        <f t="shared" si="53"/>
        <v>0</v>
      </c>
    </row>
    <row r="513" spans="1:12">
      <c r="A513" s="122">
        <v>506</v>
      </c>
      <c r="D513" s="130">
        <v>0</v>
      </c>
      <c r="E513" s="128">
        <f t="shared" si="49"/>
        <v>0</v>
      </c>
      <c r="F513" s="123">
        <f t="shared" si="54"/>
        <v>0</v>
      </c>
      <c r="G513" s="128">
        <f t="shared" si="55"/>
        <v>0</v>
      </c>
      <c r="H513" s="127">
        <f t="shared" si="50"/>
        <v>0</v>
      </c>
      <c r="I513" s="130">
        <f t="shared" si="51"/>
        <v>0</v>
      </c>
      <c r="J513" s="133">
        <f t="shared" si="52"/>
        <v>0</v>
      </c>
      <c r="K513" s="134">
        <v>0</v>
      </c>
      <c r="L513" s="129">
        <f t="shared" si="53"/>
        <v>0</v>
      </c>
    </row>
    <row r="514" spans="1:12">
      <c r="A514" s="122">
        <v>507</v>
      </c>
      <c r="D514" s="130">
        <v>0</v>
      </c>
      <c r="E514" s="128">
        <f t="shared" si="49"/>
        <v>0</v>
      </c>
      <c r="F514" s="123">
        <f t="shared" si="54"/>
        <v>0</v>
      </c>
      <c r="G514" s="128">
        <f t="shared" si="55"/>
        <v>0</v>
      </c>
      <c r="H514" s="127">
        <f t="shared" si="50"/>
        <v>0</v>
      </c>
      <c r="I514" s="130">
        <f t="shared" si="51"/>
        <v>0</v>
      </c>
      <c r="J514" s="133">
        <f t="shared" si="52"/>
        <v>0</v>
      </c>
      <c r="K514" s="134">
        <v>0</v>
      </c>
      <c r="L514" s="129">
        <f t="shared" si="53"/>
        <v>0</v>
      </c>
    </row>
    <row r="515" spans="1:12">
      <c r="A515" s="122">
        <v>508</v>
      </c>
      <c r="D515" s="130">
        <v>0</v>
      </c>
      <c r="E515" s="128">
        <f t="shared" si="49"/>
        <v>0</v>
      </c>
      <c r="F515" s="123">
        <f t="shared" si="54"/>
        <v>0</v>
      </c>
      <c r="G515" s="128">
        <f t="shared" si="55"/>
        <v>0</v>
      </c>
      <c r="H515" s="127">
        <f t="shared" si="50"/>
        <v>0</v>
      </c>
      <c r="I515" s="130">
        <f t="shared" si="51"/>
        <v>0</v>
      </c>
      <c r="J515" s="133">
        <f t="shared" si="52"/>
        <v>0</v>
      </c>
      <c r="K515" s="134">
        <v>0</v>
      </c>
      <c r="L515" s="129">
        <f t="shared" si="53"/>
        <v>0</v>
      </c>
    </row>
    <row r="516" spans="1:12">
      <c r="A516" s="122">
        <v>509</v>
      </c>
      <c r="D516" s="130">
        <v>0</v>
      </c>
      <c r="E516" s="128">
        <f t="shared" si="49"/>
        <v>0</v>
      </c>
      <c r="F516" s="123">
        <f t="shared" si="54"/>
        <v>0</v>
      </c>
      <c r="G516" s="128">
        <f t="shared" si="55"/>
        <v>0</v>
      </c>
      <c r="H516" s="127">
        <f t="shared" si="50"/>
        <v>0</v>
      </c>
      <c r="I516" s="130">
        <f t="shared" si="51"/>
        <v>0</v>
      </c>
      <c r="J516" s="133">
        <f t="shared" si="52"/>
        <v>0</v>
      </c>
      <c r="K516" s="134">
        <v>0</v>
      </c>
      <c r="L516" s="129">
        <f t="shared" si="53"/>
        <v>0</v>
      </c>
    </row>
    <row r="517" spans="1:12">
      <c r="A517" s="122">
        <v>510</v>
      </c>
      <c r="D517" s="130">
        <v>0</v>
      </c>
      <c r="E517" s="128">
        <f t="shared" si="49"/>
        <v>0</v>
      </c>
      <c r="F517" s="123">
        <f t="shared" si="54"/>
        <v>0</v>
      </c>
      <c r="G517" s="128">
        <f t="shared" si="55"/>
        <v>0</v>
      </c>
      <c r="H517" s="127">
        <f t="shared" si="50"/>
        <v>0</v>
      </c>
      <c r="I517" s="130">
        <f t="shared" si="51"/>
        <v>0</v>
      </c>
      <c r="J517" s="133">
        <f t="shared" si="52"/>
        <v>0</v>
      </c>
      <c r="K517" s="134">
        <v>0</v>
      </c>
      <c r="L517" s="129">
        <f t="shared" si="53"/>
        <v>0</v>
      </c>
    </row>
    <row r="518" spans="1:12">
      <c r="A518" s="122">
        <v>511</v>
      </c>
      <c r="D518" s="130">
        <v>0</v>
      </c>
      <c r="E518" s="128">
        <f t="shared" si="49"/>
        <v>0</v>
      </c>
      <c r="F518" s="123">
        <f t="shared" si="54"/>
        <v>0</v>
      </c>
      <c r="G518" s="128">
        <f t="shared" si="55"/>
        <v>0</v>
      </c>
      <c r="H518" s="127">
        <f t="shared" si="50"/>
        <v>0</v>
      </c>
      <c r="I518" s="130">
        <f t="shared" si="51"/>
        <v>0</v>
      </c>
      <c r="J518" s="133">
        <f t="shared" si="52"/>
        <v>0</v>
      </c>
      <c r="K518" s="134">
        <v>0</v>
      </c>
      <c r="L518" s="129">
        <f t="shared" si="53"/>
        <v>0</v>
      </c>
    </row>
    <row r="519" spans="1:12">
      <c r="A519" s="122">
        <v>512</v>
      </c>
      <c r="D519" s="130">
        <v>0</v>
      </c>
      <c r="E519" s="128">
        <f t="shared" si="49"/>
        <v>0</v>
      </c>
      <c r="F519" s="123">
        <f t="shared" si="54"/>
        <v>0</v>
      </c>
      <c r="G519" s="128">
        <f t="shared" si="55"/>
        <v>0</v>
      </c>
      <c r="H519" s="127">
        <f t="shared" si="50"/>
        <v>0</v>
      </c>
      <c r="I519" s="130">
        <f t="shared" si="51"/>
        <v>0</v>
      </c>
      <c r="J519" s="133">
        <f t="shared" si="52"/>
        <v>0</v>
      </c>
      <c r="K519" s="134">
        <v>0</v>
      </c>
      <c r="L519" s="129">
        <f t="shared" si="53"/>
        <v>0</v>
      </c>
    </row>
    <row r="520" spans="1:12">
      <c r="A520" s="122">
        <v>513</v>
      </c>
      <c r="D520" s="130">
        <v>0</v>
      </c>
      <c r="E520" s="128">
        <f t="shared" ref="E520:E583" si="56">D520*0.08</f>
        <v>0</v>
      </c>
      <c r="F520" s="123">
        <f t="shared" si="54"/>
        <v>0</v>
      </c>
      <c r="G520" s="128">
        <f t="shared" si="55"/>
        <v>0</v>
      </c>
      <c r="H520" s="127">
        <f t="shared" ref="H520:H583" si="57">+D520-G520-E520</f>
        <v>0</v>
      </c>
      <c r="I520" s="130">
        <f t="shared" ref="I520:I583" si="58">IF(G520=0,(D520*0.01),IF(H520&lt;=0,0.01*D520,IF(AND(H520&gt;0,H520&lt;=300000),H520*7%,IF(AND(H520&gt;=300000,H520&lt;600000),21000+(H520-300000)*11%,IF(AND(H520&gt;=600000,H520&lt;1100000),54000+(H520-600000)*15%,IF(AND(H520&gt;=1100000,H520&lt;1600000),129000+(H520-1100000)*19%,IF(AND(H520&gt;=1600000,H520&lt;3200000),224000+(H520-1600000)*21%,560000+(H520-3200000)*24%)))))))</f>
        <v>0</v>
      </c>
      <c r="J520" s="133">
        <f t="shared" ref="J520:J583" si="59">I520/12</f>
        <v>0</v>
      </c>
      <c r="K520" s="134">
        <v>0</v>
      </c>
      <c r="L520" s="129">
        <f t="shared" ref="L520:L583" si="60">+J520*K520</f>
        <v>0</v>
      </c>
    </row>
    <row r="521" spans="1:12">
      <c r="A521" s="122">
        <v>514</v>
      </c>
      <c r="D521" s="130">
        <v>0</v>
      </c>
      <c r="E521" s="128">
        <f t="shared" si="56"/>
        <v>0</v>
      </c>
      <c r="F521" s="123">
        <f t="shared" ref="F521:F584" si="61">D521-E521</f>
        <v>0</v>
      </c>
      <c r="G521" s="128">
        <f t="shared" ref="G521:G584" si="62">IF(F521&lt;=300000,0,IF(F521&gt;=20000000,(F521*0.21),(F521*0.2)+200000))</f>
        <v>0</v>
      </c>
      <c r="H521" s="127">
        <f t="shared" si="57"/>
        <v>0</v>
      </c>
      <c r="I521" s="130">
        <f t="shared" si="58"/>
        <v>0</v>
      </c>
      <c r="J521" s="133">
        <f t="shared" si="59"/>
        <v>0</v>
      </c>
      <c r="K521" s="134">
        <v>0</v>
      </c>
      <c r="L521" s="129">
        <f t="shared" si="60"/>
        <v>0</v>
      </c>
    </row>
    <row r="522" spans="1:12">
      <c r="A522" s="122">
        <v>515</v>
      </c>
      <c r="D522" s="130">
        <v>0</v>
      </c>
      <c r="E522" s="128">
        <f t="shared" si="56"/>
        <v>0</v>
      </c>
      <c r="F522" s="123">
        <f t="shared" si="61"/>
        <v>0</v>
      </c>
      <c r="G522" s="128">
        <f t="shared" si="62"/>
        <v>0</v>
      </c>
      <c r="H522" s="127">
        <f t="shared" si="57"/>
        <v>0</v>
      </c>
      <c r="I522" s="130">
        <f t="shared" si="58"/>
        <v>0</v>
      </c>
      <c r="J522" s="133">
        <f t="shared" si="59"/>
        <v>0</v>
      </c>
      <c r="K522" s="134">
        <v>0</v>
      </c>
      <c r="L522" s="129">
        <f t="shared" si="60"/>
        <v>0</v>
      </c>
    </row>
    <row r="523" spans="1:12">
      <c r="A523" s="122">
        <v>516</v>
      </c>
      <c r="D523" s="130">
        <v>0</v>
      </c>
      <c r="E523" s="128">
        <f t="shared" si="56"/>
        <v>0</v>
      </c>
      <c r="F523" s="123">
        <f t="shared" si="61"/>
        <v>0</v>
      </c>
      <c r="G523" s="128">
        <f t="shared" si="62"/>
        <v>0</v>
      </c>
      <c r="H523" s="127">
        <f t="shared" si="57"/>
        <v>0</v>
      </c>
      <c r="I523" s="130">
        <f t="shared" si="58"/>
        <v>0</v>
      </c>
      <c r="J523" s="133">
        <f t="shared" si="59"/>
        <v>0</v>
      </c>
      <c r="K523" s="134">
        <v>0</v>
      </c>
      <c r="L523" s="129">
        <f t="shared" si="60"/>
        <v>0</v>
      </c>
    </row>
    <row r="524" spans="1:12">
      <c r="A524" s="122">
        <v>517</v>
      </c>
      <c r="D524" s="130">
        <v>0</v>
      </c>
      <c r="E524" s="128">
        <f t="shared" si="56"/>
        <v>0</v>
      </c>
      <c r="F524" s="123">
        <f t="shared" si="61"/>
        <v>0</v>
      </c>
      <c r="G524" s="128">
        <f t="shared" si="62"/>
        <v>0</v>
      </c>
      <c r="H524" s="127">
        <f t="shared" si="57"/>
        <v>0</v>
      </c>
      <c r="I524" s="130">
        <f t="shared" si="58"/>
        <v>0</v>
      </c>
      <c r="J524" s="133">
        <f t="shared" si="59"/>
        <v>0</v>
      </c>
      <c r="K524" s="134">
        <v>0</v>
      </c>
      <c r="L524" s="129">
        <f t="shared" si="60"/>
        <v>0</v>
      </c>
    </row>
    <row r="525" spans="1:12">
      <c r="A525" s="122">
        <v>518</v>
      </c>
      <c r="D525" s="130">
        <v>0</v>
      </c>
      <c r="E525" s="128">
        <f t="shared" si="56"/>
        <v>0</v>
      </c>
      <c r="F525" s="123">
        <f t="shared" si="61"/>
        <v>0</v>
      </c>
      <c r="G525" s="128">
        <f t="shared" si="62"/>
        <v>0</v>
      </c>
      <c r="H525" s="127">
        <f t="shared" si="57"/>
        <v>0</v>
      </c>
      <c r="I525" s="130">
        <f t="shared" si="58"/>
        <v>0</v>
      </c>
      <c r="J525" s="133">
        <f t="shared" si="59"/>
        <v>0</v>
      </c>
      <c r="K525" s="134">
        <v>0</v>
      </c>
      <c r="L525" s="129">
        <f t="shared" si="60"/>
        <v>0</v>
      </c>
    </row>
    <row r="526" spans="1:12">
      <c r="A526" s="122">
        <v>519</v>
      </c>
      <c r="D526" s="130">
        <v>0</v>
      </c>
      <c r="E526" s="128">
        <f t="shared" si="56"/>
        <v>0</v>
      </c>
      <c r="F526" s="123">
        <f t="shared" si="61"/>
        <v>0</v>
      </c>
      <c r="G526" s="128">
        <f t="shared" si="62"/>
        <v>0</v>
      </c>
      <c r="H526" s="127">
        <f t="shared" si="57"/>
        <v>0</v>
      </c>
      <c r="I526" s="130">
        <f t="shared" si="58"/>
        <v>0</v>
      </c>
      <c r="J526" s="133">
        <f t="shared" si="59"/>
        <v>0</v>
      </c>
      <c r="K526" s="134">
        <v>0</v>
      </c>
      <c r="L526" s="129">
        <f t="shared" si="60"/>
        <v>0</v>
      </c>
    </row>
    <row r="527" spans="1:12">
      <c r="A527" s="122">
        <v>520</v>
      </c>
      <c r="D527" s="130">
        <v>0</v>
      </c>
      <c r="E527" s="128">
        <f t="shared" si="56"/>
        <v>0</v>
      </c>
      <c r="F527" s="123">
        <f t="shared" si="61"/>
        <v>0</v>
      </c>
      <c r="G527" s="128">
        <f t="shared" si="62"/>
        <v>0</v>
      </c>
      <c r="H527" s="127">
        <f t="shared" si="57"/>
        <v>0</v>
      </c>
      <c r="I527" s="130">
        <f t="shared" si="58"/>
        <v>0</v>
      </c>
      <c r="J527" s="133">
        <f t="shared" si="59"/>
        <v>0</v>
      </c>
      <c r="K527" s="134">
        <v>0</v>
      </c>
      <c r="L527" s="129">
        <f t="shared" si="60"/>
        <v>0</v>
      </c>
    </row>
    <row r="528" spans="1:12">
      <c r="A528" s="122">
        <v>521</v>
      </c>
      <c r="D528" s="130">
        <v>0</v>
      </c>
      <c r="E528" s="128">
        <f t="shared" si="56"/>
        <v>0</v>
      </c>
      <c r="F528" s="123">
        <f t="shared" si="61"/>
        <v>0</v>
      </c>
      <c r="G528" s="128">
        <f t="shared" si="62"/>
        <v>0</v>
      </c>
      <c r="H528" s="127">
        <f t="shared" si="57"/>
        <v>0</v>
      </c>
      <c r="I528" s="130">
        <f t="shared" si="58"/>
        <v>0</v>
      </c>
      <c r="J528" s="133">
        <f t="shared" si="59"/>
        <v>0</v>
      </c>
      <c r="K528" s="134">
        <v>0</v>
      </c>
      <c r="L528" s="129">
        <f t="shared" si="60"/>
        <v>0</v>
      </c>
    </row>
    <row r="529" spans="1:12">
      <c r="A529" s="122">
        <v>522</v>
      </c>
      <c r="D529" s="130">
        <v>0</v>
      </c>
      <c r="E529" s="128">
        <f t="shared" si="56"/>
        <v>0</v>
      </c>
      <c r="F529" s="123">
        <f t="shared" si="61"/>
        <v>0</v>
      </c>
      <c r="G529" s="128">
        <f t="shared" si="62"/>
        <v>0</v>
      </c>
      <c r="H529" s="127">
        <f t="shared" si="57"/>
        <v>0</v>
      </c>
      <c r="I529" s="130">
        <f t="shared" si="58"/>
        <v>0</v>
      </c>
      <c r="J529" s="133">
        <f t="shared" si="59"/>
        <v>0</v>
      </c>
      <c r="K529" s="134">
        <v>0</v>
      </c>
      <c r="L529" s="129">
        <f t="shared" si="60"/>
        <v>0</v>
      </c>
    </row>
    <row r="530" spans="1:12">
      <c r="A530" s="122">
        <v>523</v>
      </c>
      <c r="D530" s="130">
        <v>0</v>
      </c>
      <c r="E530" s="128">
        <f t="shared" si="56"/>
        <v>0</v>
      </c>
      <c r="F530" s="123">
        <f t="shared" si="61"/>
        <v>0</v>
      </c>
      <c r="G530" s="128">
        <f t="shared" si="62"/>
        <v>0</v>
      </c>
      <c r="H530" s="127">
        <f t="shared" si="57"/>
        <v>0</v>
      </c>
      <c r="I530" s="130">
        <f t="shared" si="58"/>
        <v>0</v>
      </c>
      <c r="J530" s="133">
        <f t="shared" si="59"/>
        <v>0</v>
      </c>
      <c r="K530" s="134">
        <v>0</v>
      </c>
      <c r="L530" s="129">
        <f t="shared" si="60"/>
        <v>0</v>
      </c>
    </row>
    <row r="531" spans="1:12">
      <c r="A531" s="122">
        <v>524</v>
      </c>
      <c r="D531" s="130">
        <v>0</v>
      </c>
      <c r="E531" s="128">
        <f t="shared" si="56"/>
        <v>0</v>
      </c>
      <c r="F531" s="123">
        <f t="shared" si="61"/>
        <v>0</v>
      </c>
      <c r="G531" s="128">
        <f t="shared" si="62"/>
        <v>0</v>
      </c>
      <c r="H531" s="127">
        <f t="shared" si="57"/>
        <v>0</v>
      </c>
      <c r="I531" s="130">
        <f t="shared" si="58"/>
        <v>0</v>
      </c>
      <c r="J531" s="133">
        <f t="shared" si="59"/>
        <v>0</v>
      </c>
      <c r="K531" s="134">
        <v>0</v>
      </c>
      <c r="L531" s="129">
        <f t="shared" si="60"/>
        <v>0</v>
      </c>
    </row>
    <row r="532" spans="1:12">
      <c r="A532" s="122">
        <v>525</v>
      </c>
      <c r="D532" s="130">
        <v>0</v>
      </c>
      <c r="E532" s="128">
        <f t="shared" si="56"/>
        <v>0</v>
      </c>
      <c r="F532" s="123">
        <f t="shared" si="61"/>
        <v>0</v>
      </c>
      <c r="G532" s="128">
        <f t="shared" si="62"/>
        <v>0</v>
      </c>
      <c r="H532" s="127">
        <f t="shared" si="57"/>
        <v>0</v>
      </c>
      <c r="I532" s="130">
        <f t="shared" si="58"/>
        <v>0</v>
      </c>
      <c r="J532" s="133">
        <f t="shared" si="59"/>
        <v>0</v>
      </c>
      <c r="K532" s="134">
        <v>0</v>
      </c>
      <c r="L532" s="129">
        <f t="shared" si="60"/>
        <v>0</v>
      </c>
    </row>
    <row r="533" spans="1:12">
      <c r="A533" s="122">
        <v>526</v>
      </c>
      <c r="D533" s="130">
        <v>0</v>
      </c>
      <c r="E533" s="128">
        <f t="shared" si="56"/>
        <v>0</v>
      </c>
      <c r="F533" s="123">
        <f t="shared" si="61"/>
        <v>0</v>
      </c>
      <c r="G533" s="128">
        <f t="shared" si="62"/>
        <v>0</v>
      </c>
      <c r="H533" s="127">
        <f t="shared" si="57"/>
        <v>0</v>
      </c>
      <c r="I533" s="130">
        <f t="shared" si="58"/>
        <v>0</v>
      </c>
      <c r="J533" s="133">
        <f t="shared" si="59"/>
        <v>0</v>
      </c>
      <c r="K533" s="134">
        <v>0</v>
      </c>
      <c r="L533" s="129">
        <f t="shared" si="60"/>
        <v>0</v>
      </c>
    </row>
    <row r="534" spans="1:12">
      <c r="A534" s="122">
        <v>527</v>
      </c>
      <c r="D534" s="130">
        <v>0</v>
      </c>
      <c r="E534" s="128">
        <f t="shared" si="56"/>
        <v>0</v>
      </c>
      <c r="F534" s="123">
        <f t="shared" si="61"/>
        <v>0</v>
      </c>
      <c r="G534" s="128">
        <f t="shared" si="62"/>
        <v>0</v>
      </c>
      <c r="H534" s="127">
        <f t="shared" si="57"/>
        <v>0</v>
      </c>
      <c r="I534" s="130">
        <f t="shared" si="58"/>
        <v>0</v>
      </c>
      <c r="J534" s="133">
        <f t="shared" si="59"/>
        <v>0</v>
      </c>
      <c r="K534" s="134">
        <v>0</v>
      </c>
      <c r="L534" s="129">
        <f t="shared" si="60"/>
        <v>0</v>
      </c>
    </row>
    <row r="535" spans="1:12">
      <c r="A535" s="122">
        <v>528</v>
      </c>
      <c r="D535" s="130">
        <v>0</v>
      </c>
      <c r="E535" s="128">
        <f t="shared" si="56"/>
        <v>0</v>
      </c>
      <c r="F535" s="123">
        <f t="shared" si="61"/>
        <v>0</v>
      </c>
      <c r="G535" s="128">
        <f t="shared" si="62"/>
        <v>0</v>
      </c>
      <c r="H535" s="127">
        <f t="shared" si="57"/>
        <v>0</v>
      </c>
      <c r="I535" s="130">
        <f t="shared" si="58"/>
        <v>0</v>
      </c>
      <c r="J535" s="133">
        <f t="shared" si="59"/>
        <v>0</v>
      </c>
      <c r="K535" s="134">
        <v>0</v>
      </c>
      <c r="L535" s="129">
        <f t="shared" si="60"/>
        <v>0</v>
      </c>
    </row>
    <row r="536" spans="1:12">
      <c r="A536" s="122">
        <v>529</v>
      </c>
      <c r="D536" s="130">
        <v>0</v>
      </c>
      <c r="E536" s="128">
        <f t="shared" si="56"/>
        <v>0</v>
      </c>
      <c r="F536" s="123">
        <f t="shared" si="61"/>
        <v>0</v>
      </c>
      <c r="G536" s="128">
        <f t="shared" si="62"/>
        <v>0</v>
      </c>
      <c r="H536" s="127">
        <f t="shared" si="57"/>
        <v>0</v>
      </c>
      <c r="I536" s="130">
        <f t="shared" si="58"/>
        <v>0</v>
      </c>
      <c r="J536" s="133">
        <f t="shared" si="59"/>
        <v>0</v>
      </c>
      <c r="K536" s="134">
        <v>0</v>
      </c>
      <c r="L536" s="129">
        <f t="shared" si="60"/>
        <v>0</v>
      </c>
    </row>
    <row r="537" spans="1:12">
      <c r="A537" s="122">
        <v>530</v>
      </c>
      <c r="D537" s="130">
        <v>0</v>
      </c>
      <c r="E537" s="128">
        <f t="shared" si="56"/>
        <v>0</v>
      </c>
      <c r="F537" s="123">
        <f t="shared" si="61"/>
        <v>0</v>
      </c>
      <c r="G537" s="128">
        <f t="shared" si="62"/>
        <v>0</v>
      </c>
      <c r="H537" s="127">
        <f t="shared" si="57"/>
        <v>0</v>
      </c>
      <c r="I537" s="130">
        <f t="shared" si="58"/>
        <v>0</v>
      </c>
      <c r="J537" s="133">
        <f t="shared" si="59"/>
        <v>0</v>
      </c>
      <c r="K537" s="134">
        <v>0</v>
      </c>
      <c r="L537" s="129">
        <f t="shared" si="60"/>
        <v>0</v>
      </c>
    </row>
    <row r="538" spans="1:12">
      <c r="A538" s="122">
        <v>531</v>
      </c>
      <c r="D538" s="130">
        <v>0</v>
      </c>
      <c r="E538" s="128">
        <f t="shared" si="56"/>
        <v>0</v>
      </c>
      <c r="F538" s="123">
        <f t="shared" si="61"/>
        <v>0</v>
      </c>
      <c r="G538" s="128">
        <f t="shared" si="62"/>
        <v>0</v>
      </c>
      <c r="H538" s="127">
        <f t="shared" si="57"/>
        <v>0</v>
      </c>
      <c r="I538" s="130">
        <f t="shared" si="58"/>
        <v>0</v>
      </c>
      <c r="J538" s="133">
        <f t="shared" si="59"/>
        <v>0</v>
      </c>
      <c r="K538" s="134">
        <v>0</v>
      </c>
      <c r="L538" s="129">
        <f t="shared" si="60"/>
        <v>0</v>
      </c>
    </row>
    <row r="539" spans="1:12">
      <c r="A539" s="122">
        <v>532</v>
      </c>
      <c r="D539" s="130">
        <v>0</v>
      </c>
      <c r="E539" s="128">
        <f t="shared" si="56"/>
        <v>0</v>
      </c>
      <c r="F539" s="123">
        <f t="shared" si="61"/>
        <v>0</v>
      </c>
      <c r="G539" s="128">
        <f t="shared" si="62"/>
        <v>0</v>
      </c>
      <c r="H539" s="127">
        <f t="shared" si="57"/>
        <v>0</v>
      </c>
      <c r="I539" s="130">
        <f t="shared" si="58"/>
        <v>0</v>
      </c>
      <c r="J539" s="133">
        <f t="shared" si="59"/>
        <v>0</v>
      </c>
      <c r="K539" s="134">
        <v>0</v>
      </c>
      <c r="L539" s="129">
        <f t="shared" si="60"/>
        <v>0</v>
      </c>
    </row>
    <row r="540" spans="1:12">
      <c r="A540" s="122">
        <v>533</v>
      </c>
      <c r="D540" s="130">
        <v>0</v>
      </c>
      <c r="E540" s="128">
        <f t="shared" si="56"/>
        <v>0</v>
      </c>
      <c r="F540" s="123">
        <f t="shared" si="61"/>
        <v>0</v>
      </c>
      <c r="G540" s="128">
        <f t="shared" si="62"/>
        <v>0</v>
      </c>
      <c r="H540" s="127">
        <f t="shared" si="57"/>
        <v>0</v>
      </c>
      <c r="I540" s="130">
        <f t="shared" si="58"/>
        <v>0</v>
      </c>
      <c r="J540" s="133">
        <f t="shared" si="59"/>
        <v>0</v>
      </c>
      <c r="K540" s="134">
        <v>0</v>
      </c>
      <c r="L540" s="129">
        <f t="shared" si="60"/>
        <v>0</v>
      </c>
    </row>
    <row r="541" spans="1:12">
      <c r="A541" s="122">
        <v>534</v>
      </c>
      <c r="D541" s="130">
        <v>0</v>
      </c>
      <c r="E541" s="128">
        <f t="shared" si="56"/>
        <v>0</v>
      </c>
      <c r="F541" s="123">
        <f t="shared" si="61"/>
        <v>0</v>
      </c>
      <c r="G541" s="128">
        <f t="shared" si="62"/>
        <v>0</v>
      </c>
      <c r="H541" s="127">
        <f t="shared" si="57"/>
        <v>0</v>
      </c>
      <c r="I541" s="130">
        <f t="shared" si="58"/>
        <v>0</v>
      </c>
      <c r="J541" s="133">
        <f t="shared" si="59"/>
        <v>0</v>
      </c>
      <c r="K541" s="134">
        <v>0</v>
      </c>
      <c r="L541" s="129">
        <f t="shared" si="60"/>
        <v>0</v>
      </c>
    </row>
    <row r="542" spans="1:12">
      <c r="A542" s="122">
        <v>535</v>
      </c>
      <c r="D542" s="130">
        <v>0</v>
      </c>
      <c r="E542" s="128">
        <f t="shared" si="56"/>
        <v>0</v>
      </c>
      <c r="F542" s="123">
        <f t="shared" si="61"/>
        <v>0</v>
      </c>
      <c r="G542" s="128">
        <f t="shared" si="62"/>
        <v>0</v>
      </c>
      <c r="H542" s="127">
        <f t="shared" si="57"/>
        <v>0</v>
      </c>
      <c r="I542" s="130">
        <f t="shared" si="58"/>
        <v>0</v>
      </c>
      <c r="J542" s="133">
        <f t="shared" si="59"/>
        <v>0</v>
      </c>
      <c r="K542" s="134">
        <v>0</v>
      </c>
      <c r="L542" s="129">
        <f t="shared" si="60"/>
        <v>0</v>
      </c>
    </row>
    <row r="543" spans="1:12">
      <c r="A543" s="122">
        <v>536</v>
      </c>
      <c r="D543" s="130">
        <v>0</v>
      </c>
      <c r="E543" s="128">
        <f t="shared" si="56"/>
        <v>0</v>
      </c>
      <c r="F543" s="123">
        <f t="shared" si="61"/>
        <v>0</v>
      </c>
      <c r="G543" s="128">
        <f t="shared" si="62"/>
        <v>0</v>
      </c>
      <c r="H543" s="127">
        <f t="shared" si="57"/>
        <v>0</v>
      </c>
      <c r="I543" s="130">
        <f t="shared" si="58"/>
        <v>0</v>
      </c>
      <c r="J543" s="133">
        <f t="shared" si="59"/>
        <v>0</v>
      </c>
      <c r="K543" s="134">
        <v>0</v>
      </c>
      <c r="L543" s="129">
        <f t="shared" si="60"/>
        <v>0</v>
      </c>
    </row>
    <row r="544" spans="1:12">
      <c r="A544" s="122">
        <v>537</v>
      </c>
      <c r="D544" s="130">
        <v>0</v>
      </c>
      <c r="E544" s="128">
        <f t="shared" si="56"/>
        <v>0</v>
      </c>
      <c r="F544" s="123">
        <f t="shared" si="61"/>
        <v>0</v>
      </c>
      <c r="G544" s="128">
        <f t="shared" si="62"/>
        <v>0</v>
      </c>
      <c r="H544" s="127">
        <f t="shared" si="57"/>
        <v>0</v>
      </c>
      <c r="I544" s="130">
        <f t="shared" si="58"/>
        <v>0</v>
      </c>
      <c r="J544" s="133">
        <f t="shared" si="59"/>
        <v>0</v>
      </c>
      <c r="K544" s="134">
        <v>0</v>
      </c>
      <c r="L544" s="129">
        <f t="shared" si="60"/>
        <v>0</v>
      </c>
    </row>
    <row r="545" spans="1:12">
      <c r="A545" s="122">
        <v>538</v>
      </c>
      <c r="D545" s="130">
        <v>0</v>
      </c>
      <c r="E545" s="128">
        <f t="shared" si="56"/>
        <v>0</v>
      </c>
      <c r="F545" s="123">
        <f t="shared" si="61"/>
        <v>0</v>
      </c>
      <c r="G545" s="128">
        <f t="shared" si="62"/>
        <v>0</v>
      </c>
      <c r="H545" s="127">
        <f t="shared" si="57"/>
        <v>0</v>
      </c>
      <c r="I545" s="130">
        <f t="shared" si="58"/>
        <v>0</v>
      </c>
      <c r="J545" s="133">
        <f t="shared" si="59"/>
        <v>0</v>
      </c>
      <c r="K545" s="134">
        <v>0</v>
      </c>
      <c r="L545" s="129">
        <f t="shared" si="60"/>
        <v>0</v>
      </c>
    </row>
    <row r="546" spans="1:12">
      <c r="A546" s="122">
        <v>539</v>
      </c>
      <c r="D546" s="130">
        <v>0</v>
      </c>
      <c r="E546" s="128">
        <f t="shared" si="56"/>
        <v>0</v>
      </c>
      <c r="F546" s="123">
        <f t="shared" si="61"/>
        <v>0</v>
      </c>
      <c r="G546" s="128">
        <f t="shared" si="62"/>
        <v>0</v>
      </c>
      <c r="H546" s="127">
        <f t="shared" si="57"/>
        <v>0</v>
      </c>
      <c r="I546" s="130">
        <f t="shared" si="58"/>
        <v>0</v>
      </c>
      <c r="J546" s="133">
        <f t="shared" si="59"/>
        <v>0</v>
      </c>
      <c r="K546" s="134">
        <v>0</v>
      </c>
      <c r="L546" s="129">
        <f t="shared" si="60"/>
        <v>0</v>
      </c>
    </row>
    <row r="547" spans="1:12">
      <c r="A547" s="122">
        <v>540</v>
      </c>
      <c r="D547" s="130">
        <v>0</v>
      </c>
      <c r="E547" s="128">
        <f t="shared" si="56"/>
        <v>0</v>
      </c>
      <c r="F547" s="123">
        <f t="shared" si="61"/>
        <v>0</v>
      </c>
      <c r="G547" s="128">
        <f t="shared" si="62"/>
        <v>0</v>
      </c>
      <c r="H547" s="127">
        <f t="shared" si="57"/>
        <v>0</v>
      </c>
      <c r="I547" s="130">
        <f t="shared" si="58"/>
        <v>0</v>
      </c>
      <c r="J547" s="133">
        <f t="shared" si="59"/>
        <v>0</v>
      </c>
      <c r="K547" s="134">
        <v>0</v>
      </c>
      <c r="L547" s="129">
        <f t="shared" si="60"/>
        <v>0</v>
      </c>
    </row>
    <row r="548" spans="1:12">
      <c r="A548" s="122">
        <v>541</v>
      </c>
      <c r="D548" s="130">
        <v>0</v>
      </c>
      <c r="E548" s="128">
        <f t="shared" si="56"/>
        <v>0</v>
      </c>
      <c r="F548" s="123">
        <f t="shared" si="61"/>
        <v>0</v>
      </c>
      <c r="G548" s="128">
        <f t="shared" si="62"/>
        <v>0</v>
      </c>
      <c r="H548" s="127">
        <f t="shared" si="57"/>
        <v>0</v>
      </c>
      <c r="I548" s="130">
        <f t="shared" si="58"/>
        <v>0</v>
      </c>
      <c r="J548" s="133">
        <f t="shared" si="59"/>
        <v>0</v>
      </c>
      <c r="K548" s="134">
        <v>0</v>
      </c>
      <c r="L548" s="129">
        <f t="shared" si="60"/>
        <v>0</v>
      </c>
    </row>
    <row r="549" spans="1:12">
      <c r="A549" s="122">
        <v>542</v>
      </c>
      <c r="D549" s="130">
        <v>0</v>
      </c>
      <c r="E549" s="128">
        <f t="shared" si="56"/>
        <v>0</v>
      </c>
      <c r="F549" s="123">
        <f t="shared" si="61"/>
        <v>0</v>
      </c>
      <c r="G549" s="128">
        <f t="shared" si="62"/>
        <v>0</v>
      </c>
      <c r="H549" s="127">
        <f t="shared" si="57"/>
        <v>0</v>
      </c>
      <c r="I549" s="130">
        <f t="shared" si="58"/>
        <v>0</v>
      </c>
      <c r="J549" s="133">
        <f t="shared" si="59"/>
        <v>0</v>
      </c>
      <c r="K549" s="134">
        <v>0</v>
      </c>
      <c r="L549" s="129">
        <f t="shared" si="60"/>
        <v>0</v>
      </c>
    </row>
    <row r="550" spans="1:12">
      <c r="A550" s="122">
        <v>543</v>
      </c>
      <c r="D550" s="130">
        <v>0</v>
      </c>
      <c r="E550" s="128">
        <f t="shared" si="56"/>
        <v>0</v>
      </c>
      <c r="F550" s="123">
        <f t="shared" si="61"/>
        <v>0</v>
      </c>
      <c r="G550" s="128">
        <f t="shared" si="62"/>
        <v>0</v>
      </c>
      <c r="H550" s="127">
        <f t="shared" si="57"/>
        <v>0</v>
      </c>
      <c r="I550" s="130">
        <f t="shared" si="58"/>
        <v>0</v>
      </c>
      <c r="J550" s="133">
        <f t="shared" si="59"/>
        <v>0</v>
      </c>
      <c r="K550" s="134">
        <v>0</v>
      </c>
      <c r="L550" s="129">
        <f t="shared" si="60"/>
        <v>0</v>
      </c>
    </row>
    <row r="551" spans="1:12">
      <c r="A551" s="122">
        <v>544</v>
      </c>
      <c r="D551" s="130">
        <v>0</v>
      </c>
      <c r="E551" s="128">
        <f t="shared" si="56"/>
        <v>0</v>
      </c>
      <c r="F551" s="123">
        <f t="shared" si="61"/>
        <v>0</v>
      </c>
      <c r="G551" s="128">
        <f t="shared" si="62"/>
        <v>0</v>
      </c>
      <c r="H551" s="127">
        <f t="shared" si="57"/>
        <v>0</v>
      </c>
      <c r="I551" s="130">
        <f t="shared" si="58"/>
        <v>0</v>
      </c>
      <c r="J551" s="133">
        <f t="shared" si="59"/>
        <v>0</v>
      </c>
      <c r="K551" s="134">
        <v>0</v>
      </c>
      <c r="L551" s="129">
        <f t="shared" si="60"/>
        <v>0</v>
      </c>
    </row>
    <row r="552" spans="1:12">
      <c r="A552" s="122">
        <v>545</v>
      </c>
      <c r="D552" s="130">
        <v>0</v>
      </c>
      <c r="E552" s="128">
        <f t="shared" si="56"/>
        <v>0</v>
      </c>
      <c r="F552" s="123">
        <f t="shared" si="61"/>
        <v>0</v>
      </c>
      <c r="G552" s="128">
        <f t="shared" si="62"/>
        <v>0</v>
      </c>
      <c r="H552" s="127">
        <f t="shared" si="57"/>
        <v>0</v>
      </c>
      <c r="I552" s="130">
        <f t="shared" si="58"/>
        <v>0</v>
      </c>
      <c r="J552" s="133">
        <f t="shared" si="59"/>
        <v>0</v>
      </c>
      <c r="K552" s="134">
        <v>0</v>
      </c>
      <c r="L552" s="129">
        <f t="shared" si="60"/>
        <v>0</v>
      </c>
    </row>
    <row r="553" spans="1:12">
      <c r="A553" s="122">
        <v>546</v>
      </c>
      <c r="D553" s="130">
        <v>0</v>
      </c>
      <c r="E553" s="128">
        <f t="shared" si="56"/>
        <v>0</v>
      </c>
      <c r="F553" s="123">
        <f t="shared" si="61"/>
        <v>0</v>
      </c>
      <c r="G553" s="128">
        <f t="shared" si="62"/>
        <v>0</v>
      </c>
      <c r="H553" s="127">
        <f t="shared" si="57"/>
        <v>0</v>
      </c>
      <c r="I553" s="130">
        <f t="shared" si="58"/>
        <v>0</v>
      </c>
      <c r="J553" s="133">
        <f t="shared" si="59"/>
        <v>0</v>
      </c>
      <c r="K553" s="134">
        <v>0</v>
      </c>
      <c r="L553" s="129">
        <f t="shared" si="60"/>
        <v>0</v>
      </c>
    </row>
    <row r="554" spans="1:12">
      <c r="A554" s="122">
        <v>547</v>
      </c>
      <c r="D554" s="130">
        <v>0</v>
      </c>
      <c r="E554" s="128">
        <f t="shared" si="56"/>
        <v>0</v>
      </c>
      <c r="F554" s="123">
        <f t="shared" si="61"/>
        <v>0</v>
      </c>
      <c r="G554" s="128">
        <f t="shared" si="62"/>
        <v>0</v>
      </c>
      <c r="H554" s="127">
        <f t="shared" si="57"/>
        <v>0</v>
      </c>
      <c r="I554" s="130">
        <f t="shared" si="58"/>
        <v>0</v>
      </c>
      <c r="J554" s="133">
        <f t="shared" si="59"/>
        <v>0</v>
      </c>
      <c r="K554" s="134">
        <v>0</v>
      </c>
      <c r="L554" s="129">
        <f t="shared" si="60"/>
        <v>0</v>
      </c>
    </row>
    <row r="555" spans="1:12">
      <c r="A555" s="122">
        <v>548</v>
      </c>
      <c r="D555" s="130">
        <v>0</v>
      </c>
      <c r="E555" s="128">
        <f t="shared" si="56"/>
        <v>0</v>
      </c>
      <c r="F555" s="123">
        <f t="shared" si="61"/>
        <v>0</v>
      </c>
      <c r="G555" s="128">
        <f t="shared" si="62"/>
        <v>0</v>
      </c>
      <c r="H555" s="127">
        <f t="shared" si="57"/>
        <v>0</v>
      </c>
      <c r="I555" s="130">
        <f t="shared" si="58"/>
        <v>0</v>
      </c>
      <c r="J555" s="133">
        <f t="shared" si="59"/>
        <v>0</v>
      </c>
      <c r="K555" s="134">
        <v>0</v>
      </c>
      <c r="L555" s="129">
        <f t="shared" si="60"/>
        <v>0</v>
      </c>
    </row>
    <row r="556" spans="1:12">
      <c r="A556" s="122">
        <v>549</v>
      </c>
      <c r="D556" s="130">
        <v>0</v>
      </c>
      <c r="E556" s="128">
        <f t="shared" si="56"/>
        <v>0</v>
      </c>
      <c r="F556" s="123">
        <f t="shared" si="61"/>
        <v>0</v>
      </c>
      <c r="G556" s="128">
        <f t="shared" si="62"/>
        <v>0</v>
      </c>
      <c r="H556" s="127">
        <f t="shared" si="57"/>
        <v>0</v>
      </c>
      <c r="I556" s="130">
        <f t="shared" si="58"/>
        <v>0</v>
      </c>
      <c r="J556" s="133">
        <f t="shared" si="59"/>
        <v>0</v>
      </c>
      <c r="K556" s="134">
        <v>0</v>
      </c>
      <c r="L556" s="129">
        <f t="shared" si="60"/>
        <v>0</v>
      </c>
    </row>
    <row r="557" spans="1:12">
      <c r="A557" s="122">
        <v>550</v>
      </c>
      <c r="D557" s="130">
        <v>0</v>
      </c>
      <c r="E557" s="128">
        <f t="shared" si="56"/>
        <v>0</v>
      </c>
      <c r="F557" s="123">
        <f t="shared" si="61"/>
        <v>0</v>
      </c>
      <c r="G557" s="128">
        <f t="shared" si="62"/>
        <v>0</v>
      </c>
      <c r="H557" s="127">
        <f t="shared" si="57"/>
        <v>0</v>
      </c>
      <c r="I557" s="130">
        <f t="shared" si="58"/>
        <v>0</v>
      </c>
      <c r="J557" s="133">
        <f t="shared" si="59"/>
        <v>0</v>
      </c>
      <c r="K557" s="134">
        <v>0</v>
      </c>
      <c r="L557" s="129">
        <f t="shared" si="60"/>
        <v>0</v>
      </c>
    </row>
    <row r="558" spans="1:12">
      <c r="A558" s="122">
        <v>551</v>
      </c>
      <c r="D558" s="130">
        <v>0</v>
      </c>
      <c r="E558" s="128">
        <f t="shared" si="56"/>
        <v>0</v>
      </c>
      <c r="F558" s="123">
        <f t="shared" si="61"/>
        <v>0</v>
      </c>
      <c r="G558" s="128">
        <f t="shared" si="62"/>
        <v>0</v>
      </c>
      <c r="H558" s="127">
        <f t="shared" si="57"/>
        <v>0</v>
      </c>
      <c r="I558" s="130">
        <f t="shared" si="58"/>
        <v>0</v>
      </c>
      <c r="J558" s="133">
        <f t="shared" si="59"/>
        <v>0</v>
      </c>
      <c r="K558" s="134">
        <v>0</v>
      </c>
      <c r="L558" s="129">
        <f t="shared" si="60"/>
        <v>0</v>
      </c>
    </row>
    <row r="559" spans="1:12">
      <c r="A559" s="122">
        <v>552</v>
      </c>
      <c r="D559" s="130">
        <v>0</v>
      </c>
      <c r="E559" s="128">
        <f t="shared" si="56"/>
        <v>0</v>
      </c>
      <c r="F559" s="123">
        <f t="shared" si="61"/>
        <v>0</v>
      </c>
      <c r="G559" s="128">
        <f t="shared" si="62"/>
        <v>0</v>
      </c>
      <c r="H559" s="127">
        <f t="shared" si="57"/>
        <v>0</v>
      </c>
      <c r="I559" s="130">
        <f t="shared" si="58"/>
        <v>0</v>
      </c>
      <c r="J559" s="133">
        <f t="shared" si="59"/>
        <v>0</v>
      </c>
      <c r="K559" s="134">
        <v>0</v>
      </c>
      <c r="L559" s="129">
        <f t="shared" si="60"/>
        <v>0</v>
      </c>
    </row>
    <row r="560" spans="1:12">
      <c r="A560" s="122">
        <v>553</v>
      </c>
      <c r="D560" s="130">
        <v>0</v>
      </c>
      <c r="E560" s="128">
        <f t="shared" si="56"/>
        <v>0</v>
      </c>
      <c r="F560" s="123">
        <f t="shared" si="61"/>
        <v>0</v>
      </c>
      <c r="G560" s="128">
        <f t="shared" si="62"/>
        <v>0</v>
      </c>
      <c r="H560" s="127">
        <f t="shared" si="57"/>
        <v>0</v>
      </c>
      <c r="I560" s="130">
        <f t="shared" si="58"/>
        <v>0</v>
      </c>
      <c r="J560" s="133">
        <f t="shared" si="59"/>
        <v>0</v>
      </c>
      <c r="K560" s="134">
        <v>0</v>
      </c>
      <c r="L560" s="129">
        <f t="shared" si="60"/>
        <v>0</v>
      </c>
    </row>
    <row r="561" spans="1:12">
      <c r="A561" s="122">
        <v>554</v>
      </c>
      <c r="D561" s="130">
        <v>0</v>
      </c>
      <c r="E561" s="128">
        <f t="shared" si="56"/>
        <v>0</v>
      </c>
      <c r="F561" s="123">
        <f t="shared" si="61"/>
        <v>0</v>
      </c>
      <c r="G561" s="128">
        <f t="shared" si="62"/>
        <v>0</v>
      </c>
      <c r="H561" s="127">
        <f t="shared" si="57"/>
        <v>0</v>
      </c>
      <c r="I561" s="130">
        <f t="shared" si="58"/>
        <v>0</v>
      </c>
      <c r="J561" s="133">
        <f t="shared" si="59"/>
        <v>0</v>
      </c>
      <c r="K561" s="134">
        <v>0</v>
      </c>
      <c r="L561" s="129">
        <f t="shared" si="60"/>
        <v>0</v>
      </c>
    </row>
    <row r="562" spans="1:12">
      <c r="A562" s="122">
        <v>555</v>
      </c>
      <c r="D562" s="130">
        <v>0</v>
      </c>
      <c r="E562" s="128">
        <f t="shared" si="56"/>
        <v>0</v>
      </c>
      <c r="F562" s="123">
        <f t="shared" si="61"/>
        <v>0</v>
      </c>
      <c r="G562" s="128">
        <f t="shared" si="62"/>
        <v>0</v>
      </c>
      <c r="H562" s="127">
        <f t="shared" si="57"/>
        <v>0</v>
      </c>
      <c r="I562" s="130">
        <f t="shared" si="58"/>
        <v>0</v>
      </c>
      <c r="J562" s="133">
        <f t="shared" si="59"/>
        <v>0</v>
      </c>
      <c r="K562" s="134">
        <v>0</v>
      </c>
      <c r="L562" s="129">
        <f t="shared" si="60"/>
        <v>0</v>
      </c>
    </row>
    <row r="563" spans="1:12">
      <c r="A563" s="122">
        <v>556</v>
      </c>
      <c r="D563" s="130">
        <v>0</v>
      </c>
      <c r="E563" s="128">
        <f t="shared" si="56"/>
        <v>0</v>
      </c>
      <c r="F563" s="123">
        <f t="shared" si="61"/>
        <v>0</v>
      </c>
      <c r="G563" s="128">
        <f t="shared" si="62"/>
        <v>0</v>
      </c>
      <c r="H563" s="127">
        <f t="shared" si="57"/>
        <v>0</v>
      </c>
      <c r="I563" s="130">
        <f t="shared" si="58"/>
        <v>0</v>
      </c>
      <c r="J563" s="133">
        <f t="shared" si="59"/>
        <v>0</v>
      </c>
      <c r="K563" s="134">
        <v>0</v>
      </c>
      <c r="L563" s="129">
        <f t="shared" si="60"/>
        <v>0</v>
      </c>
    </row>
    <row r="564" spans="1:12">
      <c r="A564" s="122">
        <v>557</v>
      </c>
      <c r="D564" s="130">
        <v>0</v>
      </c>
      <c r="E564" s="128">
        <f t="shared" si="56"/>
        <v>0</v>
      </c>
      <c r="F564" s="123">
        <f t="shared" si="61"/>
        <v>0</v>
      </c>
      <c r="G564" s="128">
        <f t="shared" si="62"/>
        <v>0</v>
      </c>
      <c r="H564" s="127">
        <f t="shared" si="57"/>
        <v>0</v>
      </c>
      <c r="I564" s="130">
        <f t="shared" si="58"/>
        <v>0</v>
      </c>
      <c r="J564" s="133">
        <f t="shared" si="59"/>
        <v>0</v>
      </c>
      <c r="K564" s="134">
        <v>0</v>
      </c>
      <c r="L564" s="129">
        <f t="shared" si="60"/>
        <v>0</v>
      </c>
    </row>
    <row r="565" spans="1:12">
      <c r="A565" s="122">
        <v>558</v>
      </c>
      <c r="D565" s="130">
        <v>0</v>
      </c>
      <c r="E565" s="128">
        <f t="shared" si="56"/>
        <v>0</v>
      </c>
      <c r="F565" s="123">
        <f t="shared" si="61"/>
        <v>0</v>
      </c>
      <c r="G565" s="128">
        <f t="shared" si="62"/>
        <v>0</v>
      </c>
      <c r="H565" s="127">
        <f t="shared" si="57"/>
        <v>0</v>
      </c>
      <c r="I565" s="130">
        <f t="shared" si="58"/>
        <v>0</v>
      </c>
      <c r="J565" s="133">
        <f t="shared" si="59"/>
        <v>0</v>
      </c>
      <c r="K565" s="134">
        <v>0</v>
      </c>
      <c r="L565" s="129">
        <f t="shared" si="60"/>
        <v>0</v>
      </c>
    </row>
    <row r="566" spans="1:12">
      <c r="A566" s="122">
        <v>559</v>
      </c>
      <c r="D566" s="130">
        <v>0</v>
      </c>
      <c r="E566" s="128">
        <f t="shared" si="56"/>
        <v>0</v>
      </c>
      <c r="F566" s="123">
        <f t="shared" si="61"/>
        <v>0</v>
      </c>
      <c r="G566" s="128">
        <f t="shared" si="62"/>
        <v>0</v>
      </c>
      <c r="H566" s="127">
        <f t="shared" si="57"/>
        <v>0</v>
      </c>
      <c r="I566" s="130">
        <f t="shared" si="58"/>
        <v>0</v>
      </c>
      <c r="J566" s="133">
        <f t="shared" si="59"/>
        <v>0</v>
      </c>
      <c r="K566" s="134">
        <v>0</v>
      </c>
      <c r="L566" s="129">
        <f t="shared" si="60"/>
        <v>0</v>
      </c>
    </row>
    <row r="567" spans="1:12">
      <c r="A567" s="122">
        <v>560</v>
      </c>
      <c r="D567" s="130">
        <v>0</v>
      </c>
      <c r="E567" s="128">
        <f t="shared" si="56"/>
        <v>0</v>
      </c>
      <c r="F567" s="123">
        <f t="shared" si="61"/>
        <v>0</v>
      </c>
      <c r="G567" s="128">
        <f t="shared" si="62"/>
        <v>0</v>
      </c>
      <c r="H567" s="127">
        <f t="shared" si="57"/>
        <v>0</v>
      </c>
      <c r="I567" s="130">
        <f t="shared" si="58"/>
        <v>0</v>
      </c>
      <c r="J567" s="133">
        <f t="shared" si="59"/>
        <v>0</v>
      </c>
      <c r="K567" s="134">
        <v>0</v>
      </c>
      <c r="L567" s="129">
        <f t="shared" si="60"/>
        <v>0</v>
      </c>
    </row>
    <row r="568" spans="1:12">
      <c r="A568" s="122">
        <v>561</v>
      </c>
      <c r="D568" s="130">
        <v>0</v>
      </c>
      <c r="E568" s="128">
        <f t="shared" si="56"/>
        <v>0</v>
      </c>
      <c r="F568" s="123">
        <f t="shared" si="61"/>
        <v>0</v>
      </c>
      <c r="G568" s="128">
        <f t="shared" si="62"/>
        <v>0</v>
      </c>
      <c r="H568" s="127">
        <f t="shared" si="57"/>
        <v>0</v>
      </c>
      <c r="I568" s="130">
        <f t="shared" si="58"/>
        <v>0</v>
      </c>
      <c r="J568" s="133">
        <f t="shared" si="59"/>
        <v>0</v>
      </c>
      <c r="K568" s="134">
        <v>0</v>
      </c>
      <c r="L568" s="129">
        <f t="shared" si="60"/>
        <v>0</v>
      </c>
    </row>
    <row r="569" spans="1:12">
      <c r="A569" s="122">
        <v>562</v>
      </c>
      <c r="D569" s="130">
        <v>0</v>
      </c>
      <c r="E569" s="128">
        <f t="shared" si="56"/>
        <v>0</v>
      </c>
      <c r="F569" s="123">
        <f t="shared" si="61"/>
        <v>0</v>
      </c>
      <c r="G569" s="128">
        <f t="shared" si="62"/>
        <v>0</v>
      </c>
      <c r="H569" s="127">
        <f t="shared" si="57"/>
        <v>0</v>
      </c>
      <c r="I569" s="130">
        <f t="shared" si="58"/>
        <v>0</v>
      </c>
      <c r="J569" s="133">
        <f t="shared" si="59"/>
        <v>0</v>
      </c>
      <c r="K569" s="134">
        <v>0</v>
      </c>
      <c r="L569" s="129">
        <f t="shared" si="60"/>
        <v>0</v>
      </c>
    </row>
    <row r="570" spans="1:12">
      <c r="A570" s="122">
        <v>563</v>
      </c>
      <c r="D570" s="130">
        <v>0</v>
      </c>
      <c r="E570" s="128">
        <f t="shared" si="56"/>
        <v>0</v>
      </c>
      <c r="F570" s="123">
        <f t="shared" si="61"/>
        <v>0</v>
      </c>
      <c r="G570" s="128">
        <f t="shared" si="62"/>
        <v>0</v>
      </c>
      <c r="H570" s="127">
        <f t="shared" si="57"/>
        <v>0</v>
      </c>
      <c r="I570" s="130">
        <f t="shared" si="58"/>
        <v>0</v>
      </c>
      <c r="J570" s="133">
        <f t="shared" si="59"/>
        <v>0</v>
      </c>
      <c r="K570" s="134">
        <v>0</v>
      </c>
      <c r="L570" s="129">
        <f t="shared" si="60"/>
        <v>0</v>
      </c>
    </row>
    <row r="571" spans="1:12">
      <c r="A571" s="122">
        <v>564</v>
      </c>
      <c r="D571" s="130">
        <v>0</v>
      </c>
      <c r="E571" s="128">
        <f t="shared" si="56"/>
        <v>0</v>
      </c>
      <c r="F571" s="123">
        <f t="shared" si="61"/>
        <v>0</v>
      </c>
      <c r="G571" s="128">
        <f t="shared" si="62"/>
        <v>0</v>
      </c>
      <c r="H571" s="127">
        <f t="shared" si="57"/>
        <v>0</v>
      </c>
      <c r="I571" s="130">
        <f t="shared" si="58"/>
        <v>0</v>
      </c>
      <c r="J571" s="133">
        <f t="shared" si="59"/>
        <v>0</v>
      </c>
      <c r="K571" s="134">
        <v>0</v>
      </c>
      <c r="L571" s="129">
        <f t="shared" si="60"/>
        <v>0</v>
      </c>
    </row>
    <row r="572" spans="1:12">
      <c r="A572" s="122">
        <v>565</v>
      </c>
      <c r="D572" s="130">
        <v>0</v>
      </c>
      <c r="E572" s="128">
        <f t="shared" si="56"/>
        <v>0</v>
      </c>
      <c r="F572" s="123">
        <f t="shared" si="61"/>
        <v>0</v>
      </c>
      <c r="G572" s="128">
        <f t="shared" si="62"/>
        <v>0</v>
      </c>
      <c r="H572" s="127">
        <f t="shared" si="57"/>
        <v>0</v>
      </c>
      <c r="I572" s="130">
        <f t="shared" si="58"/>
        <v>0</v>
      </c>
      <c r="J572" s="133">
        <f t="shared" si="59"/>
        <v>0</v>
      </c>
      <c r="K572" s="134">
        <v>0</v>
      </c>
      <c r="L572" s="129">
        <f t="shared" si="60"/>
        <v>0</v>
      </c>
    </row>
    <row r="573" spans="1:12">
      <c r="A573" s="122">
        <v>566</v>
      </c>
      <c r="D573" s="130">
        <v>0</v>
      </c>
      <c r="E573" s="128">
        <f t="shared" si="56"/>
        <v>0</v>
      </c>
      <c r="F573" s="123">
        <f t="shared" si="61"/>
        <v>0</v>
      </c>
      <c r="G573" s="128">
        <f t="shared" si="62"/>
        <v>0</v>
      </c>
      <c r="H573" s="127">
        <f t="shared" si="57"/>
        <v>0</v>
      </c>
      <c r="I573" s="130">
        <f t="shared" si="58"/>
        <v>0</v>
      </c>
      <c r="J573" s="133">
        <f t="shared" si="59"/>
        <v>0</v>
      </c>
      <c r="K573" s="134">
        <v>0</v>
      </c>
      <c r="L573" s="129">
        <f t="shared" si="60"/>
        <v>0</v>
      </c>
    </row>
    <row r="574" spans="1:12">
      <c r="A574" s="122">
        <v>567</v>
      </c>
      <c r="D574" s="130">
        <v>0</v>
      </c>
      <c r="E574" s="128">
        <f t="shared" si="56"/>
        <v>0</v>
      </c>
      <c r="F574" s="123">
        <f t="shared" si="61"/>
        <v>0</v>
      </c>
      <c r="G574" s="128">
        <f t="shared" si="62"/>
        <v>0</v>
      </c>
      <c r="H574" s="127">
        <f t="shared" si="57"/>
        <v>0</v>
      </c>
      <c r="I574" s="130">
        <f t="shared" si="58"/>
        <v>0</v>
      </c>
      <c r="J574" s="133">
        <f t="shared" si="59"/>
        <v>0</v>
      </c>
      <c r="K574" s="134">
        <v>0</v>
      </c>
      <c r="L574" s="129">
        <f t="shared" si="60"/>
        <v>0</v>
      </c>
    </row>
    <row r="575" spans="1:12">
      <c r="A575" s="122">
        <v>568</v>
      </c>
      <c r="D575" s="130">
        <v>0</v>
      </c>
      <c r="E575" s="128">
        <f t="shared" si="56"/>
        <v>0</v>
      </c>
      <c r="F575" s="123">
        <f t="shared" si="61"/>
        <v>0</v>
      </c>
      <c r="G575" s="128">
        <f t="shared" si="62"/>
        <v>0</v>
      </c>
      <c r="H575" s="127">
        <f t="shared" si="57"/>
        <v>0</v>
      </c>
      <c r="I575" s="130">
        <f t="shared" si="58"/>
        <v>0</v>
      </c>
      <c r="J575" s="133">
        <f t="shared" si="59"/>
        <v>0</v>
      </c>
      <c r="K575" s="134">
        <v>0</v>
      </c>
      <c r="L575" s="129">
        <f t="shared" si="60"/>
        <v>0</v>
      </c>
    </row>
    <row r="576" spans="1:12">
      <c r="A576" s="122">
        <v>569</v>
      </c>
      <c r="D576" s="130">
        <v>0</v>
      </c>
      <c r="E576" s="128">
        <f t="shared" si="56"/>
        <v>0</v>
      </c>
      <c r="F576" s="123">
        <f t="shared" si="61"/>
        <v>0</v>
      </c>
      <c r="G576" s="128">
        <f t="shared" si="62"/>
        <v>0</v>
      </c>
      <c r="H576" s="127">
        <f t="shared" si="57"/>
        <v>0</v>
      </c>
      <c r="I576" s="130">
        <f t="shared" si="58"/>
        <v>0</v>
      </c>
      <c r="J576" s="133">
        <f t="shared" si="59"/>
        <v>0</v>
      </c>
      <c r="K576" s="134">
        <v>0</v>
      </c>
      <c r="L576" s="129">
        <f t="shared" si="60"/>
        <v>0</v>
      </c>
    </row>
    <row r="577" spans="1:12">
      <c r="A577" s="122">
        <v>570</v>
      </c>
      <c r="D577" s="130">
        <v>0</v>
      </c>
      <c r="E577" s="128">
        <f t="shared" si="56"/>
        <v>0</v>
      </c>
      <c r="F577" s="123">
        <f t="shared" si="61"/>
        <v>0</v>
      </c>
      <c r="G577" s="128">
        <f t="shared" si="62"/>
        <v>0</v>
      </c>
      <c r="H577" s="127">
        <f t="shared" si="57"/>
        <v>0</v>
      </c>
      <c r="I577" s="130">
        <f t="shared" si="58"/>
        <v>0</v>
      </c>
      <c r="J577" s="133">
        <f t="shared" si="59"/>
        <v>0</v>
      </c>
      <c r="K577" s="134">
        <v>0</v>
      </c>
      <c r="L577" s="129">
        <f t="shared" si="60"/>
        <v>0</v>
      </c>
    </row>
    <row r="578" spans="1:12">
      <c r="A578" s="122">
        <v>571</v>
      </c>
      <c r="D578" s="130">
        <v>0</v>
      </c>
      <c r="E578" s="128">
        <f t="shared" si="56"/>
        <v>0</v>
      </c>
      <c r="F578" s="123">
        <f t="shared" si="61"/>
        <v>0</v>
      </c>
      <c r="G578" s="128">
        <f t="shared" si="62"/>
        <v>0</v>
      </c>
      <c r="H578" s="127">
        <f t="shared" si="57"/>
        <v>0</v>
      </c>
      <c r="I578" s="130">
        <f t="shared" si="58"/>
        <v>0</v>
      </c>
      <c r="J578" s="133">
        <f t="shared" si="59"/>
        <v>0</v>
      </c>
      <c r="K578" s="134">
        <v>0</v>
      </c>
      <c r="L578" s="129">
        <f t="shared" si="60"/>
        <v>0</v>
      </c>
    </row>
    <row r="579" spans="1:12">
      <c r="A579" s="122">
        <v>572</v>
      </c>
      <c r="D579" s="130">
        <v>0</v>
      </c>
      <c r="E579" s="128">
        <f t="shared" si="56"/>
        <v>0</v>
      </c>
      <c r="F579" s="123">
        <f t="shared" si="61"/>
        <v>0</v>
      </c>
      <c r="G579" s="128">
        <f t="shared" si="62"/>
        <v>0</v>
      </c>
      <c r="H579" s="127">
        <f t="shared" si="57"/>
        <v>0</v>
      </c>
      <c r="I579" s="130">
        <f t="shared" si="58"/>
        <v>0</v>
      </c>
      <c r="J579" s="133">
        <f t="shared" si="59"/>
        <v>0</v>
      </c>
      <c r="K579" s="134">
        <v>0</v>
      </c>
      <c r="L579" s="129">
        <f t="shared" si="60"/>
        <v>0</v>
      </c>
    </row>
    <row r="580" spans="1:12">
      <c r="A580" s="122">
        <v>573</v>
      </c>
      <c r="D580" s="130">
        <v>0</v>
      </c>
      <c r="E580" s="128">
        <f t="shared" si="56"/>
        <v>0</v>
      </c>
      <c r="F580" s="123">
        <f t="shared" si="61"/>
        <v>0</v>
      </c>
      <c r="G580" s="128">
        <f t="shared" si="62"/>
        <v>0</v>
      </c>
      <c r="H580" s="127">
        <f t="shared" si="57"/>
        <v>0</v>
      </c>
      <c r="I580" s="130">
        <f t="shared" si="58"/>
        <v>0</v>
      </c>
      <c r="J580" s="133">
        <f t="shared" si="59"/>
        <v>0</v>
      </c>
      <c r="K580" s="134">
        <v>0</v>
      </c>
      <c r="L580" s="129">
        <f t="shared" si="60"/>
        <v>0</v>
      </c>
    </row>
    <row r="581" spans="1:12">
      <c r="A581" s="122">
        <v>574</v>
      </c>
      <c r="D581" s="130">
        <v>0</v>
      </c>
      <c r="E581" s="128">
        <f t="shared" si="56"/>
        <v>0</v>
      </c>
      <c r="F581" s="123">
        <f t="shared" si="61"/>
        <v>0</v>
      </c>
      <c r="G581" s="128">
        <f t="shared" si="62"/>
        <v>0</v>
      </c>
      <c r="H581" s="127">
        <f t="shared" si="57"/>
        <v>0</v>
      </c>
      <c r="I581" s="130">
        <f t="shared" si="58"/>
        <v>0</v>
      </c>
      <c r="J581" s="133">
        <f t="shared" si="59"/>
        <v>0</v>
      </c>
      <c r="K581" s="134">
        <v>0</v>
      </c>
      <c r="L581" s="129">
        <f t="shared" si="60"/>
        <v>0</v>
      </c>
    </row>
    <row r="582" spans="1:12">
      <c r="A582" s="122">
        <v>575</v>
      </c>
      <c r="D582" s="130">
        <v>0</v>
      </c>
      <c r="E582" s="128">
        <f t="shared" si="56"/>
        <v>0</v>
      </c>
      <c r="F582" s="123">
        <f t="shared" si="61"/>
        <v>0</v>
      </c>
      <c r="G582" s="128">
        <f t="shared" si="62"/>
        <v>0</v>
      </c>
      <c r="H582" s="127">
        <f t="shared" si="57"/>
        <v>0</v>
      </c>
      <c r="I582" s="130">
        <f t="shared" si="58"/>
        <v>0</v>
      </c>
      <c r="J582" s="133">
        <f t="shared" si="59"/>
        <v>0</v>
      </c>
      <c r="K582" s="134">
        <v>0</v>
      </c>
      <c r="L582" s="129">
        <f t="shared" si="60"/>
        <v>0</v>
      </c>
    </row>
    <row r="583" spans="1:12">
      <c r="A583" s="122">
        <v>576</v>
      </c>
      <c r="D583" s="130">
        <v>0</v>
      </c>
      <c r="E583" s="128">
        <f t="shared" si="56"/>
        <v>0</v>
      </c>
      <c r="F583" s="123">
        <f t="shared" si="61"/>
        <v>0</v>
      </c>
      <c r="G583" s="128">
        <f t="shared" si="62"/>
        <v>0</v>
      </c>
      <c r="H583" s="127">
        <f t="shared" si="57"/>
        <v>0</v>
      </c>
      <c r="I583" s="130">
        <f t="shared" si="58"/>
        <v>0</v>
      </c>
      <c r="J583" s="133">
        <f t="shared" si="59"/>
        <v>0</v>
      </c>
      <c r="K583" s="134">
        <v>0</v>
      </c>
      <c r="L583" s="129">
        <f t="shared" si="60"/>
        <v>0</v>
      </c>
    </row>
    <row r="584" spans="1:12">
      <c r="A584" s="122">
        <v>577</v>
      </c>
      <c r="D584" s="130">
        <v>0</v>
      </c>
      <c r="E584" s="128">
        <f t="shared" ref="E584:E647" si="63">D584*0.08</f>
        <v>0</v>
      </c>
      <c r="F584" s="123">
        <f t="shared" si="61"/>
        <v>0</v>
      </c>
      <c r="G584" s="128">
        <f t="shared" si="62"/>
        <v>0</v>
      </c>
      <c r="H584" s="127">
        <f t="shared" ref="H584:H647" si="64">+D584-G584-E584</f>
        <v>0</v>
      </c>
      <c r="I584" s="130">
        <f t="shared" ref="I584:I647" si="65">IF(G584=0,(D584*0.01),IF(H584&lt;=0,0.01*D584,IF(AND(H584&gt;0,H584&lt;=300000),H584*7%,IF(AND(H584&gt;=300000,H584&lt;600000),21000+(H584-300000)*11%,IF(AND(H584&gt;=600000,H584&lt;1100000),54000+(H584-600000)*15%,IF(AND(H584&gt;=1100000,H584&lt;1600000),129000+(H584-1100000)*19%,IF(AND(H584&gt;=1600000,H584&lt;3200000),224000+(H584-1600000)*21%,560000+(H584-3200000)*24%)))))))</f>
        <v>0</v>
      </c>
      <c r="J584" s="133">
        <f t="shared" ref="J584:J647" si="66">I584/12</f>
        <v>0</v>
      </c>
      <c r="K584" s="134">
        <v>0</v>
      </c>
      <c r="L584" s="129">
        <f t="shared" ref="L584:L647" si="67">+J584*K584</f>
        <v>0</v>
      </c>
    </row>
    <row r="585" spans="1:12">
      <c r="A585" s="122">
        <v>578</v>
      </c>
      <c r="D585" s="130">
        <v>0</v>
      </c>
      <c r="E585" s="128">
        <f t="shared" si="63"/>
        <v>0</v>
      </c>
      <c r="F585" s="123">
        <f t="shared" ref="F585:F648" si="68">D585-E585</f>
        <v>0</v>
      </c>
      <c r="G585" s="128">
        <f t="shared" ref="G585:G648" si="69">IF(F585&lt;=300000,0,IF(F585&gt;=20000000,(F585*0.21),(F585*0.2)+200000))</f>
        <v>0</v>
      </c>
      <c r="H585" s="127">
        <f t="shared" si="64"/>
        <v>0</v>
      </c>
      <c r="I585" s="130">
        <f t="shared" si="65"/>
        <v>0</v>
      </c>
      <c r="J585" s="133">
        <f t="shared" si="66"/>
        <v>0</v>
      </c>
      <c r="K585" s="134">
        <v>0</v>
      </c>
      <c r="L585" s="129">
        <f t="shared" si="67"/>
        <v>0</v>
      </c>
    </row>
    <row r="586" spans="1:12">
      <c r="A586" s="122">
        <v>579</v>
      </c>
      <c r="D586" s="130">
        <v>0</v>
      </c>
      <c r="E586" s="128">
        <f t="shared" si="63"/>
        <v>0</v>
      </c>
      <c r="F586" s="123">
        <f t="shared" si="68"/>
        <v>0</v>
      </c>
      <c r="G586" s="128">
        <f t="shared" si="69"/>
        <v>0</v>
      </c>
      <c r="H586" s="127">
        <f t="shared" si="64"/>
        <v>0</v>
      </c>
      <c r="I586" s="130">
        <f t="shared" si="65"/>
        <v>0</v>
      </c>
      <c r="J586" s="133">
        <f t="shared" si="66"/>
        <v>0</v>
      </c>
      <c r="K586" s="134">
        <v>0</v>
      </c>
      <c r="L586" s="129">
        <f t="shared" si="67"/>
        <v>0</v>
      </c>
    </row>
    <row r="587" spans="1:12">
      <c r="A587" s="122">
        <v>580</v>
      </c>
      <c r="D587" s="130">
        <v>0</v>
      </c>
      <c r="E587" s="128">
        <f t="shared" si="63"/>
        <v>0</v>
      </c>
      <c r="F587" s="123">
        <f t="shared" si="68"/>
        <v>0</v>
      </c>
      <c r="G587" s="128">
        <f t="shared" si="69"/>
        <v>0</v>
      </c>
      <c r="H587" s="127">
        <f t="shared" si="64"/>
        <v>0</v>
      </c>
      <c r="I587" s="130">
        <f t="shared" si="65"/>
        <v>0</v>
      </c>
      <c r="J587" s="133">
        <f t="shared" si="66"/>
        <v>0</v>
      </c>
      <c r="K587" s="134">
        <v>0</v>
      </c>
      <c r="L587" s="129">
        <f t="shared" si="67"/>
        <v>0</v>
      </c>
    </row>
    <row r="588" spans="1:12">
      <c r="A588" s="122">
        <v>581</v>
      </c>
      <c r="D588" s="130">
        <v>0</v>
      </c>
      <c r="E588" s="128">
        <f t="shared" si="63"/>
        <v>0</v>
      </c>
      <c r="F588" s="123">
        <f t="shared" si="68"/>
        <v>0</v>
      </c>
      <c r="G588" s="128">
        <f t="shared" si="69"/>
        <v>0</v>
      </c>
      <c r="H588" s="127">
        <f t="shared" si="64"/>
        <v>0</v>
      </c>
      <c r="I588" s="130">
        <f t="shared" si="65"/>
        <v>0</v>
      </c>
      <c r="J588" s="133">
        <f t="shared" si="66"/>
        <v>0</v>
      </c>
      <c r="K588" s="134">
        <v>0</v>
      </c>
      <c r="L588" s="129">
        <f t="shared" si="67"/>
        <v>0</v>
      </c>
    </row>
    <row r="589" spans="1:12">
      <c r="A589" s="122">
        <v>582</v>
      </c>
      <c r="D589" s="130">
        <v>0</v>
      </c>
      <c r="E589" s="128">
        <f t="shared" si="63"/>
        <v>0</v>
      </c>
      <c r="F589" s="123">
        <f t="shared" si="68"/>
        <v>0</v>
      </c>
      <c r="G589" s="128">
        <f t="shared" si="69"/>
        <v>0</v>
      </c>
      <c r="H589" s="127">
        <f t="shared" si="64"/>
        <v>0</v>
      </c>
      <c r="I589" s="130">
        <f t="shared" si="65"/>
        <v>0</v>
      </c>
      <c r="J589" s="133">
        <f t="shared" si="66"/>
        <v>0</v>
      </c>
      <c r="K589" s="134">
        <v>0</v>
      </c>
      <c r="L589" s="129">
        <f t="shared" si="67"/>
        <v>0</v>
      </c>
    </row>
    <row r="590" spans="1:12">
      <c r="A590" s="122">
        <v>583</v>
      </c>
      <c r="D590" s="130">
        <v>0</v>
      </c>
      <c r="E590" s="128">
        <f t="shared" si="63"/>
        <v>0</v>
      </c>
      <c r="F590" s="123">
        <f t="shared" si="68"/>
        <v>0</v>
      </c>
      <c r="G590" s="128">
        <f t="shared" si="69"/>
        <v>0</v>
      </c>
      <c r="H590" s="127">
        <f t="shared" si="64"/>
        <v>0</v>
      </c>
      <c r="I590" s="130">
        <f t="shared" si="65"/>
        <v>0</v>
      </c>
      <c r="J590" s="133">
        <f t="shared" si="66"/>
        <v>0</v>
      </c>
      <c r="K590" s="134">
        <v>0</v>
      </c>
      <c r="L590" s="129">
        <f t="shared" si="67"/>
        <v>0</v>
      </c>
    </row>
    <row r="591" spans="1:12">
      <c r="A591" s="122">
        <v>584</v>
      </c>
      <c r="D591" s="130">
        <v>0</v>
      </c>
      <c r="E591" s="128">
        <f t="shared" si="63"/>
        <v>0</v>
      </c>
      <c r="F591" s="123">
        <f t="shared" si="68"/>
        <v>0</v>
      </c>
      <c r="G591" s="128">
        <f t="shared" si="69"/>
        <v>0</v>
      </c>
      <c r="H591" s="127">
        <f t="shared" si="64"/>
        <v>0</v>
      </c>
      <c r="I591" s="130">
        <f t="shared" si="65"/>
        <v>0</v>
      </c>
      <c r="J591" s="133">
        <f t="shared" si="66"/>
        <v>0</v>
      </c>
      <c r="K591" s="134">
        <v>0</v>
      </c>
      <c r="L591" s="129">
        <f t="shared" si="67"/>
        <v>0</v>
      </c>
    </row>
    <row r="592" spans="1:12">
      <c r="A592" s="122">
        <v>585</v>
      </c>
      <c r="D592" s="130">
        <v>0</v>
      </c>
      <c r="E592" s="128">
        <f t="shared" si="63"/>
        <v>0</v>
      </c>
      <c r="F592" s="123">
        <f t="shared" si="68"/>
        <v>0</v>
      </c>
      <c r="G592" s="128">
        <f t="shared" si="69"/>
        <v>0</v>
      </c>
      <c r="H592" s="127">
        <f t="shared" si="64"/>
        <v>0</v>
      </c>
      <c r="I592" s="130">
        <f t="shared" si="65"/>
        <v>0</v>
      </c>
      <c r="J592" s="133">
        <f t="shared" si="66"/>
        <v>0</v>
      </c>
      <c r="K592" s="134">
        <v>0</v>
      </c>
      <c r="L592" s="129">
        <f t="shared" si="67"/>
        <v>0</v>
      </c>
    </row>
    <row r="593" spans="1:12">
      <c r="A593" s="122">
        <v>586</v>
      </c>
      <c r="D593" s="130">
        <v>0</v>
      </c>
      <c r="E593" s="128">
        <f t="shared" si="63"/>
        <v>0</v>
      </c>
      <c r="F593" s="123">
        <f t="shared" si="68"/>
        <v>0</v>
      </c>
      <c r="G593" s="128">
        <f t="shared" si="69"/>
        <v>0</v>
      </c>
      <c r="H593" s="127">
        <f t="shared" si="64"/>
        <v>0</v>
      </c>
      <c r="I593" s="130">
        <f t="shared" si="65"/>
        <v>0</v>
      </c>
      <c r="J593" s="133">
        <f t="shared" si="66"/>
        <v>0</v>
      </c>
      <c r="K593" s="134">
        <v>0</v>
      </c>
      <c r="L593" s="129">
        <f t="shared" si="67"/>
        <v>0</v>
      </c>
    </row>
    <row r="594" spans="1:12">
      <c r="A594" s="122">
        <v>587</v>
      </c>
      <c r="D594" s="130">
        <v>0</v>
      </c>
      <c r="E594" s="128">
        <f t="shared" si="63"/>
        <v>0</v>
      </c>
      <c r="F594" s="123">
        <f t="shared" si="68"/>
        <v>0</v>
      </c>
      <c r="G594" s="128">
        <f t="shared" si="69"/>
        <v>0</v>
      </c>
      <c r="H594" s="127">
        <f t="shared" si="64"/>
        <v>0</v>
      </c>
      <c r="I594" s="130">
        <f t="shared" si="65"/>
        <v>0</v>
      </c>
      <c r="J594" s="133">
        <f t="shared" si="66"/>
        <v>0</v>
      </c>
      <c r="K594" s="134">
        <v>0</v>
      </c>
      <c r="L594" s="129">
        <f t="shared" si="67"/>
        <v>0</v>
      </c>
    </row>
    <row r="595" spans="1:12">
      <c r="A595" s="122">
        <v>588</v>
      </c>
      <c r="D595" s="130">
        <v>0</v>
      </c>
      <c r="E595" s="128">
        <f t="shared" si="63"/>
        <v>0</v>
      </c>
      <c r="F595" s="123">
        <f t="shared" si="68"/>
        <v>0</v>
      </c>
      <c r="G595" s="128">
        <f t="shared" si="69"/>
        <v>0</v>
      </c>
      <c r="H595" s="127">
        <f t="shared" si="64"/>
        <v>0</v>
      </c>
      <c r="I595" s="130">
        <f t="shared" si="65"/>
        <v>0</v>
      </c>
      <c r="J595" s="133">
        <f t="shared" si="66"/>
        <v>0</v>
      </c>
      <c r="K595" s="134">
        <v>0</v>
      </c>
      <c r="L595" s="129">
        <f t="shared" si="67"/>
        <v>0</v>
      </c>
    </row>
    <row r="596" spans="1:12">
      <c r="A596" s="122">
        <v>589</v>
      </c>
      <c r="D596" s="130">
        <v>0</v>
      </c>
      <c r="E596" s="128">
        <f t="shared" si="63"/>
        <v>0</v>
      </c>
      <c r="F596" s="123">
        <f t="shared" si="68"/>
        <v>0</v>
      </c>
      <c r="G596" s="128">
        <f t="shared" si="69"/>
        <v>0</v>
      </c>
      <c r="H596" s="127">
        <f t="shared" si="64"/>
        <v>0</v>
      </c>
      <c r="I596" s="130">
        <f t="shared" si="65"/>
        <v>0</v>
      </c>
      <c r="J596" s="133">
        <f t="shared" si="66"/>
        <v>0</v>
      </c>
      <c r="K596" s="134">
        <v>0</v>
      </c>
      <c r="L596" s="129">
        <f t="shared" si="67"/>
        <v>0</v>
      </c>
    </row>
    <row r="597" spans="1:12">
      <c r="A597" s="122">
        <v>590</v>
      </c>
      <c r="D597" s="130">
        <v>0</v>
      </c>
      <c r="E597" s="128">
        <f t="shared" si="63"/>
        <v>0</v>
      </c>
      <c r="F597" s="123">
        <f t="shared" si="68"/>
        <v>0</v>
      </c>
      <c r="G597" s="128">
        <f t="shared" si="69"/>
        <v>0</v>
      </c>
      <c r="H597" s="127">
        <f t="shared" si="64"/>
        <v>0</v>
      </c>
      <c r="I597" s="130">
        <f t="shared" si="65"/>
        <v>0</v>
      </c>
      <c r="J597" s="133">
        <f t="shared" si="66"/>
        <v>0</v>
      </c>
      <c r="K597" s="134">
        <v>0</v>
      </c>
      <c r="L597" s="129">
        <f t="shared" si="67"/>
        <v>0</v>
      </c>
    </row>
    <row r="598" spans="1:12">
      <c r="A598" s="122">
        <v>591</v>
      </c>
      <c r="D598" s="130">
        <v>0</v>
      </c>
      <c r="E598" s="128">
        <f t="shared" si="63"/>
        <v>0</v>
      </c>
      <c r="F598" s="123">
        <f t="shared" si="68"/>
        <v>0</v>
      </c>
      <c r="G598" s="128">
        <f t="shared" si="69"/>
        <v>0</v>
      </c>
      <c r="H598" s="127">
        <f t="shared" si="64"/>
        <v>0</v>
      </c>
      <c r="I598" s="130">
        <f t="shared" si="65"/>
        <v>0</v>
      </c>
      <c r="J598" s="133">
        <f t="shared" si="66"/>
        <v>0</v>
      </c>
      <c r="K598" s="134">
        <v>0</v>
      </c>
      <c r="L598" s="129">
        <f t="shared" si="67"/>
        <v>0</v>
      </c>
    </row>
    <row r="599" spans="1:12">
      <c r="A599" s="122">
        <v>592</v>
      </c>
      <c r="D599" s="130">
        <v>0</v>
      </c>
      <c r="E599" s="128">
        <f t="shared" si="63"/>
        <v>0</v>
      </c>
      <c r="F599" s="123">
        <f t="shared" si="68"/>
        <v>0</v>
      </c>
      <c r="G599" s="128">
        <f t="shared" si="69"/>
        <v>0</v>
      </c>
      <c r="H599" s="127">
        <f t="shared" si="64"/>
        <v>0</v>
      </c>
      <c r="I599" s="130">
        <f t="shared" si="65"/>
        <v>0</v>
      </c>
      <c r="J599" s="133">
        <f t="shared" si="66"/>
        <v>0</v>
      </c>
      <c r="K599" s="134">
        <v>0</v>
      </c>
      <c r="L599" s="129">
        <f t="shared" si="67"/>
        <v>0</v>
      </c>
    </row>
    <row r="600" spans="1:12">
      <c r="A600" s="122">
        <v>593</v>
      </c>
      <c r="D600" s="130">
        <v>0</v>
      </c>
      <c r="E600" s="128">
        <f t="shared" si="63"/>
        <v>0</v>
      </c>
      <c r="F600" s="123">
        <f t="shared" si="68"/>
        <v>0</v>
      </c>
      <c r="G600" s="128">
        <f t="shared" si="69"/>
        <v>0</v>
      </c>
      <c r="H600" s="127">
        <f t="shared" si="64"/>
        <v>0</v>
      </c>
      <c r="I600" s="130">
        <f t="shared" si="65"/>
        <v>0</v>
      </c>
      <c r="J600" s="133">
        <f t="shared" si="66"/>
        <v>0</v>
      </c>
      <c r="K600" s="134">
        <v>0</v>
      </c>
      <c r="L600" s="129">
        <f t="shared" si="67"/>
        <v>0</v>
      </c>
    </row>
    <row r="601" spans="1:12">
      <c r="A601" s="122">
        <v>594</v>
      </c>
      <c r="D601" s="130">
        <v>0</v>
      </c>
      <c r="E601" s="128">
        <f t="shared" si="63"/>
        <v>0</v>
      </c>
      <c r="F601" s="123">
        <f t="shared" si="68"/>
        <v>0</v>
      </c>
      <c r="G601" s="128">
        <f t="shared" si="69"/>
        <v>0</v>
      </c>
      <c r="H601" s="127">
        <f t="shared" si="64"/>
        <v>0</v>
      </c>
      <c r="I601" s="130">
        <f t="shared" si="65"/>
        <v>0</v>
      </c>
      <c r="J601" s="133">
        <f t="shared" si="66"/>
        <v>0</v>
      </c>
      <c r="K601" s="134">
        <v>0</v>
      </c>
      <c r="L601" s="129">
        <f t="shared" si="67"/>
        <v>0</v>
      </c>
    </row>
    <row r="602" spans="1:12">
      <c r="A602" s="122">
        <v>595</v>
      </c>
      <c r="D602" s="130">
        <v>0</v>
      </c>
      <c r="E602" s="128">
        <f t="shared" si="63"/>
        <v>0</v>
      </c>
      <c r="F602" s="123">
        <f t="shared" si="68"/>
        <v>0</v>
      </c>
      <c r="G602" s="128">
        <f t="shared" si="69"/>
        <v>0</v>
      </c>
      <c r="H602" s="127">
        <f t="shared" si="64"/>
        <v>0</v>
      </c>
      <c r="I602" s="130">
        <f t="shared" si="65"/>
        <v>0</v>
      </c>
      <c r="J602" s="133">
        <f t="shared" si="66"/>
        <v>0</v>
      </c>
      <c r="K602" s="134">
        <v>0</v>
      </c>
      <c r="L602" s="129">
        <f t="shared" si="67"/>
        <v>0</v>
      </c>
    </row>
    <row r="603" spans="1:12">
      <c r="A603" s="122">
        <v>596</v>
      </c>
      <c r="D603" s="130">
        <v>0</v>
      </c>
      <c r="E603" s="128">
        <f t="shared" si="63"/>
        <v>0</v>
      </c>
      <c r="F603" s="123">
        <f t="shared" si="68"/>
        <v>0</v>
      </c>
      <c r="G603" s="128">
        <f t="shared" si="69"/>
        <v>0</v>
      </c>
      <c r="H603" s="127">
        <f t="shared" si="64"/>
        <v>0</v>
      </c>
      <c r="I603" s="130">
        <f t="shared" si="65"/>
        <v>0</v>
      </c>
      <c r="J603" s="133">
        <f t="shared" si="66"/>
        <v>0</v>
      </c>
      <c r="K603" s="134">
        <v>0</v>
      </c>
      <c r="L603" s="129">
        <f t="shared" si="67"/>
        <v>0</v>
      </c>
    </row>
    <row r="604" spans="1:12">
      <c r="A604" s="122">
        <v>597</v>
      </c>
      <c r="D604" s="130">
        <v>0</v>
      </c>
      <c r="E604" s="128">
        <f t="shared" si="63"/>
        <v>0</v>
      </c>
      <c r="F604" s="123">
        <f t="shared" si="68"/>
        <v>0</v>
      </c>
      <c r="G604" s="128">
        <f t="shared" si="69"/>
        <v>0</v>
      </c>
      <c r="H604" s="127">
        <f t="shared" si="64"/>
        <v>0</v>
      </c>
      <c r="I604" s="130">
        <f t="shared" si="65"/>
        <v>0</v>
      </c>
      <c r="J604" s="133">
        <f t="shared" si="66"/>
        <v>0</v>
      </c>
      <c r="K604" s="134">
        <v>0</v>
      </c>
      <c r="L604" s="129">
        <f t="shared" si="67"/>
        <v>0</v>
      </c>
    </row>
    <row r="605" spans="1:12">
      <c r="A605" s="122">
        <v>598</v>
      </c>
      <c r="D605" s="130">
        <v>0</v>
      </c>
      <c r="E605" s="128">
        <f t="shared" si="63"/>
        <v>0</v>
      </c>
      <c r="F605" s="123">
        <f t="shared" si="68"/>
        <v>0</v>
      </c>
      <c r="G605" s="128">
        <f t="shared" si="69"/>
        <v>0</v>
      </c>
      <c r="H605" s="127">
        <f t="shared" si="64"/>
        <v>0</v>
      </c>
      <c r="I605" s="130">
        <f t="shared" si="65"/>
        <v>0</v>
      </c>
      <c r="J605" s="133">
        <f t="shared" si="66"/>
        <v>0</v>
      </c>
      <c r="K605" s="134">
        <v>0</v>
      </c>
      <c r="L605" s="129">
        <f t="shared" si="67"/>
        <v>0</v>
      </c>
    </row>
    <row r="606" spans="1:12">
      <c r="A606" s="122">
        <v>599</v>
      </c>
      <c r="D606" s="130">
        <v>0</v>
      </c>
      <c r="E606" s="128">
        <f t="shared" si="63"/>
        <v>0</v>
      </c>
      <c r="F606" s="123">
        <f t="shared" si="68"/>
        <v>0</v>
      </c>
      <c r="G606" s="128">
        <f t="shared" si="69"/>
        <v>0</v>
      </c>
      <c r="H606" s="127">
        <f t="shared" si="64"/>
        <v>0</v>
      </c>
      <c r="I606" s="130">
        <f t="shared" si="65"/>
        <v>0</v>
      </c>
      <c r="J606" s="133">
        <f t="shared" si="66"/>
        <v>0</v>
      </c>
      <c r="K606" s="134">
        <v>0</v>
      </c>
      <c r="L606" s="129">
        <f t="shared" si="67"/>
        <v>0</v>
      </c>
    </row>
    <row r="607" spans="1:12">
      <c r="A607" s="122">
        <v>600</v>
      </c>
      <c r="D607" s="130">
        <v>0</v>
      </c>
      <c r="E607" s="128">
        <f t="shared" si="63"/>
        <v>0</v>
      </c>
      <c r="F607" s="123">
        <f t="shared" si="68"/>
        <v>0</v>
      </c>
      <c r="G607" s="128">
        <f t="shared" si="69"/>
        <v>0</v>
      </c>
      <c r="H607" s="127">
        <f t="shared" si="64"/>
        <v>0</v>
      </c>
      <c r="I607" s="130">
        <f t="shared" si="65"/>
        <v>0</v>
      </c>
      <c r="J607" s="133">
        <f t="shared" si="66"/>
        <v>0</v>
      </c>
      <c r="K607" s="134">
        <v>0</v>
      </c>
      <c r="L607" s="129">
        <f t="shared" si="67"/>
        <v>0</v>
      </c>
    </row>
    <row r="608" spans="1:12">
      <c r="A608" s="122">
        <v>601</v>
      </c>
      <c r="D608" s="130">
        <v>0</v>
      </c>
      <c r="E608" s="128">
        <f t="shared" si="63"/>
        <v>0</v>
      </c>
      <c r="F608" s="123">
        <f t="shared" si="68"/>
        <v>0</v>
      </c>
      <c r="G608" s="128">
        <f t="shared" si="69"/>
        <v>0</v>
      </c>
      <c r="H608" s="127">
        <f t="shared" si="64"/>
        <v>0</v>
      </c>
      <c r="I608" s="130">
        <f t="shared" si="65"/>
        <v>0</v>
      </c>
      <c r="J608" s="133">
        <f t="shared" si="66"/>
        <v>0</v>
      </c>
      <c r="K608" s="134">
        <v>0</v>
      </c>
      <c r="L608" s="129">
        <f t="shared" si="67"/>
        <v>0</v>
      </c>
    </row>
    <row r="609" spans="1:12">
      <c r="A609" s="122">
        <v>602</v>
      </c>
      <c r="D609" s="130">
        <v>0</v>
      </c>
      <c r="E609" s="128">
        <f t="shared" si="63"/>
        <v>0</v>
      </c>
      <c r="F609" s="123">
        <f t="shared" si="68"/>
        <v>0</v>
      </c>
      <c r="G609" s="128">
        <f t="shared" si="69"/>
        <v>0</v>
      </c>
      <c r="H609" s="127">
        <f t="shared" si="64"/>
        <v>0</v>
      </c>
      <c r="I609" s="130">
        <f t="shared" si="65"/>
        <v>0</v>
      </c>
      <c r="J609" s="133">
        <f t="shared" si="66"/>
        <v>0</v>
      </c>
      <c r="K609" s="134">
        <v>0</v>
      </c>
      <c r="L609" s="129">
        <f t="shared" si="67"/>
        <v>0</v>
      </c>
    </row>
    <row r="610" spans="1:12">
      <c r="A610" s="122">
        <v>603</v>
      </c>
      <c r="D610" s="130">
        <v>0</v>
      </c>
      <c r="E610" s="128">
        <f t="shared" si="63"/>
        <v>0</v>
      </c>
      <c r="F610" s="123">
        <f t="shared" si="68"/>
        <v>0</v>
      </c>
      <c r="G610" s="128">
        <f t="shared" si="69"/>
        <v>0</v>
      </c>
      <c r="H610" s="127">
        <f t="shared" si="64"/>
        <v>0</v>
      </c>
      <c r="I610" s="130">
        <f t="shared" si="65"/>
        <v>0</v>
      </c>
      <c r="J610" s="133">
        <f t="shared" si="66"/>
        <v>0</v>
      </c>
      <c r="K610" s="134">
        <v>0</v>
      </c>
      <c r="L610" s="129">
        <f t="shared" si="67"/>
        <v>0</v>
      </c>
    </row>
    <row r="611" spans="1:12">
      <c r="A611" s="122">
        <v>604</v>
      </c>
      <c r="D611" s="130">
        <v>0</v>
      </c>
      <c r="E611" s="128">
        <f t="shared" si="63"/>
        <v>0</v>
      </c>
      <c r="F611" s="123">
        <f t="shared" si="68"/>
        <v>0</v>
      </c>
      <c r="G611" s="128">
        <f t="shared" si="69"/>
        <v>0</v>
      </c>
      <c r="H611" s="127">
        <f t="shared" si="64"/>
        <v>0</v>
      </c>
      <c r="I611" s="130">
        <f t="shared" si="65"/>
        <v>0</v>
      </c>
      <c r="J611" s="133">
        <f t="shared" si="66"/>
        <v>0</v>
      </c>
      <c r="K611" s="134">
        <v>0</v>
      </c>
      <c r="L611" s="129">
        <f t="shared" si="67"/>
        <v>0</v>
      </c>
    </row>
    <row r="612" spans="1:12">
      <c r="A612" s="122">
        <v>605</v>
      </c>
      <c r="D612" s="130">
        <v>0</v>
      </c>
      <c r="E612" s="128">
        <f t="shared" si="63"/>
        <v>0</v>
      </c>
      <c r="F612" s="123">
        <f t="shared" si="68"/>
        <v>0</v>
      </c>
      <c r="G612" s="128">
        <f t="shared" si="69"/>
        <v>0</v>
      </c>
      <c r="H612" s="127">
        <f t="shared" si="64"/>
        <v>0</v>
      </c>
      <c r="I612" s="130">
        <f t="shared" si="65"/>
        <v>0</v>
      </c>
      <c r="J612" s="133">
        <f t="shared" si="66"/>
        <v>0</v>
      </c>
      <c r="K612" s="134">
        <v>0</v>
      </c>
      <c r="L612" s="129">
        <f t="shared" si="67"/>
        <v>0</v>
      </c>
    </row>
    <row r="613" spans="1:12">
      <c r="A613" s="122">
        <v>606</v>
      </c>
      <c r="D613" s="130">
        <v>0</v>
      </c>
      <c r="E613" s="128">
        <f t="shared" si="63"/>
        <v>0</v>
      </c>
      <c r="F613" s="123">
        <f t="shared" si="68"/>
        <v>0</v>
      </c>
      <c r="G613" s="128">
        <f t="shared" si="69"/>
        <v>0</v>
      </c>
      <c r="H613" s="127">
        <f t="shared" si="64"/>
        <v>0</v>
      </c>
      <c r="I613" s="130">
        <f t="shared" si="65"/>
        <v>0</v>
      </c>
      <c r="J613" s="133">
        <f t="shared" si="66"/>
        <v>0</v>
      </c>
      <c r="K613" s="134">
        <v>0</v>
      </c>
      <c r="L613" s="129">
        <f t="shared" si="67"/>
        <v>0</v>
      </c>
    </row>
    <row r="614" spans="1:12">
      <c r="A614" s="122">
        <v>607</v>
      </c>
      <c r="D614" s="130">
        <v>0</v>
      </c>
      <c r="E614" s="128">
        <f t="shared" si="63"/>
        <v>0</v>
      </c>
      <c r="F614" s="123">
        <f t="shared" si="68"/>
        <v>0</v>
      </c>
      <c r="G614" s="128">
        <f t="shared" si="69"/>
        <v>0</v>
      </c>
      <c r="H614" s="127">
        <f t="shared" si="64"/>
        <v>0</v>
      </c>
      <c r="I614" s="130">
        <f t="shared" si="65"/>
        <v>0</v>
      </c>
      <c r="J614" s="133">
        <f t="shared" si="66"/>
        <v>0</v>
      </c>
      <c r="K614" s="134">
        <v>0</v>
      </c>
      <c r="L614" s="129">
        <f t="shared" si="67"/>
        <v>0</v>
      </c>
    </row>
    <row r="615" spans="1:12">
      <c r="A615" s="122">
        <v>608</v>
      </c>
      <c r="D615" s="130">
        <v>0</v>
      </c>
      <c r="E615" s="128">
        <f t="shared" si="63"/>
        <v>0</v>
      </c>
      <c r="F615" s="123">
        <f t="shared" si="68"/>
        <v>0</v>
      </c>
      <c r="G615" s="128">
        <f t="shared" si="69"/>
        <v>0</v>
      </c>
      <c r="H615" s="127">
        <f t="shared" si="64"/>
        <v>0</v>
      </c>
      <c r="I615" s="130">
        <f t="shared" si="65"/>
        <v>0</v>
      </c>
      <c r="J615" s="133">
        <f t="shared" si="66"/>
        <v>0</v>
      </c>
      <c r="K615" s="134">
        <v>0</v>
      </c>
      <c r="L615" s="129">
        <f t="shared" si="67"/>
        <v>0</v>
      </c>
    </row>
    <row r="616" spans="1:12">
      <c r="A616" s="122">
        <v>609</v>
      </c>
      <c r="D616" s="130">
        <v>0</v>
      </c>
      <c r="E616" s="128">
        <f t="shared" si="63"/>
        <v>0</v>
      </c>
      <c r="F616" s="123">
        <f t="shared" si="68"/>
        <v>0</v>
      </c>
      <c r="G616" s="128">
        <f t="shared" si="69"/>
        <v>0</v>
      </c>
      <c r="H616" s="127">
        <f t="shared" si="64"/>
        <v>0</v>
      </c>
      <c r="I616" s="130">
        <f t="shared" si="65"/>
        <v>0</v>
      </c>
      <c r="J616" s="133">
        <f t="shared" si="66"/>
        <v>0</v>
      </c>
      <c r="K616" s="134">
        <v>0</v>
      </c>
      <c r="L616" s="129">
        <f t="shared" si="67"/>
        <v>0</v>
      </c>
    </row>
    <row r="617" spans="1:12">
      <c r="A617" s="122">
        <v>610</v>
      </c>
      <c r="D617" s="130">
        <v>0</v>
      </c>
      <c r="E617" s="128">
        <f t="shared" si="63"/>
        <v>0</v>
      </c>
      <c r="F617" s="123">
        <f t="shared" si="68"/>
        <v>0</v>
      </c>
      <c r="G617" s="128">
        <f t="shared" si="69"/>
        <v>0</v>
      </c>
      <c r="H617" s="127">
        <f t="shared" si="64"/>
        <v>0</v>
      </c>
      <c r="I617" s="130">
        <f t="shared" si="65"/>
        <v>0</v>
      </c>
      <c r="J617" s="133">
        <f t="shared" si="66"/>
        <v>0</v>
      </c>
      <c r="K617" s="134">
        <v>0</v>
      </c>
      <c r="L617" s="129">
        <f t="shared" si="67"/>
        <v>0</v>
      </c>
    </row>
    <row r="618" spans="1:12">
      <c r="A618" s="122">
        <v>611</v>
      </c>
      <c r="D618" s="130">
        <v>0</v>
      </c>
      <c r="E618" s="128">
        <f t="shared" si="63"/>
        <v>0</v>
      </c>
      <c r="F618" s="123">
        <f t="shared" si="68"/>
        <v>0</v>
      </c>
      <c r="G618" s="128">
        <f t="shared" si="69"/>
        <v>0</v>
      </c>
      <c r="H618" s="127">
        <f t="shared" si="64"/>
        <v>0</v>
      </c>
      <c r="I618" s="130">
        <f t="shared" si="65"/>
        <v>0</v>
      </c>
      <c r="J618" s="133">
        <f t="shared" si="66"/>
        <v>0</v>
      </c>
      <c r="K618" s="134">
        <v>0</v>
      </c>
      <c r="L618" s="129">
        <f t="shared" si="67"/>
        <v>0</v>
      </c>
    </row>
    <row r="619" spans="1:12">
      <c r="A619" s="122">
        <v>612</v>
      </c>
      <c r="D619" s="130">
        <v>0</v>
      </c>
      <c r="E619" s="128">
        <f t="shared" si="63"/>
        <v>0</v>
      </c>
      <c r="F619" s="123">
        <f t="shared" si="68"/>
        <v>0</v>
      </c>
      <c r="G619" s="128">
        <f t="shared" si="69"/>
        <v>0</v>
      </c>
      <c r="H619" s="127">
        <f t="shared" si="64"/>
        <v>0</v>
      </c>
      <c r="I619" s="130">
        <f t="shared" si="65"/>
        <v>0</v>
      </c>
      <c r="J619" s="133">
        <f t="shared" si="66"/>
        <v>0</v>
      </c>
      <c r="K619" s="134">
        <v>0</v>
      </c>
      <c r="L619" s="129">
        <f t="shared" si="67"/>
        <v>0</v>
      </c>
    </row>
    <row r="620" spans="1:12">
      <c r="A620" s="122">
        <v>613</v>
      </c>
      <c r="D620" s="130">
        <v>0</v>
      </c>
      <c r="E620" s="128">
        <f t="shared" si="63"/>
        <v>0</v>
      </c>
      <c r="F620" s="123">
        <f t="shared" si="68"/>
        <v>0</v>
      </c>
      <c r="G620" s="128">
        <f t="shared" si="69"/>
        <v>0</v>
      </c>
      <c r="H620" s="127">
        <f t="shared" si="64"/>
        <v>0</v>
      </c>
      <c r="I620" s="130">
        <f t="shared" si="65"/>
        <v>0</v>
      </c>
      <c r="J620" s="133">
        <f t="shared" si="66"/>
        <v>0</v>
      </c>
      <c r="K620" s="134">
        <v>0</v>
      </c>
      <c r="L620" s="129">
        <f t="shared" si="67"/>
        <v>0</v>
      </c>
    </row>
    <row r="621" spans="1:12">
      <c r="A621" s="122">
        <v>614</v>
      </c>
      <c r="D621" s="130">
        <v>0</v>
      </c>
      <c r="E621" s="128">
        <f t="shared" si="63"/>
        <v>0</v>
      </c>
      <c r="F621" s="123">
        <f t="shared" si="68"/>
        <v>0</v>
      </c>
      <c r="G621" s="128">
        <f t="shared" si="69"/>
        <v>0</v>
      </c>
      <c r="H621" s="127">
        <f t="shared" si="64"/>
        <v>0</v>
      </c>
      <c r="I621" s="130">
        <f t="shared" si="65"/>
        <v>0</v>
      </c>
      <c r="J621" s="133">
        <f t="shared" si="66"/>
        <v>0</v>
      </c>
      <c r="K621" s="134">
        <v>0</v>
      </c>
      <c r="L621" s="129">
        <f t="shared" si="67"/>
        <v>0</v>
      </c>
    </row>
    <row r="622" spans="1:12">
      <c r="A622" s="122">
        <v>615</v>
      </c>
      <c r="D622" s="130">
        <v>0</v>
      </c>
      <c r="E622" s="128">
        <f t="shared" si="63"/>
        <v>0</v>
      </c>
      <c r="F622" s="123">
        <f t="shared" si="68"/>
        <v>0</v>
      </c>
      <c r="G622" s="128">
        <f t="shared" si="69"/>
        <v>0</v>
      </c>
      <c r="H622" s="127">
        <f t="shared" si="64"/>
        <v>0</v>
      </c>
      <c r="I622" s="130">
        <f t="shared" si="65"/>
        <v>0</v>
      </c>
      <c r="J622" s="133">
        <f t="shared" si="66"/>
        <v>0</v>
      </c>
      <c r="K622" s="134">
        <v>0</v>
      </c>
      <c r="L622" s="129">
        <f t="shared" si="67"/>
        <v>0</v>
      </c>
    </row>
    <row r="623" spans="1:12">
      <c r="A623" s="122">
        <v>616</v>
      </c>
      <c r="D623" s="130">
        <v>0</v>
      </c>
      <c r="E623" s="128">
        <f t="shared" si="63"/>
        <v>0</v>
      </c>
      <c r="F623" s="123">
        <f t="shared" si="68"/>
        <v>0</v>
      </c>
      <c r="G623" s="128">
        <f t="shared" si="69"/>
        <v>0</v>
      </c>
      <c r="H623" s="127">
        <f t="shared" si="64"/>
        <v>0</v>
      </c>
      <c r="I623" s="130">
        <f t="shared" si="65"/>
        <v>0</v>
      </c>
      <c r="J623" s="133">
        <f t="shared" si="66"/>
        <v>0</v>
      </c>
      <c r="K623" s="134">
        <v>0</v>
      </c>
      <c r="L623" s="129">
        <f t="shared" si="67"/>
        <v>0</v>
      </c>
    </row>
    <row r="624" spans="1:12">
      <c r="A624" s="122">
        <v>617</v>
      </c>
      <c r="D624" s="130">
        <v>0</v>
      </c>
      <c r="E624" s="128">
        <f t="shared" si="63"/>
        <v>0</v>
      </c>
      <c r="F624" s="123">
        <f t="shared" si="68"/>
        <v>0</v>
      </c>
      <c r="G624" s="128">
        <f t="shared" si="69"/>
        <v>0</v>
      </c>
      <c r="H624" s="127">
        <f t="shared" si="64"/>
        <v>0</v>
      </c>
      <c r="I624" s="130">
        <f t="shared" si="65"/>
        <v>0</v>
      </c>
      <c r="J624" s="133">
        <f t="shared" si="66"/>
        <v>0</v>
      </c>
      <c r="K624" s="134">
        <v>0</v>
      </c>
      <c r="L624" s="129">
        <f t="shared" si="67"/>
        <v>0</v>
      </c>
    </row>
    <row r="625" spans="1:12">
      <c r="A625" s="122">
        <v>618</v>
      </c>
      <c r="D625" s="130">
        <v>0</v>
      </c>
      <c r="E625" s="128">
        <f t="shared" si="63"/>
        <v>0</v>
      </c>
      <c r="F625" s="123">
        <f t="shared" si="68"/>
        <v>0</v>
      </c>
      <c r="G625" s="128">
        <f t="shared" si="69"/>
        <v>0</v>
      </c>
      <c r="H625" s="127">
        <f t="shared" si="64"/>
        <v>0</v>
      </c>
      <c r="I625" s="130">
        <f t="shared" si="65"/>
        <v>0</v>
      </c>
      <c r="J625" s="133">
        <f t="shared" si="66"/>
        <v>0</v>
      </c>
      <c r="K625" s="134">
        <v>0</v>
      </c>
      <c r="L625" s="129">
        <f t="shared" si="67"/>
        <v>0</v>
      </c>
    </row>
    <row r="626" spans="1:12">
      <c r="A626" s="122">
        <v>619</v>
      </c>
      <c r="D626" s="130">
        <v>0</v>
      </c>
      <c r="E626" s="128">
        <f t="shared" si="63"/>
        <v>0</v>
      </c>
      <c r="F626" s="123">
        <f t="shared" si="68"/>
        <v>0</v>
      </c>
      <c r="G626" s="128">
        <f t="shared" si="69"/>
        <v>0</v>
      </c>
      <c r="H626" s="127">
        <f t="shared" si="64"/>
        <v>0</v>
      </c>
      <c r="I626" s="130">
        <f t="shared" si="65"/>
        <v>0</v>
      </c>
      <c r="J626" s="133">
        <f t="shared" si="66"/>
        <v>0</v>
      </c>
      <c r="K626" s="134">
        <v>0</v>
      </c>
      <c r="L626" s="129">
        <f t="shared" si="67"/>
        <v>0</v>
      </c>
    </row>
    <row r="627" spans="1:12">
      <c r="A627" s="122">
        <v>620</v>
      </c>
      <c r="D627" s="130">
        <v>0</v>
      </c>
      <c r="E627" s="128">
        <f t="shared" si="63"/>
        <v>0</v>
      </c>
      <c r="F627" s="123">
        <f t="shared" si="68"/>
        <v>0</v>
      </c>
      <c r="G627" s="128">
        <f t="shared" si="69"/>
        <v>0</v>
      </c>
      <c r="H627" s="127">
        <f t="shared" si="64"/>
        <v>0</v>
      </c>
      <c r="I627" s="130">
        <f t="shared" si="65"/>
        <v>0</v>
      </c>
      <c r="J627" s="133">
        <f t="shared" si="66"/>
        <v>0</v>
      </c>
      <c r="K627" s="134">
        <v>0</v>
      </c>
      <c r="L627" s="129">
        <f t="shared" si="67"/>
        <v>0</v>
      </c>
    </row>
    <row r="628" spans="1:12">
      <c r="A628" s="122">
        <v>621</v>
      </c>
      <c r="D628" s="130">
        <v>0</v>
      </c>
      <c r="E628" s="128">
        <f t="shared" si="63"/>
        <v>0</v>
      </c>
      <c r="F628" s="123">
        <f t="shared" si="68"/>
        <v>0</v>
      </c>
      <c r="G628" s="128">
        <f t="shared" si="69"/>
        <v>0</v>
      </c>
      <c r="H628" s="127">
        <f t="shared" si="64"/>
        <v>0</v>
      </c>
      <c r="I628" s="130">
        <f t="shared" si="65"/>
        <v>0</v>
      </c>
      <c r="J628" s="133">
        <f t="shared" si="66"/>
        <v>0</v>
      </c>
      <c r="K628" s="134">
        <v>0</v>
      </c>
      <c r="L628" s="129">
        <f t="shared" si="67"/>
        <v>0</v>
      </c>
    </row>
    <row r="629" spans="1:12">
      <c r="A629" s="122">
        <v>622</v>
      </c>
      <c r="D629" s="130">
        <v>0</v>
      </c>
      <c r="E629" s="128">
        <f t="shared" si="63"/>
        <v>0</v>
      </c>
      <c r="F629" s="123">
        <f t="shared" si="68"/>
        <v>0</v>
      </c>
      <c r="G629" s="128">
        <f t="shared" si="69"/>
        <v>0</v>
      </c>
      <c r="H629" s="127">
        <f t="shared" si="64"/>
        <v>0</v>
      </c>
      <c r="I629" s="130">
        <f t="shared" si="65"/>
        <v>0</v>
      </c>
      <c r="J629" s="133">
        <f t="shared" si="66"/>
        <v>0</v>
      </c>
      <c r="K629" s="134">
        <v>0</v>
      </c>
      <c r="L629" s="129">
        <f t="shared" si="67"/>
        <v>0</v>
      </c>
    </row>
    <row r="630" spans="1:12">
      <c r="A630" s="122">
        <v>623</v>
      </c>
      <c r="D630" s="130">
        <v>0</v>
      </c>
      <c r="E630" s="128">
        <f t="shared" si="63"/>
        <v>0</v>
      </c>
      <c r="F630" s="123">
        <f t="shared" si="68"/>
        <v>0</v>
      </c>
      <c r="G630" s="128">
        <f t="shared" si="69"/>
        <v>0</v>
      </c>
      <c r="H630" s="127">
        <f t="shared" si="64"/>
        <v>0</v>
      </c>
      <c r="I630" s="130">
        <f t="shared" si="65"/>
        <v>0</v>
      </c>
      <c r="J630" s="133">
        <f t="shared" si="66"/>
        <v>0</v>
      </c>
      <c r="K630" s="134">
        <v>0</v>
      </c>
      <c r="L630" s="129">
        <f t="shared" si="67"/>
        <v>0</v>
      </c>
    </row>
    <row r="631" spans="1:12">
      <c r="A631" s="122">
        <v>624</v>
      </c>
      <c r="D631" s="130">
        <v>0</v>
      </c>
      <c r="E631" s="128">
        <f t="shared" si="63"/>
        <v>0</v>
      </c>
      <c r="F631" s="123">
        <f t="shared" si="68"/>
        <v>0</v>
      </c>
      <c r="G631" s="128">
        <f t="shared" si="69"/>
        <v>0</v>
      </c>
      <c r="H631" s="127">
        <f t="shared" si="64"/>
        <v>0</v>
      </c>
      <c r="I631" s="130">
        <f t="shared" si="65"/>
        <v>0</v>
      </c>
      <c r="J631" s="133">
        <f t="shared" si="66"/>
        <v>0</v>
      </c>
      <c r="K631" s="134">
        <v>0</v>
      </c>
      <c r="L631" s="129">
        <f t="shared" si="67"/>
        <v>0</v>
      </c>
    </row>
    <row r="632" spans="1:12">
      <c r="A632" s="122">
        <v>625</v>
      </c>
      <c r="D632" s="130">
        <v>0</v>
      </c>
      <c r="E632" s="128">
        <f t="shared" si="63"/>
        <v>0</v>
      </c>
      <c r="F632" s="123">
        <f t="shared" si="68"/>
        <v>0</v>
      </c>
      <c r="G632" s="128">
        <f t="shared" si="69"/>
        <v>0</v>
      </c>
      <c r="H632" s="127">
        <f t="shared" si="64"/>
        <v>0</v>
      </c>
      <c r="I632" s="130">
        <f t="shared" si="65"/>
        <v>0</v>
      </c>
      <c r="J632" s="133">
        <f t="shared" si="66"/>
        <v>0</v>
      </c>
      <c r="K632" s="134">
        <v>0</v>
      </c>
      <c r="L632" s="129">
        <f t="shared" si="67"/>
        <v>0</v>
      </c>
    </row>
    <row r="633" spans="1:12">
      <c r="A633" s="122">
        <v>626</v>
      </c>
      <c r="D633" s="130">
        <v>0</v>
      </c>
      <c r="E633" s="128">
        <f t="shared" si="63"/>
        <v>0</v>
      </c>
      <c r="F633" s="123">
        <f t="shared" si="68"/>
        <v>0</v>
      </c>
      <c r="G633" s="128">
        <f t="shared" si="69"/>
        <v>0</v>
      </c>
      <c r="H633" s="127">
        <f t="shared" si="64"/>
        <v>0</v>
      </c>
      <c r="I633" s="130">
        <f t="shared" si="65"/>
        <v>0</v>
      </c>
      <c r="J633" s="133">
        <f t="shared" si="66"/>
        <v>0</v>
      </c>
      <c r="K633" s="134">
        <v>0</v>
      </c>
      <c r="L633" s="129">
        <f t="shared" si="67"/>
        <v>0</v>
      </c>
    </row>
    <row r="634" spans="1:12">
      <c r="A634" s="122">
        <v>627</v>
      </c>
      <c r="D634" s="130">
        <v>0</v>
      </c>
      <c r="E634" s="128">
        <f t="shared" si="63"/>
        <v>0</v>
      </c>
      <c r="F634" s="123">
        <f t="shared" si="68"/>
        <v>0</v>
      </c>
      <c r="G634" s="128">
        <f t="shared" si="69"/>
        <v>0</v>
      </c>
      <c r="H634" s="127">
        <f t="shared" si="64"/>
        <v>0</v>
      </c>
      <c r="I634" s="130">
        <f t="shared" si="65"/>
        <v>0</v>
      </c>
      <c r="J634" s="133">
        <f t="shared" si="66"/>
        <v>0</v>
      </c>
      <c r="K634" s="134">
        <v>0</v>
      </c>
      <c r="L634" s="129">
        <f t="shared" si="67"/>
        <v>0</v>
      </c>
    </row>
    <row r="635" spans="1:12">
      <c r="A635" s="122">
        <v>628</v>
      </c>
      <c r="D635" s="130">
        <v>0</v>
      </c>
      <c r="E635" s="128">
        <f t="shared" si="63"/>
        <v>0</v>
      </c>
      <c r="F635" s="123">
        <f t="shared" si="68"/>
        <v>0</v>
      </c>
      <c r="G635" s="128">
        <f t="shared" si="69"/>
        <v>0</v>
      </c>
      <c r="H635" s="127">
        <f t="shared" si="64"/>
        <v>0</v>
      </c>
      <c r="I635" s="130">
        <f t="shared" si="65"/>
        <v>0</v>
      </c>
      <c r="J635" s="133">
        <f t="shared" si="66"/>
        <v>0</v>
      </c>
      <c r="K635" s="134">
        <v>0</v>
      </c>
      <c r="L635" s="129">
        <f t="shared" si="67"/>
        <v>0</v>
      </c>
    </row>
    <row r="636" spans="1:12">
      <c r="A636" s="122">
        <v>629</v>
      </c>
      <c r="D636" s="130">
        <v>0</v>
      </c>
      <c r="E636" s="128">
        <f t="shared" si="63"/>
        <v>0</v>
      </c>
      <c r="F636" s="123">
        <f t="shared" si="68"/>
        <v>0</v>
      </c>
      <c r="G636" s="128">
        <f t="shared" si="69"/>
        <v>0</v>
      </c>
      <c r="H636" s="127">
        <f t="shared" si="64"/>
        <v>0</v>
      </c>
      <c r="I636" s="130">
        <f t="shared" si="65"/>
        <v>0</v>
      </c>
      <c r="J636" s="133">
        <f t="shared" si="66"/>
        <v>0</v>
      </c>
      <c r="K636" s="134">
        <v>0</v>
      </c>
      <c r="L636" s="129">
        <f t="shared" si="67"/>
        <v>0</v>
      </c>
    </row>
    <row r="637" spans="1:12">
      <c r="A637" s="122">
        <v>630</v>
      </c>
      <c r="D637" s="130">
        <v>0</v>
      </c>
      <c r="E637" s="128">
        <f t="shared" si="63"/>
        <v>0</v>
      </c>
      <c r="F637" s="123">
        <f t="shared" si="68"/>
        <v>0</v>
      </c>
      <c r="G637" s="128">
        <f t="shared" si="69"/>
        <v>0</v>
      </c>
      <c r="H637" s="127">
        <f t="shared" si="64"/>
        <v>0</v>
      </c>
      <c r="I637" s="130">
        <f t="shared" si="65"/>
        <v>0</v>
      </c>
      <c r="J637" s="133">
        <f t="shared" si="66"/>
        <v>0</v>
      </c>
      <c r="K637" s="134">
        <v>0</v>
      </c>
      <c r="L637" s="129">
        <f t="shared" si="67"/>
        <v>0</v>
      </c>
    </row>
    <row r="638" spans="1:12">
      <c r="A638" s="122">
        <v>631</v>
      </c>
      <c r="D638" s="130">
        <v>0</v>
      </c>
      <c r="E638" s="128">
        <f t="shared" si="63"/>
        <v>0</v>
      </c>
      <c r="F638" s="123">
        <f t="shared" si="68"/>
        <v>0</v>
      </c>
      <c r="G638" s="128">
        <f t="shared" si="69"/>
        <v>0</v>
      </c>
      <c r="H638" s="127">
        <f t="shared" si="64"/>
        <v>0</v>
      </c>
      <c r="I638" s="130">
        <f t="shared" si="65"/>
        <v>0</v>
      </c>
      <c r="J638" s="133">
        <f t="shared" si="66"/>
        <v>0</v>
      </c>
      <c r="K638" s="134">
        <v>0</v>
      </c>
      <c r="L638" s="129">
        <f t="shared" si="67"/>
        <v>0</v>
      </c>
    </row>
    <row r="639" spans="1:12">
      <c r="A639" s="122">
        <v>632</v>
      </c>
      <c r="D639" s="130">
        <v>0</v>
      </c>
      <c r="E639" s="128">
        <f t="shared" si="63"/>
        <v>0</v>
      </c>
      <c r="F639" s="123">
        <f t="shared" si="68"/>
        <v>0</v>
      </c>
      <c r="G639" s="128">
        <f t="shared" si="69"/>
        <v>0</v>
      </c>
      <c r="H639" s="127">
        <f t="shared" si="64"/>
        <v>0</v>
      </c>
      <c r="I639" s="130">
        <f t="shared" si="65"/>
        <v>0</v>
      </c>
      <c r="J639" s="133">
        <f t="shared" si="66"/>
        <v>0</v>
      </c>
      <c r="K639" s="134">
        <v>0</v>
      </c>
      <c r="L639" s="129">
        <f t="shared" si="67"/>
        <v>0</v>
      </c>
    </row>
    <row r="640" spans="1:12">
      <c r="A640" s="122">
        <v>633</v>
      </c>
      <c r="D640" s="130">
        <v>0</v>
      </c>
      <c r="E640" s="128">
        <f t="shared" si="63"/>
        <v>0</v>
      </c>
      <c r="F640" s="123">
        <f t="shared" si="68"/>
        <v>0</v>
      </c>
      <c r="G640" s="128">
        <f t="shared" si="69"/>
        <v>0</v>
      </c>
      <c r="H640" s="127">
        <f t="shared" si="64"/>
        <v>0</v>
      </c>
      <c r="I640" s="130">
        <f t="shared" si="65"/>
        <v>0</v>
      </c>
      <c r="J640" s="133">
        <f t="shared" si="66"/>
        <v>0</v>
      </c>
      <c r="K640" s="134">
        <v>0</v>
      </c>
      <c r="L640" s="129">
        <f t="shared" si="67"/>
        <v>0</v>
      </c>
    </row>
    <row r="641" spans="1:12">
      <c r="A641" s="122">
        <v>634</v>
      </c>
      <c r="D641" s="130">
        <v>0</v>
      </c>
      <c r="E641" s="128">
        <f t="shared" si="63"/>
        <v>0</v>
      </c>
      <c r="F641" s="123">
        <f t="shared" si="68"/>
        <v>0</v>
      </c>
      <c r="G641" s="128">
        <f t="shared" si="69"/>
        <v>0</v>
      </c>
      <c r="H641" s="127">
        <f t="shared" si="64"/>
        <v>0</v>
      </c>
      <c r="I641" s="130">
        <f t="shared" si="65"/>
        <v>0</v>
      </c>
      <c r="J641" s="133">
        <f t="shared" si="66"/>
        <v>0</v>
      </c>
      <c r="K641" s="134">
        <v>0</v>
      </c>
      <c r="L641" s="129">
        <f t="shared" si="67"/>
        <v>0</v>
      </c>
    </row>
    <row r="642" spans="1:12">
      <c r="A642" s="122">
        <v>635</v>
      </c>
      <c r="D642" s="130">
        <v>0</v>
      </c>
      <c r="E642" s="128">
        <f t="shared" si="63"/>
        <v>0</v>
      </c>
      <c r="F642" s="123">
        <f t="shared" si="68"/>
        <v>0</v>
      </c>
      <c r="G642" s="128">
        <f t="shared" si="69"/>
        <v>0</v>
      </c>
      <c r="H642" s="127">
        <f t="shared" si="64"/>
        <v>0</v>
      </c>
      <c r="I642" s="130">
        <f t="shared" si="65"/>
        <v>0</v>
      </c>
      <c r="J642" s="133">
        <f t="shared" si="66"/>
        <v>0</v>
      </c>
      <c r="K642" s="134">
        <v>0</v>
      </c>
      <c r="L642" s="129">
        <f t="shared" si="67"/>
        <v>0</v>
      </c>
    </row>
    <row r="643" spans="1:12">
      <c r="A643" s="122">
        <v>636</v>
      </c>
      <c r="D643" s="130">
        <v>0</v>
      </c>
      <c r="E643" s="128">
        <f t="shared" si="63"/>
        <v>0</v>
      </c>
      <c r="F643" s="123">
        <f t="shared" si="68"/>
        <v>0</v>
      </c>
      <c r="G643" s="128">
        <f t="shared" si="69"/>
        <v>0</v>
      </c>
      <c r="H643" s="127">
        <f t="shared" si="64"/>
        <v>0</v>
      </c>
      <c r="I643" s="130">
        <f t="shared" si="65"/>
        <v>0</v>
      </c>
      <c r="J643" s="133">
        <f t="shared" si="66"/>
        <v>0</v>
      </c>
      <c r="K643" s="134">
        <v>0</v>
      </c>
      <c r="L643" s="129">
        <f t="shared" si="67"/>
        <v>0</v>
      </c>
    </row>
    <row r="644" spans="1:12">
      <c r="A644" s="122">
        <v>637</v>
      </c>
      <c r="D644" s="130">
        <v>0</v>
      </c>
      <c r="E644" s="128">
        <f t="shared" si="63"/>
        <v>0</v>
      </c>
      <c r="F644" s="123">
        <f t="shared" si="68"/>
        <v>0</v>
      </c>
      <c r="G644" s="128">
        <f t="shared" si="69"/>
        <v>0</v>
      </c>
      <c r="H644" s="127">
        <f t="shared" si="64"/>
        <v>0</v>
      </c>
      <c r="I644" s="130">
        <f t="shared" si="65"/>
        <v>0</v>
      </c>
      <c r="J644" s="133">
        <f t="shared" si="66"/>
        <v>0</v>
      </c>
      <c r="K644" s="134">
        <v>0</v>
      </c>
      <c r="L644" s="129">
        <f t="shared" si="67"/>
        <v>0</v>
      </c>
    </row>
    <row r="645" spans="1:12">
      <c r="A645" s="122">
        <v>638</v>
      </c>
      <c r="D645" s="130">
        <v>0</v>
      </c>
      <c r="E645" s="128">
        <f t="shared" si="63"/>
        <v>0</v>
      </c>
      <c r="F645" s="123">
        <f t="shared" si="68"/>
        <v>0</v>
      </c>
      <c r="G645" s="128">
        <f t="shared" si="69"/>
        <v>0</v>
      </c>
      <c r="H645" s="127">
        <f t="shared" si="64"/>
        <v>0</v>
      </c>
      <c r="I645" s="130">
        <f t="shared" si="65"/>
        <v>0</v>
      </c>
      <c r="J645" s="133">
        <f t="shared" si="66"/>
        <v>0</v>
      </c>
      <c r="K645" s="134">
        <v>0</v>
      </c>
      <c r="L645" s="129">
        <f t="shared" si="67"/>
        <v>0</v>
      </c>
    </row>
    <row r="646" spans="1:12">
      <c r="A646" s="122">
        <v>639</v>
      </c>
      <c r="D646" s="130">
        <v>0</v>
      </c>
      <c r="E646" s="128">
        <f t="shared" si="63"/>
        <v>0</v>
      </c>
      <c r="F646" s="123">
        <f t="shared" si="68"/>
        <v>0</v>
      </c>
      <c r="G646" s="128">
        <f t="shared" si="69"/>
        <v>0</v>
      </c>
      <c r="H646" s="127">
        <f t="shared" si="64"/>
        <v>0</v>
      </c>
      <c r="I646" s="130">
        <f t="shared" si="65"/>
        <v>0</v>
      </c>
      <c r="J646" s="133">
        <f t="shared" si="66"/>
        <v>0</v>
      </c>
      <c r="K646" s="134">
        <v>0</v>
      </c>
      <c r="L646" s="129">
        <f t="shared" si="67"/>
        <v>0</v>
      </c>
    </row>
    <row r="647" spans="1:12">
      <c r="A647" s="122">
        <v>640</v>
      </c>
      <c r="D647" s="130">
        <v>0</v>
      </c>
      <c r="E647" s="128">
        <f t="shared" si="63"/>
        <v>0</v>
      </c>
      <c r="F647" s="123">
        <f t="shared" si="68"/>
        <v>0</v>
      </c>
      <c r="G647" s="128">
        <f t="shared" si="69"/>
        <v>0</v>
      </c>
      <c r="H647" s="127">
        <f t="shared" si="64"/>
        <v>0</v>
      </c>
      <c r="I647" s="130">
        <f t="shared" si="65"/>
        <v>0</v>
      </c>
      <c r="J647" s="133">
        <f t="shared" si="66"/>
        <v>0</v>
      </c>
      <c r="K647" s="134">
        <v>0</v>
      </c>
      <c r="L647" s="129">
        <f t="shared" si="67"/>
        <v>0</v>
      </c>
    </row>
    <row r="648" spans="1:12">
      <c r="A648" s="122">
        <v>641</v>
      </c>
      <c r="D648" s="130">
        <v>0</v>
      </c>
      <c r="E648" s="128">
        <f t="shared" ref="E648:E683" si="70">D648*0.08</f>
        <v>0</v>
      </c>
      <c r="F648" s="123">
        <f t="shared" si="68"/>
        <v>0</v>
      </c>
      <c r="G648" s="128">
        <f t="shared" si="69"/>
        <v>0</v>
      </c>
      <c r="H648" s="127">
        <f t="shared" ref="H648:H683" si="71">+D648-G648-E648</f>
        <v>0</v>
      </c>
      <c r="I648" s="130">
        <f t="shared" ref="I648:I683" si="72">IF(G648=0,(D648*0.01),IF(H648&lt;=0,0.01*D648,IF(AND(H648&gt;0,H648&lt;=300000),H648*7%,IF(AND(H648&gt;=300000,H648&lt;600000),21000+(H648-300000)*11%,IF(AND(H648&gt;=600000,H648&lt;1100000),54000+(H648-600000)*15%,IF(AND(H648&gt;=1100000,H648&lt;1600000),129000+(H648-1100000)*19%,IF(AND(H648&gt;=1600000,H648&lt;3200000),224000+(H648-1600000)*21%,560000+(H648-3200000)*24%)))))))</f>
        <v>0</v>
      </c>
      <c r="J648" s="133">
        <f t="shared" ref="J648:J683" si="73">I648/12</f>
        <v>0</v>
      </c>
      <c r="K648" s="134">
        <v>0</v>
      </c>
      <c r="L648" s="129">
        <f t="shared" ref="L648:L683" si="74">+J648*K648</f>
        <v>0</v>
      </c>
    </row>
    <row r="649" spans="1:12">
      <c r="A649" s="122">
        <v>642</v>
      </c>
      <c r="D649" s="130">
        <v>0</v>
      </c>
      <c r="E649" s="128">
        <f t="shared" si="70"/>
        <v>0</v>
      </c>
      <c r="F649" s="123">
        <f t="shared" ref="F649:F683" si="75">D649-E649</f>
        <v>0</v>
      </c>
      <c r="G649" s="128">
        <f t="shared" ref="G649:G683" si="76">IF(F649&lt;=300000,0,IF(F649&gt;=20000000,(F649*0.21),(F649*0.2)+200000))</f>
        <v>0</v>
      </c>
      <c r="H649" s="127">
        <f t="shared" si="71"/>
        <v>0</v>
      </c>
      <c r="I649" s="130">
        <f t="shared" si="72"/>
        <v>0</v>
      </c>
      <c r="J649" s="133">
        <f t="shared" si="73"/>
        <v>0</v>
      </c>
      <c r="K649" s="134">
        <v>0</v>
      </c>
      <c r="L649" s="129">
        <f t="shared" si="74"/>
        <v>0</v>
      </c>
    </row>
    <row r="650" spans="1:12">
      <c r="A650" s="122">
        <v>643</v>
      </c>
      <c r="D650" s="130">
        <v>0</v>
      </c>
      <c r="E650" s="128">
        <f t="shared" si="70"/>
        <v>0</v>
      </c>
      <c r="F650" s="123">
        <f t="shared" si="75"/>
        <v>0</v>
      </c>
      <c r="G650" s="128">
        <f t="shared" si="76"/>
        <v>0</v>
      </c>
      <c r="H650" s="127">
        <f t="shared" si="71"/>
        <v>0</v>
      </c>
      <c r="I650" s="130">
        <f t="shared" si="72"/>
        <v>0</v>
      </c>
      <c r="J650" s="133">
        <f t="shared" si="73"/>
        <v>0</v>
      </c>
      <c r="K650" s="134">
        <v>0</v>
      </c>
      <c r="L650" s="129">
        <f t="shared" si="74"/>
        <v>0</v>
      </c>
    </row>
    <row r="651" spans="1:12">
      <c r="A651" s="122">
        <v>644</v>
      </c>
      <c r="D651" s="130">
        <v>0</v>
      </c>
      <c r="E651" s="128">
        <f t="shared" si="70"/>
        <v>0</v>
      </c>
      <c r="F651" s="123">
        <f t="shared" si="75"/>
        <v>0</v>
      </c>
      <c r="G651" s="128">
        <f t="shared" si="76"/>
        <v>0</v>
      </c>
      <c r="H651" s="127">
        <f t="shared" si="71"/>
        <v>0</v>
      </c>
      <c r="I651" s="130">
        <f t="shared" si="72"/>
        <v>0</v>
      </c>
      <c r="J651" s="133">
        <f t="shared" si="73"/>
        <v>0</v>
      </c>
      <c r="K651" s="134">
        <v>0</v>
      </c>
      <c r="L651" s="129">
        <f t="shared" si="74"/>
        <v>0</v>
      </c>
    </row>
    <row r="652" spans="1:12">
      <c r="A652" s="122">
        <v>645</v>
      </c>
      <c r="D652" s="130">
        <v>0</v>
      </c>
      <c r="E652" s="128">
        <f t="shared" si="70"/>
        <v>0</v>
      </c>
      <c r="F652" s="123">
        <f t="shared" si="75"/>
        <v>0</v>
      </c>
      <c r="G652" s="128">
        <f t="shared" si="76"/>
        <v>0</v>
      </c>
      <c r="H652" s="127">
        <f t="shared" si="71"/>
        <v>0</v>
      </c>
      <c r="I652" s="130">
        <f t="shared" si="72"/>
        <v>0</v>
      </c>
      <c r="J652" s="133">
        <f t="shared" si="73"/>
        <v>0</v>
      </c>
      <c r="K652" s="134">
        <v>0</v>
      </c>
      <c r="L652" s="129">
        <f t="shared" si="74"/>
        <v>0</v>
      </c>
    </row>
    <row r="653" spans="1:12">
      <c r="A653" s="122">
        <v>646</v>
      </c>
      <c r="D653" s="130">
        <v>0</v>
      </c>
      <c r="E653" s="128">
        <f t="shared" si="70"/>
        <v>0</v>
      </c>
      <c r="F653" s="123">
        <f t="shared" si="75"/>
        <v>0</v>
      </c>
      <c r="G653" s="128">
        <f t="shared" si="76"/>
        <v>0</v>
      </c>
      <c r="H653" s="127">
        <f t="shared" si="71"/>
        <v>0</v>
      </c>
      <c r="I653" s="130">
        <f t="shared" si="72"/>
        <v>0</v>
      </c>
      <c r="J653" s="133">
        <f t="shared" si="73"/>
        <v>0</v>
      </c>
      <c r="K653" s="134">
        <v>0</v>
      </c>
      <c r="L653" s="129">
        <f t="shared" si="74"/>
        <v>0</v>
      </c>
    </row>
    <row r="654" spans="1:12">
      <c r="A654" s="122">
        <v>647</v>
      </c>
      <c r="D654" s="130">
        <v>0</v>
      </c>
      <c r="E654" s="128">
        <f t="shared" si="70"/>
        <v>0</v>
      </c>
      <c r="F654" s="123">
        <f t="shared" si="75"/>
        <v>0</v>
      </c>
      <c r="G654" s="128">
        <f t="shared" si="76"/>
        <v>0</v>
      </c>
      <c r="H654" s="127">
        <f t="shared" si="71"/>
        <v>0</v>
      </c>
      <c r="I654" s="130">
        <f t="shared" si="72"/>
        <v>0</v>
      </c>
      <c r="J654" s="133">
        <f t="shared" si="73"/>
        <v>0</v>
      </c>
      <c r="K654" s="134">
        <v>0</v>
      </c>
      <c r="L654" s="129">
        <f t="shared" si="74"/>
        <v>0</v>
      </c>
    </row>
    <row r="655" spans="1:12">
      <c r="A655" s="122">
        <v>648</v>
      </c>
      <c r="D655" s="130">
        <v>0</v>
      </c>
      <c r="E655" s="128">
        <f t="shared" si="70"/>
        <v>0</v>
      </c>
      <c r="F655" s="123">
        <f t="shared" si="75"/>
        <v>0</v>
      </c>
      <c r="G655" s="128">
        <f t="shared" si="76"/>
        <v>0</v>
      </c>
      <c r="H655" s="127">
        <f t="shared" si="71"/>
        <v>0</v>
      </c>
      <c r="I655" s="130">
        <f t="shared" si="72"/>
        <v>0</v>
      </c>
      <c r="J655" s="133">
        <f t="shared" si="73"/>
        <v>0</v>
      </c>
      <c r="K655" s="134">
        <v>0</v>
      </c>
      <c r="L655" s="129">
        <f t="shared" si="74"/>
        <v>0</v>
      </c>
    </row>
    <row r="656" spans="1:12">
      <c r="A656" s="122">
        <v>649</v>
      </c>
      <c r="D656" s="130">
        <v>0</v>
      </c>
      <c r="E656" s="128">
        <f t="shared" si="70"/>
        <v>0</v>
      </c>
      <c r="F656" s="123">
        <f t="shared" si="75"/>
        <v>0</v>
      </c>
      <c r="G656" s="128">
        <f t="shared" si="76"/>
        <v>0</v>
      </c>
      <c r="H656" s="127">
        <f t="shared" si="71"/>
        <v>0</v>
      </c>
      <c r="I656" s="130">
        <f t="shared" si="72"/>
        <v>0</v>
      </c>
      <c r="J656" s="133">
        <f t="shared" si="73"/>
        <v>0</v>
      </c>
      <c r="K656" s="134">
        <v>0</v>
      </c>
      <c r="L656" s="129">
        <f t="shared" si="74"/>
        <v>0</v>
      </c>
    </row>
    <row r="657" spans="1:12">
      <c r="A657" s="122">
        <v>650</v>
      </c>
      <c r="D657" s="130">
        <v>0</v>
      </c>
      <c r="E657" s="128">
        <f t="shared" si="70"/>
        <v>0</v>
      </c>
      <c r="F657" s="123">
        <f t="shared" si="75"/>
        <v>0</v>
      </c>
      <c r="G657" s="128">
        <f t="shared" si="76"/>
        <v>0</v>
      </c>
      <c r="H657" s="127">
        <f t="shared" si="71"/>
        <v>0</v>
      </c>
      <c r="I657" s="130">
        <f t="shared" si="72"/>
        <v>0</v>
      </c>
      <c r="J657" s="133">
        <f t="shared" si="73"/>
        <v>0</v>
      </c>
      <c r="K657" s="134">
        <v>0</v>
      </c>
      <c r="L657" s="129">
        <f t="shared" si="74"/>
        <v>0</v>
      </c>
    </row>
    <row r="658" spans="1:12">
      <c r="A658" s="122">
        <v>651</v>
      </c>
      <c r="D658" s="130">
        <v>0</v>
      </c>
      <c r="E658" s="128">
        <f t="shared" si="70"/>
        <v>0</v>
      </c>
      <c r="F658" s="123">
        <f t="shared" si="75"/>
        <v>0</v>
      </c>
      <c r="G658" s="128">
        <f t="shared" si="76"/>
        <v>0</v>
      </c>
      <c r="H658" s="127">
        <f t="shared" si="71"/>
        <v>0</v>
      </c>
      <c r="I658" s="130">
        <f t="shared" si="72"/>
        <v>0</v>
      </c>
      <c r="J658" s="133">
        <f t="shared" si="73"/>
        <v>0</v>
      </c>
      <c r="K658" s="134">
        <v>0</v>
      </c>
      <c r="L658" s="129">
        <f t="shared" si="74"/>
        <v>0</v>
      </c>
    </row>
    <row r="659" spans="1:12">
      <c r="A659" s="122">
        <v>652</v>
      </c>
      <c r="D659" s="130">
        <v>0</v>
      </c>
      <c r="E659" s="128">
        <f t="shared" si="70"/>
        <v>0</v>
      </c>
      <c r="F659" s="123">
        <f t="shared" si="75"/>
        <v>0</v>
      </c>
      <c r="G659" s="128">
        <f t="shared" si="76"/>
        <v>0</v>
      </c>
      <c r="H659" s="127">
        <f t="shared" si="71"/>
        <v>0</v>
      </c>
      <c r="I659" s="130">
        <f t="shared" si="72"/>
        <v>0</v>
      </c>
      <c r="J659" s="133">
        <f t="shared" si="73"/>
        <v>0</v>
      </c>
      <c r="K659" s="134">
        <v>0</v>
      </c>
      <c r="L659" s="129">
        <f t="shared" si="74"/>
        <v>0</v>
      </c>
    </row>
    <row r="660" spans="1:12">
      <c r="A660" s="122">
        <v>653</v>
      </c>
      <c r="D660" s="130">
        <v>0</v>
      </c>
      <c r="E660" s="128">
        <f t="shared" si="70"/>
        <v>0</v>
      </c>
      <c r="F660" s="123">
        <f t="shared" si="75"/>
        <v>0</v>
      </c>
      <c r="G660" s="128">
        <f t="shared" si="76"/>
        <v>0</v>
      </c>
      <c r="H660" s="127">
        <f t="shared" si="71"/>
        <v>0</v>
      </c>
      <c r="I660" s="130">
        <f t="shared" si="72"/>
        <v>0</v>
      </c>
      <c r="J660" s="133">
        <f t="shared" si="73"/>
        <v>0</v>
      </c>
      <c r="K660" s="134">
        <v>0</v>
      </c>
      <c r="L660" s="129">
        <f t="shared" si="74"/>
        <v>0</v>
      </c>
    </row>
    <row r="661" spans="1:12">
      <c r="A661" s="122">
        <v>654</v>
      </c>
      <c r="D661" s="130">
        <v>0</v>
      </c>
      <c r="E661" s="128">
        <f t="shared" si="70"/>
        <v>0</v>
      </c>
      <c r="F661" s="123">
        <f t="shared" si="75"/>
        <v>0</v>
      </c>
      <c r="G661" s="128">
        <f t="shared" si="76"/>
        <v>0</v>
      </c>
      <c r="H661" s="127">
        <f t="shared" si="71"/>
        <v>0</v>
      </c>
      <c r="I661" s="130">
        <f t="shared" si="72"/>
        <v>0</v>
      </c>
      <c r="J661" s="133">
        <f t="shared" si="73"/>
        <v>0</v>
      </c>
      <c r="K661" s="134">
        <v>0</v>
      </c>
      <c r="L661" s="129">
        <f t="shared" si="74"/>
        <v>0</v>
      </c>
    </row>
    <row r="662" spans="1:12">
      <c r="A662" s="122">
        <v>655</v>
      </c>
      <c r="D662" s="130">
        <v>0</v>
      </c>
      <c r="E662" s="128">
        <f t="shared" si="70"/>
        <v>0</v>
      </c>
      <c r="F662" s="123">
        <f t="shared" si="75"/>
        <v>0</v>
      </c>
      <c r="G662" s="128">
        <f t="shared" si="76"/>
        <v>0</v>
      </c>
      <c r="H662" s="127">
        <f t="shared" si="71"/>
        <v>0</v>
      </c>
      <c r="I662" s="130">
        <f t="shared" si="72"/>
        <v>0</v>
      </c>
      <c r="J662" s="133">
        <f t="shared" si="73"/>
        <v>0</v>
      </c>
      <c r="K662" s="134">
        <v>0</v>
      </c>
      <c r="L662" s="129">
        <f t="shared" si="74"/>
        <v>0</v>
      </c>
    </row>
    <row r="663" spans="1:12">
      <c r="A663" s="122">
        <v>656</v>
      </c>
      <c r="D663" s="130">
        <v>0</v>
      </c>
      <c r="E663" s="128">
        <f t="shared" si="70"/>
        <v>0</v>
      </c>
      <c r="F663" s="123">
        <f t="shared" si="75"/>
        <v>0</v>
      </c>
      <c r="G663" s="128">
        <f t="shared" si="76"/>
        <v>0</v>
      </c>
      <c r="H663" s="127">
        <f t="shared" si="71"/>
        <v>0</v>
      </c>
      <c r="I663" s="130">
        <f t="shared" si="72"/>
        <v>0</v>
      </c>
      <c r="J663" s="133">
        <f t="shared" si="73"/>
        <v>0</v>
      </c>
      <c r="K663" s="134">
        <v>0</v>
      </c>
      <c r="L663" s="129">
        <f t="shared" si="74"/>
        <v>0</v>
      </c>
    </row>
    <row r="664" spans="1:12">
      <c r="A664" s="122">
        <v>657</v>
      </c>
      <c r="D664" s="130">
        <v>0</v>
      </c>
      <c r="E664" s="128">
        <f t="shared" si="70"/>
        <v>0</v>
      </c>
      <c r="F664" s="123">
        <f t="shared" si="75"/>
        <v>0</v>
      </c>
      <c r="G664" s="128">
        <f t="shared" si="76"/>
        <v>0</v>
      </c>
      <c r="H664" s="127">
        <f t="shared" si="71"/>
        <v>0</v>
      </c>
      <c r="I664" s="130">
        <f t="shared" si="72"/>
        <v>0</v>
      </c>
      <c r="J664" s="133">
        <f t="shared" si="73"/>
        <v>0</v>
      </c>
      <c r="K664" s="134">
        <v>0</v>
      </c>
      <c r="L664" s="129">
        <f t="shared" si="74"/>
        <v>0</v>
      </c>
    </row>
    <row r="665" spans="1:12">
      <c r="A665" s="122">
        <v>658</v>
      </c>
      <c r="D665" s="130">
        <v>0</v>
      </c>
      <c r="E665" s="128">
        <f t="shared" si="70"/>
        <v>0</v>
      </c>
      <c r="F665" s="123">
        <f t="shared" si="75"/>
        <v>0</v>
      </c>
      <c r="G665" s="128">
        <f t="shared" si="76"/>
        <v>0</v>
      </c>
      <c r="H665" s="127">
        <f t="shared" si="71"/>
        <v>0</v>
      </c>
      <c r="I665" s="130">
        <f t="shared" si="72"/>
        <v>0</v>
      </c>
      <c r="J665" s="133">
        <f t="shared" si="73"/>
        <v>0</v>
      </c>
      <c r="K665" s="134">
        <v>0</v>
      </c>
      <c r="L665" s="129">
        <f t="shared" si="74"/>
        <v>0</v>
      </c>
    </row>
    <row r="666" spans="1:12">
      <c r="A666" s="122">
        <v>659</v>
      </c>
      <c r="D666" s="130">
        <v>0</v>
      </c>
      <c r="E666" s="128">
        <f t="shared" si="70"/>
        <v>0</v>
      </c>
      <c r="F666" s="123">
        <f t="shared" si="75"/>
        <v>0</v>
      </c>
      <c r="G666" s="128">
        <f t="shared" si="76"/>
        <v>0</v>
      </c>
      <c r="H666" s="127">
        <f t="shared" si="71"/>
        <v>0</v>
      </c>
      <c r="I666" s="130">
        <f t="shared" si="72"/>
        <v>0</v>
      </c>
      <c r="J666" s="133">
        <f t="shared" si="73"/>
        <v>0</v>
      </c>
      <c r="K666" s="134">
        <v>0</v>
      </c>
      <c r="L666" s="129">
        <f t="shared" si="74"/>
        <v>0</v>
      </c>
    </row>
    <row r="667" spans="1:12">
      <c r="A667" s="122">
        <v>660</v>
      </c>
      <c r="D667" s="130">
        <v>0</v>
      </c>
      <c r="E667" s="128">
        <f t="shared" si="70"/>
        <v>0</v>
      </c>
      <c r="F667" s="123">
        <f t="shared" si="75"/>
        <v>0</v>
      </c>
      <c r="G667" s="128">
        <f t="shared" si="76"/>
        <v>0</v>
      </c>
      <c r="H667" s="127">
        <f t="shared" si="71"/>
        <v>0</v>
      </c>
      <c r="I667" s="130">
        <f t="shared" si="72"/>
        <v>0</v>
      </c>
      <c r="J667" s="133">
        <f t="shared" si="73"/>
        <v>0</v>
      </c>
      <c r="K667" s="134">
        <v>0</v>
      </c>
      <c r="L667" s="129">
        <f t="shared" si="74"/>
        <v>0</v>
      </c>
    </row>
    <row r="668" spans="1:12">
      <c r="A668" s="122">
        <v>661</v>
      </c>
      <c r="D668" s="130">
        <v>0</v>
      </c>
      <c r="E668" s="128">
        <f t="shared" si="70"/>
        <v>0</v>
      </c>
      <c r="F668" s="123">
        <f t="shared" si="75"/>
        <v>0</v>
      </c>
      <c r="G668" s="128">
        <f t="shared" si="76"/>
        <v>0</v>
      </c>
      <c r="H668" s="127">
        <f t="shared" si="71"/>
        <v>0</v>
      </c>
      <c r="I668" s="130">
        <f t="shared" si="72"/>
        <v>0</v>
      </c>
      <c r="J668" s="133">
        <f t="shared" si="73"/>
        <v>0</v>
      </c>
      <c r="K668" s="134">
        <v>0</v>
      </c>
      <c r="L668" s="129">
        <f t="shared" si="74"/>
        <v>0</v>
      </c>
    </row>
    <row r="669" spans="1:12">
      <c r="A669" s="122">
        <v>662</v>
      </c>
      <c r="D669" s="130">
        <v>0</v>
      </c>
      <c r="E669" s="128">
        <f t="shared" si="70"/>
        <v>0</v>
      </c>
      <c r="F669" s="123">
        <f t="shared" si="75"/>
        <v>0</v>
      </c>
      <c r="G669" s="128">
        <f t="shared" si="76"/>
        <v>0</v>
      </c>
      <c r="H669" s="127">
        <f t="shared" si="71"/>
        <v>0</v>
      </c>
      <c r="I669" s="130">
        <f t="shared" si="72"/>
        <v>0</v>
      </c>
      <c r="J669" s="133">
        <f t="shared" si="73"/>
        <v>0</v>
      </c>
      <c r="K669" s="134">
        <v>0</v>
      </c>
      <c r="L669" s="129">
        <f t="shared" si="74"/>
        <v>0</v>
      </c>
    </row>
    <row r="670" spans="1:12">
      <c r="A670" s="122">
        <v>663</v>
      </c>
      <c r="D670" s="130">
        <v>0</v>
      </c>
      <c r="E670" s="128">
        <f t="shared" si="70"/>
        <v>0</v>
      </c>
      <c r="F670" s="123">
        <f t="shared" si="75"/>
        <v>0</v>
      </c>
      <c r="G670" s="128">
        <f t="shared" si="76"/>
        <v>0</v>
      </c>
      <c r="H670" s="127">
        <f t="shared" si="71"/>
        <v>0</v>
      </c>
      <c r="I670" s="130">
        <f t="shared" si="72"/>
        <v>0</v>
      </c>
      <c r="J670" s="133">
        <f t="shared" si="73"/>
        <v>0</v>
      </c>
      <c r="K670" s="134">
        <v>0</v>
      </c>
      <c r="L670" s="129">
        <f t="shared" si="74"/>
        <v>0</v>
      </c>
    </row>
    <row r="671" spans="1:12">
      <c r="A671" s="122">
        <v>664</v>
      </c>
      <c r="D671" s="130">
        <v>0</v>
      </c>
      <c r="E671" s="128">
        <f t="shared" si="70"/>
        <v>0</v>
      </c>
      <c r="F671" s="123">
        <f t="shared" si="75"/>
        <v>0</v>
      </c>
      <c r="G671" s="128">
        <f t="shared" si="76"/>
        <v>0</v>
      </c>
      <c r="H671" s="127">
        <f t="shared" si="71"/>
        <v>0</v>
      </c>
      <c r="I671" s="130">
        <f t="shared" si="72"/>
        <v>0</v>
      </c>
      <c r="J671" s="133">
        <f t="shared" si="73"/>
        <v>0</v>
      </c>
      <c r="K671" s="134">
        <v>0</v>
      </c>
      <c r="L671" s="129">
        <f t="shared" si="74"/>
        <v>0</v>
      </c>
    </row>
    <row r="672" spans="1:12">
      <c r="A672" s="122">
        <v>665</v>
      </c>
      <c r="D672" s="130">
        <v>0</v>
      </c>
      <c r="E672" s="128">
        <f t="shared" si="70"/>
        <v>0</v>
      </c>
      <c r="F672" s="123">
        <f t="shared" si="75"/>
        <v>0</v>
      </c>
      <c r="G672" s="128">
        <f t="shared" si="76"/>
        <v>0</v>
      </c>
      <c r="H672" s="127">
        <f t="shared" si="71"/>
        <v>0</v>
      </c>
      <c r="I672" s="130">
        <f t="shared" si="72"/>
        <v>0</v>
      </c>
      <c r="J672" s="133">
        <f t="shared" si="73"/>
        <v>0</v>
      </c>
      <c r="K672" s="134">
        <v>0</v>
      </c>
      <c r="L672" s="129">
        <f t="shared" si="74"/>
        <v>0</v>
      </c>
    </row>
    <row r="673" spans="1:12">
      <c r="A673" s="122">
        <v>666</v>
      </c>
      <c r="D673" s="130">
        <v>0</v>
      </c>
      <c r="E673" s="128">
        <f t="shared" si="70"/>
        <v>0</v>
      </c>
      <c r="F673" s="123">
        <f t="shared" si="75"/>
        <v>0</v>
      </c>
      <c r="G673" s="128">
        <f t="shared" si="76"/>
        <v>0</v>
      </c>
      <c r="H673" s="127">
        <f t="shared" si="71"/>
        <v>0</v>
      </c>
      <c r="I673" s="130">
        <f t="shared" si="72"/>
        <v>0</v>
      </c>
      <c r="J673" s="133">
        <f t="shared" si="73"/>
        <v>0</v>
      </c>
      <c r="K673" s="134">
        <v>0</v>
      </c>
      <c r="L673" s="129">
        <f t="shared" si="74"/>
        <v>0</v>
      </c>
    </row>
    <row r="674" spans="1:12">
      <c r="A674" s="122">
        <v>667</v>
      </c>
      <c r="D674" s="130">
        <v>0</v>
      </c>
      <c r="E674" s="128">
        <f t="shared" si="70"/>
        <v>0</v>
      </c>
      <c r="F674" s="123">
        <f t="shared" si="75"/>
        <v>0</v>
      </c>
      <c r="G674" s="128">
        <f t="shared" si="76"/>
        <v>0</v>
      </c>
      <c r="H674" s="127">
        <f t="shared" si="71"/>
        <v>0</v>
      </c>
      <c r="I674" s="130">
        <f t="shared" si="72"/>
        <v>0</v>
      </c>
      <c r="J674" s="133">
        <f t="shared" si="73"/>
        <v>0</v>
      </c>
      <c r="K674" s="134">
        <v>0</v>
      </c>
      <c r="L674" s="129">
        <f t="shared" si="74"/>
        <v>0</v>
      </c>
    </row>
    <row r="675" spans="1:12">
      <c r="A675" s="122">
        <v>668</v>
      </c>
      <c r="D675" s="130">
        <v>0</v>
      </c>
      <c r="E675" s="128">
        <f t="shared" si="70"/>
        <v>0</v>
      </c>
      <c r="F675" s="123">
        <f t="shared" si="75"/>
        <v>0</v>
      </c>
      <c r="G675" s="128">
        <f t="shared" si="76"/>
        <v>0</v>
      </c>
      <c r="H675" s="127">
        <f t="shared" si="71"/>
        <v>0</v>
      </c>
      <c r="I675" s="130">
        <f t="shared" si="72"/>
        <v>0</v>
      </c>
      <c r="J675" s="133">
        <f t="shared" si="73"/>
        <v>0</v>
      </c>
      <c r="K675" s="134">
        <v>0</v>
      </c>
      <c r="L675" s="129">
        <f t="shared" si="74"/>
        <v>0</v>
      </c>
    </row>
    <row r="676" spans="1:12">
      <c r="A676" s="122">
        <v>669</v>
      </c>
      <c r="D676" s="130">
        <v>0</v>
      </c>
      <c r="E676" s="128">
        <f t="shared" si="70"/>
        <v>0</v>
      </c>
      <c r="F676" s="123">
        <f t="shared" si="75"/>
        <v>0</v>
      </c>
      <c r="G676" s="128">
        <f t="shared" si="76"/>
        <v>0</v>
      </c>
      <c r="H676" s="127">
        <f t="shared" si="71"/>
        <v>0</v>
      </c>
      <c r="I676" s="130">
        <f t="shared" si="72"/>
        <v>0</v>
      </c>
      <c r="J676" s="133">
        <f t="shared" si="73"/>
        <v>0</v>
      </c>
      <c r="K676" s="134">
        <v>0</v>
      </c>
      <c r="L676" s="129">
        <f t="shared" si="74"/>
        <v>0</v>
      </c>
    </row>
    <row r="677" spans="1:12">
      <c r="A677" s="122">
        <v>670</v>
      </c>
      <c r="D677" s="130">
        <v>0</v>
      </c>
      <c r="E677" s="128">
        <f t="shared" si="70"/>
        <v>0</v>
      </c>
      <c r="F677" s="123">
        <f t="shared" si="75"/>
        <v>0</v>
      </c>
      <c r="G677" s="128">
        <f t="shared" si="76"/>
        <v>0</v>
      </c>
      <c r="H677" s="127">
        <f t="shared" si="71"/>
        <v>0</v>
      </c>
      <c r="I677" s="130">
        <f t="shared" si="72"/>
        <v>0</v>
      </c>
      <c r="J677" s="133">
        <f t="shared" si="73"/>
        <v>0</v>
      </c>
      <c r="K677" s="134">
        <v>0</v>
      </c>
      <c r="L677" s="129">
        <f t="shared" si="74"/>
        <v>0</v>
      </c>
    </row>
    <row r="678" spans="1:12">
      <c r="A678" s="122">
        <v>671</v>
      </c>
      <c r="D678" s="130">
        <v>0</v>
      </c>
      <c r="E678" s="128">
        <f t="shared" si="70"/>
        <v>0</v>
      </c>
      <c r="F678" s="123">
        <f t="shared" si="75"/>
        <v>0</v>
      </c>
      <c r="G678" s="128">
        <f t="shared" si="76"/>
        <v>0</v>
      </c>
      <c r="H678" s="127">
        <f t="shared" si="71"/>
        <v>0</v>
      </c>
      <c r="I678" s="130">
        <f t="shared" si="72"/>
        <v>0</v>
      </c>
      <c r="J678" s="133">
        <f t="shared" si="73"/>
        <v>0</v>
      </c>
      <c r="K678" s="134">
        <v>0</v>
      </c>
      <c r="L678" s="129">
        <f t="shared" si="74"/>
        <v>0</v>
      </c>
    </row>
    <row r="679" spans="1:12">
      <c r="A679" s="122">
        <v>672</v>
      </c>
      <c r="D679" s="130">
        <v>0</v>
      </c>
      <c r="E679" s="128">
        <f t="shared" si="70"/>
        <v>0</v>
      </c>
      <c r="F679" s="123">
        <f t="shared" si="75"/>
        <v>0</v>
      </c>
      <c r="G679" s="128">
        <f t="shared" si="76"/>
        <v>0</v>
      </c>
      <c r="H679" s="127">
        <f t="shared" si="71"/>
        <v>0</v>
      </c>
      <c r="I679" s="130">
        <f t="shared" si="72"/>
        <v>0</v>
      </c>
      <c r="J679" s="133">
        <f t="shared" si="73"/>
        <v>0</v>
      </c>
      <c r="K679" s="134">
        <v>0</v>
      </c>
      <c r="L679" s="129">
        <f t="shared" si="74"/>
        <v>0</v>
      </c>
    </row>
    <row r="680" spans="1:12">
      <c r="A680" s="122">
        <v>673</v>
      </c>
      <c r="D680" s="130">
        <v>0</v>
      </c>
      <c r="E680" s="128">
        <f t="shared" si="70"/>
        <v>0</v>
      </c>
      <c r="F680" s="123">
        <f t="shared" si="75"/>
        <v>0</v>
      </c>
      <c r="G680" s="128">
        <f t="shared" si="76"/>
        <v>0</v>
      </c>
      <c r="H680" s="127">
        <f t="shared" si="71"/>
        <v>0</v>
      </c>
      <c r="I680" s="130">
        <f t="shared" si="72"/>
        <v>0</v>
      </c>
      <c r="J680" s="133">
        <f t="shared" si="73"/>
        <v>0</v>
      </c>
      <c r="K680" s="134">
        <v>0</v>
      </c>
      <c r="L680" s="129">
        <f t="shared" si="74"/>
        <v>0</v>
      </c>
    </row>
    <row r="681" spans="1:12">
      <c r="A681" s="122">
        <v>674</v>
      </c>
      <c r="D681" s="130">
        <v>0</v>
      </c>
      <c r="E681" s="128">
        <f t="shared" si="70"/>
        <v>0</v>
      </c>
      <c r="F681" s="123">
        <f t="shared" si="75"/>
        <v>0</v>
      </c>
      <c r="G681" s="128">
        <f t="shared" si="76"/>
        <v>0</v>
      </c>
      <c r="H681" s="127">
        <f t="shared" si="71"/>
        <v>0</v>
      </c>
      <c r="I681" s="130">
        <f t="shared" si="72"/>
        <v>0</v>
      </c>
      <c r="J681" s="133">
        <f t="shared" si="73"/>
        <v>0</v>
      </c>
      <c r="K681" s="134">
        <v>0</v>
      </c>
      <c r="L681" s="129">
        <f t="shared" si="74"/>
        <v>0</v>
      </c>
    </row>
    <row r="682" spans="1:12">
      <c r="A682" s="122">
        <v>675</v>
      </c>
      <c r="D682" s="130">
        <v>0</v>
      </c>
      <c r="E682" s="128">
        <f t="shared" si="70"/>
        <v>0</v>
      </c>
      <c r="F682" s="123">
        <f t="shared" si="75"/>
        <v>0</v>
      </c>
      <c r="G682" s="128">
        <f t="shared" si="76"/>
        <v>0</v>
      </c>
      <c r="H682" s="127">
        <f t="shared" si="71"/>
        <v>0</v>
      </c>
      <c r="I682" s="130">
        <f t="shared" si="72"/>
        <v>0</v>
      </c>
      <c r="J682" s="133">
        <f t="shared" si="73"/>
        <v>0</v>
      </c>
      <c r="K682" s="134">
        <v>0</v>
      </c>
      <c r="L682" s="129">
        <f t="shared" si="74"/>
        <v>0</v>
      </c>
    </row>
    <row r="683" spans="1:12">
      <c r="A683" s="122">
        <v>676</v>
      </c>
      <c r="D683" s="130">
        <v>0</v>
      </c>
      <c r="E683" s="128">
        <f t="shared" si="70"/>
        <v>0</v>
      </c>
      <c r="F683" s="123">
        <f t="shared" si="75"/>
        <v>0</v>
      </c>
      <c r="G683" s="128">
        <f t="shared" si="76"/>
        <v>0</v>
      </c>
      <c r="H683" s="127">
        <f t="shared" si="71"/>
        <v>0</v>
      </c>
      <c r="I683" s="130">
        <f t="shared" si="72"/>
        <v>0</v>
      </c>
      <c r="J683" s="133">
        <f t="shared" si="73"/>
        <v>0</v>
      </c>
      <c r="K683" s="134">
        <v>0</v>
      </c>
      <c r="L683" s="129">
        <f t="shared" si="74"/>
        <v>0</v>
      </c>
    </row>
    <row r="684" spans="1:12">
      <c r="D684" s="130"/>
      <c r="E684" s="136"/>
      <c r="F684" s="130"/>
      <c r="G684" s="136"/>
      <c r="H684" s="132"/>
      <c r="I684" s="130"/>
      <c r="J684" s="133"/>
      <c r="K684" s="137"/>
      <c r="L684" s="135"/>
    </row>
    <row r="685" spans="1:12" s="139" customFormat="1">
      <c r="A685" s="138"/>
      <c r="D685" s="140">
        <f>SUM(D8:D683)</f>
        <v>0</v>
      </c>
      <c r="E685" s="140"/>
      <c r="F685" s="140"/>
      <c r="G685" s="140">
        <f>SUM(G8:G683)</f>
        <v>0</v>
      </c>
      <c r="H685" s="140">
        <f>SUM(H8:H683)</f>
        <v>0</v>
      </c>
      <c r="I685" s="140">
        <f>SUM(I8:I683)</f>
        <v>0</v>
      </c>
      <c r="J685" s="140">
        <f>SUM(J8:J683)</f>
        <v>0</v>
      </c>
      <c r="K685" s="138"/>
      <c r="L685" s="140">
        <f>SUM(L8:L683)</f>
        <v>0</v>
      </c>
    </row>
  </sheetData>
  <printOptions gridLines="1"/>
  <pageMargins left="0.7" right="0.7" top="0.75" bottom="0.75" header="0.3" footer="0.3"/>
  <pageSetup paperSize="9" scale="71" fitToHeight="0" orientation="landscape" horizontalDpi="0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7:J685"/>
  <sheetViews>
    <sheetView topLeftCell="B1" workbookViewId="0">
      <selection activeCell="D7" sqref="D7:J8"/>
    </sheetView>
  </sheetViews>
  <sheetFormatPr defaultColWidth="9.16796875" defaultRowHeight="15"/>
  <cols>
    <col min="1" max="1" width="5.12109375" style="118" bestFit="1" customWidth="1"/>
    <col min="2" max="2" width="33.84765625" style="119" customWidth="1"/>
    <col min="3" max="3" width="23.59765625" style="119" customWidth="1"/>
    <col min="4" max="4" width="21.44140625" style="119" customWidth="1"/>
    <col min="5" max="5" width="14.5625" style="119" bestFit="1" customWidth="1"/>
    <col min="6" max="6" width="19.55078125" style="119" bestFit="1" customWidth="1"/>
    <col min="7" max="7" width="17.52734375" style="119" customWidth="1"/>
    <col min="8" max="8" width="18.203125" style="119" customWidth="1"/>
    <col min="9" max="9" width="9.16796875" style="118"/>
    <col min="10" max="10" width="14.83203125" style="119" bestFit="1" customWidth="1"/>
    <col min="11" max="16384" width="9.16796875" style="119"/>
  </cols>
  <sheetData>
    <row r="7" spans="1:10" ht="27.75">
      <c r="A7" s="120" t="s">
        <v>185</v>
      </c>
      <c r="B7" s="120" t="s">
        <v>186</v>
      </c>
      <c r="C7" s="120" t="s">
        <v>187</v>
      </c>
      <c r="D7" s="121" t="s">
        <v>188</v>
      </c>
      <c r="E7" s="120" t="s">
        <v>189</v>
      </c>
      <c r="F7" s="120" t="s">
        <v>190</v>
      </c>
      <c r="G7" s="120" t="s">
        <v>191</v>
      </c>
      <c r="H7" s="120" t="s">
        <v>192</v>
      </c>
      <c r="I7" s="120" t="s">
        <v>193</v>
      </c>
      <c r="J7" s="120" t="s">
        <v>194</v>
      </c>
    </row>
    <row r="8" spans="1:10">
      <c r="A8" s="122">
        <v>1</v>
      </c>
      <c r="B8" s="126"/>
      <c r="C8" s="126"/>
      <c r="D8" s="123">
        <v>0</v>
      </c>
      <c r="E8" s="128">
        <f t="shared" ref="E8:E71" si="0">IF(D8&lt;=300000,0,IF(D8&gt;=20000000,(D8*0.21),(D8*0.2)+200000))</f>
        <v>0</v>
      </c>
      <c r="F8" s="127">
        <f>+D8-E8</f>
        <v>0</v>
      </c>
      <c r="G8" s="123">
        <f t="shared" ref="G8:G71" si="1">IF(E8=0,(D8*0.01),IF(F8&lt;=0,0.01*D8,IF(AND(F8&gt;0,F8&lt;=300000),F8*7%,IF(AND(F8&gt;=300000,F8&lt;600000),21000+(F8-300000)*11%,IF(AND(F8&gt;=600000,F8&lt;1100000),54000+(F8-600000)*15%,IF(AND(F8&gt;=1100000,F8&lt;1600000),129000+(F8-1100000)*19%,IF(AND(F8&gt;=1600000,F8&lt;3200000),224000+(F8-1600000)*21%,560000+(F8-3200000)*24%)))))))</f>
        <v>0</v>
      </c>
      <c r="H8" s="124">
        <f t="shared" ref="H8:H71" si="2">G8/12</f>
        <v>0</v>
      </c>
      <c r="I8" s="125">
        <v>12</v>
      </c>
      <c r="J8" s="129">
        <f t="shared" ref="J8:J71" si="3">+H8*I8</f>
        <v>0</v>
      </c>
    </row>
    <row r="9" spans="1:10">
      <c r="A9" s="122">
        <v>2</v>
      </c>
      <c r="B9" s="126"/>
      <c r="C9" s="126"/>
      <c r="D9" s="123">
        <v>0</v>
      </c>
      <c r="E9" s="128">
        <f t="shared" si="0"/>
        <v>0</v>
      </c>
      <c r="F9" s="127">
        <f t="shared" ref="F9:F72" si="4">+D9-E9</f>
        <v>0</v>
      </c>
      <c r="G9" s="123">
        <f t="shared" si="1"/>
        <v>0</v>
      </c>
      <c r="H9" s="124">
        <f t="shared" si="2"/>
        <v>0</v>
      </c>
      <c r="I9" s="125">
        <v>0</v>
      </c>
      <c r="J9" s="129">
        <f t="shared" si="3"/>
        <v>0</v>
      </c>
    </row>
    <row r="10" spans="1:10">
      <c r="A10" s="122">
        <v>3</v>
      </c>
      <c r="B10" s="126"/>
      <c r="C10" s="126"/>
      <c r="D10" s="123">
        <v>0</v>
      </c>
      <c r="E10" s="128">
        <f t="shared" si="0"/>
        <v>0</v>
      </c>
      <c r="F10" s="127">
        <f t="shared" si="4"/>
        <v>0</v>
      </c>
      <c r="G10" s="123">
        <f t="shared" si="1"/>
        <v>0</v>
      </c>
      <c r="H10" s="124">
        <f t="shared" si="2"/>
        <v>0</v>
      </c>
      <c r="I10" s="125">
        <v>0</v>
      </c>
      <c r="J10" s="129">
        <f t="shared" si="3"/>
        <v>0</v>
      </c>
    </row>
    <row r="11" spans="1:10">
      <c r="A11" s="122">
        <v>4</v>
      </c>
      <c r="B11" s="126"/>
      <c r="C11" s="126"/>
      <c r="D11" s="123">
        <v>0</v>
      </c>
      <c r="E11" s="128">
        <f t="shared" si="0"/>
        <v>0</v>
      </c>
      <c r="F11" s="127">
        <f t="shared" si="4"/>
        <v>0</v>
      </c>
      <c r="G11" s="123">
        <f t="shared" si="1"/>
        <v>0</v>
      </c>
      <c r="H11" s="124">
        <f t="shared" si="2"/>
        <v>0</v>
      </c>
      <c r="I11" s="125">
        <v>0</v>
      </c>
      <c r="J11" s="129">
        <f t="shared" si="3"/>
        <v>0</v>
      </c>
    </row>
    <row r="12" spans="1:10">
      <c r="A12" s="122">
        <v>5</v>
      </c>
      <c r="B12" s="126"/>
      <c r="C12" s="126"/>
      <c r="D12" s="123">
        <v>0</v>
      </c>
      <c r="E12" s="128">
        <f t="shared" si="0"/>
        <v>0</v>
      </c>
      <c r="F12" s="127">
        <f t="shared" si="4"/>
        <v>0</v>
      </c>
      <c r="G12" s="123">
        <f t="shared" si="1"/>
        <v>0</v>
      </c>
      <c r="H12" s="124">
        <f t="shared" si="2"/>
        <v>0</v>
      </c>
      <c r="I12" s="125">
        <v>0</v>
      </c>
      <c r="J12" s="129">
        <f t="shared" si="3"/>
        <v>0</v>
      </c>
    </row>
    <row r="13" spans="1:10">
      <c r="A13" s="122">
        <v>6</v>
      </c>
      <c r="B13" s="126"/>
      <c r="C13" s="126"/>
      <c r="D13" s="123">
        <v>0</v>
      </c>
      <c r="E13" s="128">
        <f t="shared" si="0"/>
        <v>0</v>
      </c>
      <c r="F13" s="127">
        <f t="shared" si="4"/>
        <v>0</v>
      </c>
      <c r="G13" s="123">
        <f t="shared" si="1"/>
        <v>0</v>
      </c>
      <c r="H13" s="124">
        <f t="shared" si="2"/>
        <v>0</v>
      </c>
      <c r="I13" s="125">
        <v>0</v>
      </c>
      <c r="J13" s="129">
        <f t="shared" si="3"/>
        <v>0</v>
      </c>
    </row>
    <row r="14" spans="1:10">
      <c r="A14" s="122">
        <v>7</v>
      </c>
      <c r="B14" s="126"/>
      <c r="C14" s="126"/>
      <c r="D14" s="123">
        <v>0</v>
      </c>
      <c r="E14" s="128">
        <f t="shared" si="0"/>
        <v>0</v>
      </c>
      <c r="F14" s="127">
        <f t="shared" si="4"/>
        <v>0</v>
      </c>
      <c r="G14" s="123">
        <f t="shared" si="1"/>
        <v>0</v>
      </c>
      <c r="H14" s="124">
        <f t="shared" si="2"/>
        <v>0</v>
      </c>
      <c r="I14" s="125">
        <v>0</v>
      </c>
      <c r="J14" s="129">
        <f t="shared" si="3"/>
        <v>0</v>
      </c>
    </row>
    <row r="15" spans="1:10">
      <c r="A15" s="122">
        <v>8</v>
      </c>
      <c r="B15" s="126"/>
      <c r="C15" s="126"/>
      <c r="D15" s="123">
        <v>0</v>
      </c>
      <c r="E15" s="128">
        <f t="shared" si="0"/>
        <v>0</v>
      </c>
      <c r="F15" s="127">
        <f t="shared" si="4"/>
        <v>0</v>
      </c>
      <c r="G15" s="123">
        <f t="shared" si="1"/>
        <v>0</v>
      </c>
      <c r="H15" s="124">
        <f t="shared" si="2"/>
        <v>0</v>
      </c>
      <c r="I15" s="125">
        <v>0</v>
      </c>
      <c r="J15" s="129">
        <f t="shared" si="3"/>
        <v>0</v>
      </c>
    </row>
    <row r="16" spans="1:10">
      <c r="A16" s="122">
        <v>9</v>
      </c>
      <c r="B16" s="126"/>
      <c r="C16" s="126"/>
      <c r="D16" s="123">
        <v>0</v>
      </c>
      <c r="E16" s="128">
        <f t="shared" si="0"/>
        <v>0</v>
      </c>
      <c r="F16" s="127">
        <f t="shared" si="4"/>
        <v>0</v>
      </c>
      <c r="G16" s="123">
        <f t="shared" si="1"/>
        <v>0</v>
      </c>
      <c r="H16" s="124">
        <f t="shared" si="2"/>
        <v>0</v>
      </c>
      <c r="I16" s="125">
        <v>0</v>
      </c>
      <c r="J16" s="129">
        <f t="shared" si="3"/>
        <v>0</v>
      </c>
    </row>
    <row r="17" spans="1:10">
      <c r="A17" s="122">
        <v>10</v>
      </c>
      <c r="B17" s="126"/>
      <c r="C17" s="126"/>
      <c r="D17" s="123">
        <v>0</v>
      </c>
      <c r="E17" s="128">
        <f t="shared" si="0"/>
        <v>0</v>
      </c>
      <c r="F17" s="127">
        <f t="shared" si="4"/>
        <v>0</v>
      </c>
      <c r="G17" s="123">
        <f t="shared" si="1"/>
        <v>0</v>
      </c>
      <c r="H17" s="124">
        <f t="shared" si="2"/>
        <v>0</v>
      </c>
      <c r="I17" s="125">
        <v>0</v>
      </c>
      <c r="J17" s="129">
        <f t="shared" si="3"/>
        <v>0</v>
      </c>
    </row>
    <row r="18" spans="1:10">
      <c r="A18" s="122">
        <v>11</v>
      </c>
      <c r="B18" s="126"/>
      <c r="C18" s="126"/>
      <c r="D18" s="123">
        <v>0</v>
      </c>
      <c r="E18" s="128">
        <f t="shared" si="0"/>
        <v>0</v>
      </c>
      <c r="F18" s="127">
        <f t="shared" si="4"/>
        <v>0</v>
      </c>
      <c r="G18" s="123">
        <f t="shared" si="1"/>
        <v>0</v>
      </c>
      <c r="H18" s="124">
        <f t="shared" si="2"/>
        <v>0</v>
      </c>
      <c r="I18" s="125">
        <v>0</v>
      </c>
      <c r="J18" s="129">
        <f t="shared" si="3"/>
        <v>0</v>
      </c>
    </row>
    <row r="19" spans="1:10">
      <c r="A19" s="122">
        <v>12</v>
      </c>
      <c r="B19" s="126"/>
      <c r="C19" s="126"/>
      <c r="D19" s="123">
        <v>0</v>
      </c>
      <c r="E19" s="128">
        <f t="shared" si="0"/>
        <v>0</v>
      </c>
      <c r="F19" s="127">
        <f t="shared" si="4"/>
        <v>0</v>
      </c>
      <c r="G19" s="123">
        <f t="shared" si="1"/>
        <v>0</v>
      </c>
      <c r="H19" s="124">
        <f t="shared" si="2"/>
        <v>0</v>
      </c>
      <c r="I19" s="125">
        <v>0</v>
      </c>
      <c r="J19" s="129">
        <f t="shared" si="3"/>
        <v>0</v>
      </c>
    </row>
    <row r="20" spans="1:10">
      <c r="A20" s="122">
        <v>13</v>
      </c>
      <c r="B20" s="126"/>
      <c r="C20" s="126"/>
      <c r="D20" s="123">
        <v>0</v>
      </c>
      <c r="E20" s="128">
        <f t="shared" si="0"/>
        <v>0</v>
      </c>
      <c r="F20" s="127">
        <f t="shared" si="4"/>
        <v>0</v>
      </c>
      <c r="G20" s="123">
        <f t="shared" si="1"/>
        <v>0</v>
      </c>
      <c r="H20" s="124">
        <f t="shared" si="2"/>
        <v>0</v>
      </c>
      <c r="I20" s="125">
        <v>0</v>
      </c>
      <c r="J20" s="129">
        <f t="shared" si="3"/>
        <v>0</v>
      </c>
    </row>
    <row r="21" spans="1:10">
      <c r="A21" s="122">
        <v>14</v>
      </c>
      <c r="B21" s="126"/>
      <c r="C21" s="126"/>
      <c r="D21" s="123">
        <v>0</v>
      </c>
      <c r="E21" s="128">
        <f t="shared" si="0"/>
        <v>0</v>
      </c>
      <c r="F21" s="127">
        <f t="shared" si="4"/>
        <v>0</v>
      </c>
      <c r="G21" s="123">
        <f t="shared" si="1"/>
        <v>0</v>
      </c>
      <c r="H21" s="124">
        <f t="shared" si="2"/>
        <v>0</v>
      </c>
      <c r="I21" s="125">
        <v>0</v>
      </c>
      <c r="J21" s="129">
        <f t="shared" si="3"/>
        <v>0</v>
      </c>
    </row>
    <row r="22" spans="1:10">
      <c r="A22" s="122">
        <v>15</v>
      </c>
      <c r="B22" s="126"/>
      <c r="C22" s="126"/>
      <c r="D22" s="123">
        <v>0</v>
      </c>
      <c r="E22" s="128">
        <f t="shared" si="0"/>
        <v>0</v>
      </c>
      <c r="F22" s="127">
        <f t="shared" si="4"/>
        <v>0</v>
      </c>
      <c r="G22" s="123">
        <f t="shared" si="1"/>
        <v>0</v>
      </c>
      <c r="H22" s="124">
        <f t="shared" si="2"/>
        <v>0</v>
      </c>
      <c r="I22" s="125">
        <v>0</v>
      </c>
      <c r="J22" s="129">
        <f t="shared" si="3"/>
        <v>0</v>
      </c>
    </row>
    <row r="23" spans="1:10">
      <c r="A23" s="122">
        <v>16</v>
      </c>
      <c r="B23" s="126"/>
      <c r="C23" s="126"/>
      <c r="D23" s="123">
        <v>0</v>
      </c>
      <c r="E23" s="128">
        <f t="shared" si="0"/>
        <v>0</v>
      </c>
      <c r="F23" s="127">
        <f t="shared" si="4"/>
        <v>0</v>
      </c>
      <c r="G23" s="123">
        <f t="shared" si="1"/>
        <v>0</v>
      </c>
      <c r="H23" s="124">
        <f t="shared" si="2"/>
        <v>0</v>
      </c>
      <c r="I23" s="125">
        <v>0</v>
      </c>
      <c r="J23" s="129">
        <f t="shared" si="3"/>
        <v>0</v>
      </c>
    </row>
    <row r="24" spans="1:10">
      <c r="A24" s="122">
        <v>17</v>
      </c>
      <c r="B24" s="126"/>
      <c r="C24" s="126"/>
      <c r="D24" s="123">
        <v>0</v>
      </c>
      <c r="E24" s="128">
        <f t="shared" si="0"/>
        <v>0</v>
      </c>
      <c r="F24" s="127">
        <f t="shared" si="4"/>
        <v>0</v>
      </c>
      <c r="G24" s="123">
        <f t="shared" si="1"/>
        <v>0</v>
      </c>
      <c r="H24" s="124">
        <f t="shared" si="2"/>
        <v>0</v>
      </c>
      <c r="I24" s="125">
        <v>0</v>
      </c>
      <c r="J24" s="129">
        <f t="shared" si="3"/>
        <v>0</v>
      </c>
    </row>
    <row r="25" spans="1:10">
      <c r="A25" s="122">
        <v>18</v>
      </c>
      <c r="B25" s="126"/>
      <c r="C25" s="126"/>
      <c r="D25" s="123">
        <v>0</v>
      </c>
      <c r="E25" s="128">
        <f t="shared" si="0"/>
        <v>0</v>
      </c>
      <c r="F25" s="127">
        <f t="shared" si="4"/>
        <v>0</v>
      </c>
      <c r="G25" s="123">
        <f t="shared" si="1"/>
        <v>0</v>
      </c>
      <c r="H25" s="124">
        <f t="shared" si="2"/>
        <v>0</v>
      </c>
      <c r="I25" s="125">
        <v>0</v>
      </c>
      <c r="J25" s="129">
        <f t="shared" si="3"/>
        <v>0</v>
      </c>
    </row>
    <row r="26" spans="1:10">
      <c r="A26" s="122">
        <v>19</v>
      </c>
      <c r="B26" s="126"/>
      <c r="C26" s="126"/>
      <c r="D26" s="123">
        <v>0</v>
      </c>
      <c r="E26" s="128">
        <f t="shared" si="0"/>
        <v>0</v>
      </c>
      <c r="F26" s="127">
        <f t="shared" si="4"/>
        <v>0</v>
      </c>
      <c r="G26" s="123">
        <f t="shared" si="1"/>
        <v>0</v>
      </c>
      <c r="H26" s="124">
        <f t="shared" si="2"/>
        <v>0</v>
      </c>
      <c r="I26" s="125">
        <v>0</v>
      </c>
      <c r="J26" s="129">
        <f t="shared" si="3"/>
        <v>0</v>
      </c>
    </row>
    <row r="27" spans="1:10">
      <c r="A27" s="122">
        <v>20</v>
      </c>
      <c r="B27" s="126"/>
      <c r="C27" s="126"/>
      <c r="D27" s="123">
        <v>0</v>
      </c>
      <c r="E27" s="128">
        <f t="shared" si="0"/>
        <v>0</v>
      </c>
      <c r="F27" s="127">
        <f t="shared" si="4"/>
        <v>0</v>
      </c>
      <c r="G27" s="123">
        <f t="shared" si="1"/>
        <v>0</v>
      </c>
      <c r="H27" s="124">
        <f t="shared" si="2"/>
        <v>0</v>
      </c>
      <c r="I27" s="125">
        <v>0</v>
      </c>
      <c r="J27" s="129">
        <f t="shared" si="3"/>
        <v>0</v>
      </c>
    </row>
    <row r="28" spans="1:10">
      <c r="A28" s="122">
        <v>21</v>
      </c>
      <c r="B28" s="126"/>
      <c r="C28" s="126"/>
      <c r="D28" s="123">
        <v>0</v>
      </c>
      <c r="E28" s="128">
        <f t="shared" si="0"/>
        <v>0</v>
      </c>
      <c r="F28" s="127">
        <f t="shared" si="4"/>
        <v>0</v>
      </c>
      <c r="G28" s="123">
        <f t="shared" si="1"/>
        <v>0</v>
      </c>
      <c r="H28" s="124">
        <f t="shared" si="2"/>
        <v>0</v>
      </c>
      <c r="I28" s="125">
        <v>0</v>
      </c>
      <c r="J28" s="129">
        <f t="shared" si="3"/>
        <v>0</v>
      </c>
    </row>
    <row r="29" spans="1:10">
      <c r="A29" s="122">
        <v>22</v>
      </c>
      <c r="B29" s="126"/>
      <c r="C29" s="126"/>
      <c r="D29" s="123">
        <v>0</v>
      </c>
      <c r="E29" s="128">
        <f t="shared" si="0"/>
        <v>0</v>
      </c>
      <c r="F29" s="127">
        <f t="shared" si="4"/>
        <v>0</v>
      </c>
      <c r="G29" s="123">
        <f t="shared" si="1"/>
        <v>0</v>
      </c>
      <c r="H29" s="124">
        <f t="shared" si="2"/>
        <v>0</v>
      </c>
      <c r="I29" s="125">
        <v>0</v>
      </c>
      <c r="J29" s="129">
        <f t="shared" si="3"/>
        <v>0</v>
      </c>
    </row>
    <row r="30" spans="1:10">
      <c r="A30" s="122">
        <v>23</v>
      </c>
      <c r="B30" s="126"/>
      <c r="C30" s="126"/>
      <c r="D30" s="123">
        <v>0</v>
      </c>
      <c r="E30" s="128">
        <f t="shared" si="0"/>
        <v>0</v>
      </c>
      <c r="F30" s="127">
        <f t="shared" si="4"/>
        <v>0</v>
      </c>
      <c r="G30" s="123">
        <f t="shared" si="1"/>
        <v>0</v>
      </c>
      <c r="H30" s="124">
        <f t="shared" si="2"/>
        <v>0</v>
      </c>
      <c r="I30" s="125">
        <v>0</v>
      </c>
      <c r="J30" s="129">
        <f t="shared" si="3"/>
        <v>0</v>
      </c>
    </row>
    <row r="31" spans="1:10">
      <c r="A31" s="122">
        <v>24</v>
      </c>
      <c r="B31" s="126"/>
      <c r="C31" s="126"/>
      <c r="D31" s="123">
        <v>0</v>
      </c>
      <c r="E31" s="128">
        <f t="shared" si="0"/>
        <v>0</v>
      </c>
      <c r="F31" s="127">
        <f t="shared" si="4"/>
        <v>0</v>
      </c>
      <c r="G31" s="123">
        <f t="shared" si="1"/>
        <v>0</v>
      </c>
      <c r="H31" s="124">
        <f t="shared" si="2"/>
        <v>0</v>
      </c>
      <c r="I31" s="125">
        <v>0</v>
      </c>
      <c r="J31" s="129">
        <f t="shared" si="3"/>
        <v>0</v>
      </c>
    </row>
    <row r="32" spans="1:10">
      <c r="A32" s="122">
        <v>25</v>
      </c>
      <c r="B32" s="126"/>
      <c r="C32" s="126"/>
      <c r="D32" s="123">
        <v>0</v>
      </c>
      <c r="E32" s="128">
        <f t="shared" si="0"/>
        <v>0</v>
      </c>
      <c r="F32" s="127">
        <f t="shared" si="4"/>
        <v>0</v>
      </c>
      <c r="G32" s="123">
        <f t="shared" si="1"/>
        <v>0</v>
      </c>
      <c r="H32" s="124">
        <f t="shared" si="2"/>
        <v>0</v>
      </c>
      <c r="I32" s="125">
        <v>0</v>
      </c>
      <c r="J32" s="129">
        <f t="shared" si="3"/>
        <v>0</v>
      </c>
    </row>
    <row r="33" spans="1:10">
      <c r="A33" s="122">
        <v>26</v>
      </c>
      <c r="B33" s="126"/>
      <c r="C33" s="126"/>
      <c r="D33" s="123">
        <v>0</v>
      </c>
      <c r="E33" s="128">
        <f t="shared" si="0"/>
        <v>0</v>
      </c>
      <c r="F33" s="127">
        <f t="shared" si="4"/>
        <v>0</v>
      </c>
      <c r="G33" s="123">
        <f t="shared" si="1"/>
        <v>0</v>
      </c>
      <c r="H33" s="124">
        <f t="shared" si="2"/>
        <v>0</v>
      </c>
      <c r="I33" s="125">
        <v>0</v>
      </c>
      <c r="J33" s="129">
        <f t="shared" si="3"/>
        <v>0</v>
      </c>
    </row>
    <row r="34" spans="1:10">
      <c r="A34" s="122">
        <v>27</v>
      </c>
      <c r="B34" s="126"/>
      <c r="C34" s="126"/>
      <c r="D34" s="123">
        <v>0</v>
      </c>
      <c r="E34" s="128">
        <f t="shared" si="0"/>
        <v>0</v>
      </c>
      <c r="F34" s="127">
        <f t="shared" si="4"/>
        <v>0</v>
      </c>
      <c r="G34" s="123">
        <f t="shared" si="1"/>
        <v>0</v>
      </c>
      <c r="H34" s="124">
        <f t="shared" si="2"/>
        <v>0</v>
      </c>
      <c r="I34" s="125">
        <v>0</v>
      </c>
      <c r="J34" s="129">
        <f t="shared" si="3"/>
        <v>0</v>
      </c>
    </row>
    <row r="35" spans="1:10">
      <c r="A35" s="122">
        <v>28</v>
      </c>
      <c r="B35" s="126"/>
      <c r="C35" s="126"/>
      <c r="D35" s="123">
        <v>0</v>
      </c>
      <c r="E35" s="128">
        <f t="shared" si="0"/>
        <v>0</v>
      </c>
      <c r="F35" s="127">
        <f t="shared" si="4"/>
        <v>0</v>
      </c>
      <c r="G35" s="123">
        <f t="shared" si="1"/>
        <v>0</v>
      </c>
      <c r="H35" s="124">
        <f t="shared" si="2"/>
        <v>0</v>
      </c>
      <c r="I35" s="125">
        <v>0</v>
      </c>
      <c r="J35" s="129">
        <f t="shared" si="3"/>
        <v>0</v>
      </c>
    </row>
    <row r="36" spans="1:10">
      <c r="A36" s="122">
        <v>29</v>
      </c>
      <c r="B36" s="126"/>
      <c r="C36" s="126"/>
      <c r="D36" s="123">
        <v>0</v>
      </c>
      <c r="E36" s="128">
        <f t="shared" si="0"/>
        <v>0</v>
      </c>
      <c r="F36" s="127">
        <f t="shared" si="4"/>
        <v>0</v>
      </c>
      <c r="G36" s="123">
        <f t="shared" si="1"/>
        <v>0</v>
      </c>
      <c r="H36" s="124">
        <f t="shared" si="2"/>
        <v>0</v>
      </c>
      <c r="I36" s="125">
        <v>0</v>
      </c>
      <c r="J36" s="129">
        <f t="shared" si="3"/>
        <v>0</v>
      </c>
    </row>
    <row r="37" spans="1:10">
      <c r="A37" s="122">
        <v>30</v>
      </c>
      <c r="B37" s="126"/>
      <c r="C37" s="126"/>
      <c r="D37" s="123">
        <v>0</v>
      </c>
      <c r="E37" s="128">
        <f t="shared" si="0"/>
        <v>0</v>
      </c>
      <c r="F37" s="127">
        <f t="shared" si="4"/>
        <v>0</v>
      </c>
      <c r="G37" s="123">
        <f t="shared" si="1"/>
        <v>0</v>
      </c>
      <c r="H37" s="124">
        <f t="shared" si="2"/>
        <v>0</v>
      </c>
      <c r="I37" s="125">
        <v>0</v>
      </c>
      <c r="J37" s="129">
        <f t="shared" si="3"/>
        <v>0</v>
      </c>
    </row>
    <row r="38" spans="1:10">
      <c r="A38" s="122">
        <v>31</v>
      </c>
      <c r="B38" s="126"/>
      <c r="C38" s="126"/>
      <c r="D38" s="123">
        <v>0</v>
      </c>
      <c r="E38" s="128">
        <f t="shared" si="0"/>
        <v>0</v>
      </c>
      <c r="F38" s="127">
        <f t="shared" si="4"/>
        <v>0</v>
      </c>
      <c r="G38" s="123">
        <f t="shared" si="1"/>
        <v>0</v>
      </c>
      <c r="H38" s="124">
        <f t="shared" si="2"/>
        <v>0</v>
      </c>
      <c r="I38" s="125">
        <v>0</v>
      </c>
      <c r="J38" s="129">
        <f t="shared" si="3"/>
        <v>0</v>
      </c>
    </row>
    <row r="39" spans="1:10">
      <c r="A39" s="122">
        <v>32</v>
      </c>
      <c r="B39" s="126"/>
      <c r="C39" s="126"/>
      <c r="D39" s="123">
        <v>0</v>
      </c>
      <c r="E39" s="128">
        <f t="shared" si="0"/>
        <v>0</v>
      </c>
      <c r="F39" s="127">
        <f t="shared" si="4"/>
        <v>0</v>
      </c>
      <c r="G39" s="123">
        <f t="shared" si="1"/>
        <v>0</v>
      </c>
      <c r="H39" s="124">
        <f t="shared" si="2"/>
        <v>0</v>
      </c>
      <c r="I39" s="125">
        <v>0</v>
      </c>
      <c r="J39" s="129">
        <f t="shared" si="3"/>
        <v>0</v>
      </c>
    </row>
    <row r="40" spans="1:10">
      <c r="A40" s="122">
        <v>33</v>
      </c>
      <c r="B40" s="126"/>
      <c r="C40" s="126"/>
      <c r="D40" s="123">
        <v>0</v>
      </c>
      <c r="E40" s="128">
        <f t="shared" si="0"/>
        <v>0</v>
      </c>
      <c r="F40" s="127">
        <f t="shared" si="4"/>
        <v>0</v>
      </c>
      <c r="G40" s="123">
        <f t="shared" si="1"/>
        <v>0</v>
      </c>
      <c r="H40" s="124">
        <f t="shared" si="2"/>
        <v>0</v>
      </c>
      <c r="I40" s="125">
        <v>0</v>
      </c>
      <c r="J40" s="129">
        <f t="shared" si="3"/>
        <v>0</v>
      </c>
    </row>
    <row r="41" spans="1:10">
      <c r="A41" s="122">
        <v>34</v>
      </c>
      <c r="B41" s="126"/>
      <c r="C41" s="126"/>
      <c r="D41" s="123">
        <v>0</v>
      </c>
      <c r="E41" s="128">
        <f t="shared" si="0"/>
        <v>0</v>
      </c>
      <c r="F41" s="127">
        <f t="shared" si="4"/>
        <v>0</v>
      </c>
      <c r="G41" s="123">
        <f t="shared" si="1"/>
        <v>0</v>
      </c>
      <c r="H41" s="124">
        <f t="shared" si="2"/>
        <v>0</v>
      </c>
      <c r="I41" s="125">
        <v>0</v>
      </c>
      <c r="J41" s="129">
        <f t="shared" si="3"/>
        <v>0</v>
      </c>
    </row>
    <row r="42" spans="1:10">
      <c r="A42" s="122">
        <v>35</v>
      </c>
      <c r="B42" s="126"/>
      <c r="C42" s="126"/>
      <c r="D42" s="123">
        <v>0</v>
      </c>
      <c r="E42" s="128">
        <f t="shared" si="0"/>
        <v>0</v>
      </c>
      <c r="F42" s="127">
        <f t="shared" si="4"/>
        <v>0</v>
      </c>
      <c r="G42" s="123">
        <f t="shared" si="1"/>
        <v>0</v>
      </c>
      <c r="H42" s="124">
        <f t="shared" si="2"/>
        <v>0</v>
      </c>
      <c r="I42" s="125">
        <v>0</v>
      </c>
      <c r="J42" s="129">
        <f t="shared" si="3"/>
        <v>0</v>
      </c>
    </row>
    <row r="43" spans="1:10">
      <c r="A43" s="122">
        <v>36</v>
      </c>
      <c r="B43" s="126"/>
      <c r="C43" s="126"/>
      <c r="D43" s="123">
        <v>0</v>
      </c>
      <c r="E43" s="128">
        <f t="shared" si="0"/>
        <v>0</v>
      </c>
      <c r="F43" s="127">
        <f t="shared" si="4"/>
        <v>0</v>
      </c>
      <c r="G43" s="123">
        <f t="shared" si="1"/>
        <v>0</v>
      </c>
      <c r="H43" s="124">
        <f t="shared" si="2"/>
        <v>0</v>
      </c>
      <c r="I43" s="125">
        <v>0</v>
      </c>
      <c r="J43" s="129">
        <f t="shared" si="3"/>
        <v>0</v>
      </c>
    </row>
    <row r="44" spans="1:10">
      <c r="A44" s="122">
        <v>37</v>
      </c>
      <c r="B44" s="126"/>
      <c r="C44" s="126"/>
      <c r="D44" s="123">
        <v>0</v>
      </c>
      <c r="E44" s="128">
        <f t="shared" si="0"/>
        <v>0</v>
      </c>
      <c r="F44" s="127">
        <f t="shared" si="4"/>
        <v>0</v>
      </c>
      <c r="G44" s="123">
        <f t="shared" si="1"/>
        <v>0</v>
      </c>
      <c r="H44" s="124">
        <f t="shared" si="2"/>
        <v>0</v>
      </c>
      <c r="I44" s="125">
        <v>0</v>
      </c>
      <c r="J44" s="129">
        <f t="shared" si="3"/>
        <v>0</v>
      </c>
    </row>
    <row r="45" spans="1:10">
      <c r="A45" s="122">
        <v>38</v>
      </c>
      <c r="B45" s="126"/>
      <c r="C45" s="126"/>
      <c r="D45" s="123">
        <v>0</v>
      </c>
      <c r="E45" s="128">
        <f t="shared" si="0"/>
        <v>0</v>
      </c>
      <c r="F45" s="127">
        <f t="shared" si="4"/>
        <v>0</v>
      </c>
      <c r="G45" s="123">
        <f t="shared" si="1"/>
        <v>0</v>
      </c>
      <c r="H45" s="124">
        <f t="shared" si="2"/>
        <v>0</v>
      </c>
      <c r="I45" s="125">
        <v>0</v>
      </c>
      <c r="J45" s="129">
        <f t="shared" si="3"/>
        <v>0</v>
      </c>
    </row>
    <row r="46" spans="1:10">
      <c r="A46" s="122">
        <v>39</v>
      </c>
      <c r="B46" s="126"/>
      <c r="C46" s="126"/>
      <c r="D46" s="123">
        <v>0</v>
      </c>
      <c r="E46" s="128">
        <f t="shared" si="0"/>
        <v>0</v>
      </c>
      <c r="F46" s="127">
        <f t="shared" si="4"/>
        <v>0</v>
      </c>
      <c r="G46" s="123">
        <f t="shared" si="1"/>
        <v>0</v>
      </c>
      <c r="H46" s="124">
        <f t="shared" si="2"/>
        <v>0</v>
      </c>
      <c r="I46" s="125">
        <v>0</v>
      </c>
      <c r="J46" s="129">
        <f t="shared" si="3"/>
        <v>0</v>
      </c>
    </row>
    <row r="47" spans="1:10">
      <c r="A47" s="122">
        <v>40</v>
      </c>
      <c r="B47" s="126"/>
      <c r="C47" s="126"/>
      <c r="D47" s="123">
        <v>0</v>
      </c>
      <c r="E47" s="128">
        <f t="shared" si="0"/>
        <v>0</v>
      </c>
      <c r="F47" s="127">
        <f t="shared" si="4"/>
        <v>0</v>
      </c>
      <c r="G47" s="123">
        <f t="shared" si="1"/>
        <v>0</v>
      </c>
      <c r="H47" s="124">
        <f t="shared" si="2"/>
        <v>0</v>
      </c>
      <c r="I47" s="125">
        <v>0</v>
      </c>
      <c r="J47" s="129">
        <f t="shared" si="3"/>
        <v>0</v>
      </c>
    </row>
    <row r="48" spans="1:10">
      <c r="A48" s="122">
        <v>41</v>
      </c>
      <c r="B48" s="126"/>
      <c r="C48" s="126"/>
      <c r="D48" s="123">
        <v>0</v>
      </c>
      <c r="E48" s="128">
        <f t="shared" si="0"/>
        <v>0</v>
      </c>
      <c r="F48" s="127">
        <f t="shared" si="4"/>
        <v>0</v>
      </c>
      <c r="G48" s="123">
        <f t="shared" si="1"/>
        <v>0</v>
      </c>
      <c r="H48" s="124">
        <f t="shared" si="2"/>
        <v>0</v>
      </c>
      <c r="I48" s="125">
        <v>0</v>
      </c>
      <c r="J48" s="129">
        <f t="shared" si="3"/>
        <v>0</v>
      </c>
    </row>
    <row r="49" spans="1:10">
      <c r="A49" s="122">
        <v>42</v>
      </c>
      <c r="B49" s="126"/>
      <c r="C49" s="126"/>
      <c r="D49" s="123">
        <v>0</v>
      </c>
      <c r="E49" s="128">
        <f t="shared" si="0"/>
        <v>0</v>
      </c>
      <c r="F49" s="127">
        <f t="shared" si="4"/>
        <v>0</v>
      </c>
      <c r="G49" s="123">
        <f t="shared" si="1"/>
        <v>0</v>
      </c>
      <c r="H49" s="124">
        <f t="shared" si="2"/>
        <v>0</v>
      </c>
      <c r="I49" s="125">
        <v>0</v>
      </c>
      <c r="J49" s="129">
        <f t="shared" si="3"/>
        <v>0</v>
      </c>
    </row>
    <row r="50" spans="1:10">
      <c r="A50" s="122">
        <v>43</v>
      </c>
      <c r="B50" s="126"/>
      <c r="C50" s="126"/>
      <c r="D50" s="123">
        <v>0</v>
      </c>
      <c r="E50" s="128">
        <f t="shared" si="0"/>
        <v>0</v>
      </c>
      <c r="F50" s="127">
        <f t="shared" si="4"/>
        <v>0</v>
      </c>
      <c r="G50" s="123">
        <f t="shared" si="1"/>
        <v>0</v>
      </c>
      <c r="H50" s="124">
        <f t="shared" si="2"/>
        <v>0</v>
      </c>
      <c r="I50" s="125">
        <v>0</v>
      </c>
      <c r="J50" s="129">
        <f t="shared" si="3"/>
        <v>0</v>
      </c>
    </row>
    <row r="51" spans="1:10">
      <c r="A51" s="122">
        <v>44</v>
      </c>
      <c r="B51" s="126"/>
      <c r="C51" s="126"/>
      <c r="D51" s="123">
        <v>0</v>
      </c>
      <c r="E51" s="128">
        <f t="shared" si="0"/>
        <v>0</v>
      </c>
      <c r="F51" s="127">
        <f t="shared" si="4"/>
        <v>0</v>
      </c>
      <c r="G51" s="123">
        <f t="shared" si="1"/>
        <v>0</v>
      </c>
      <c r="H51" s="124">
        <f t="shared" si="2"/>
        <v>0</v>
      </c>
      <c r="I51" s="125">
        <v>0</v>
      </c>
      <c r="J51" s="129">
        <f t="shared" si="3"/>
        <v>0</v>
      </c>
    </row>
    <row r="52" spans="1:10">
      <c r="A52" s="122">
        <v>45</v>
      </c>
      <c r="B52" s="126"/>
      <c r="C52" s="126"/>
      <c r="D52" s="123">
        <v>0</v>
      </c>
      <c r="E52" s="128">
        <f t="shared" si="0"/>
        <v>0</v>
      </c>
      <c r="F52" s="127">
        <f t="shared" si="4"/>
        <v>0</v>
      </c>
      <c r="G52" s="123">
        <f t="shared" si="1"/>
        <v>0</v>
      </c>
      <c r="H52" s="124">
        <f t="shared" si="2"/>
        <v>0</v>
      </c>
      <c r="I52" s="125">
        <v>0</v>
      </c>
      <c r="J52" s="129">
        <f t="shared" si="3"/>
        <v>0</v>
      </c>
    </row>
    <row r="53" spans="1:10">
      <c r="A53" s="122">
        <v>46</v>
      </c>
      <c r="B53" s="126"/>
      <c r="C53" s="126"/>
      <c r="D53" s="123">
        <v>0</v>
      </c>
      <c r="E53" s="128">
        <f t="shared" si="0"/>
        <v>0</v>
      </c>
      <c r="F53" s="127">
        <f t="shared" si="4"/>
        <v>0</v>
      </c>
      <c r="G53" s="123">
        <f t="shared" si="1"/>
        <v>0</v>
      </c>
      <c r="H53" s="124">
        <f t="shared" si="2"/>
        <v>0</v>
      </c>
      <c r="I53" s="125">
        <v>0</v>
      </c>
      <c r="J53" s="129">
        <f t="shared" si="3"/>
        <v>0</v>
      </c>
    </row>
    <row r="54" spans="1:10">
      <c r="A54" s="122">
        <v>47</v>
      </c>
      <c r="B54" s="126"/>
      <c r="C54" s="126"/>
      <c r="D54" s="123">
        <v>0</v>
      </c>
      <c r="E54" s="128">
        <f t="shared" si="0"/>
        <v>0</v>
      </c>
      <c r="F54" s="127">
        <f t="shared" si="4"/>
        <v>0</v>
      </c>
      <c r="G54" s="123">
        <f t="shared" si="1"/>
        <v>0</v>
      </c>
      <c r="H54" s="124">
        <f t="shared" si="2"/>
        <v>0</v>
      </c>
      <c r="I54" s="125">
        <v>0</v>
      </c>
      <c r="J54" s="129">
        <f t="shared" si="3"/>
        <v>0</v>
      </c>
    </row>
    <row r="55" spans="1:10">
      <c r="A55" s="122">
        <v>48</v>
      </c>
      <c r="B55" s="126"/>
      <c r="C55" s="126"/>
      <c r="D55" s="123">
        <v>0</v>
      </c>
      <c r="E55" s="128">
        <f t="shared" si="0"/>
        <v>0</v>
      </c>
      <c r="F55" s="127">
        <f t="shared" si="4"/>
        <v>0</v>
      </c>
      <c r="G55" s="123">
        <f t="shared" si="1"/>
        <v>0</v>
      </c>
      <c r="H55" s="124">
        <f t="shared" si="2"/>
        <v>0</v>
      </c>
      <c r="I55" s="125">
        <v>0</v>
      </c>
      <c r="J55" s="129">
        <f t="shared" si="3"/>
        <v>0</v>
      </c>
    </row>
    <row r="56" spans="1:10">
      <c r="A56" s="122">
        <v>49</v>
      </c>
      <c r="B56" s="126"/>
      <c r="C56" s="126"/>
      <c r="D56" s="123">
        <v>0</v>
      </c>
      <c r="E56" s="128">
        <f t="shared" si="0"/>
        <v>0</v>
      </c>
      <c r="F56" s="127">
        <f t="shared" si="4"/>
        <v>0</v>
      </c>
      <c r="G56" s="123">
        <f t="shared" si="1"/>
        <v>0</v>
      </c>
      <c r="H56" s="124">
        <f t="shared" si="2"/>
        <v>0</v>
      </c>
      <c r="I56" s="125">
        <v>0</v>
      </c>
      <c r="J56" s="129">
        <f t="shared" si="3"/>
        <v>0</v>
      </c>
    </row>
    <row r="57" spans="1:10">
      <c r="A57" s="122">
        <v>50</v>
      </c>
      <c r="B57" s="126"/>
      <c r="C57" s="126"/>
      <c r="D57" s="123">
        <v>0</v>
      </c>
      <c r="E57" s="128">
        <f t="shared" si="0"/>
        <v>0</v>
      </c>
      <c r="F57" s="127">
        <f t="shared" si="4"/>
        <v>0</v>
      </c>
      <c r="G57" s="123">
        <f t="shared" si="1"/>
        <v>0</v>
      </c>
      <c r="H57" s="124">
        <f t="shared" si="2"/>
        <v>0</v>
      </c>
      <c r="I57" s="125">
        <v>0</v>
      </c>
      <c r="J57" s="129">
        <f t="shared" si="3"/>
        <v>0</v>
      </c>
    </row>
    <row r="58" spans="1:10">
      <c r="A58" s="122">
        <v>51</v>
      </c>
      <c r="B58" s="126"/>
      <c r="C58" s="126"/>
      <c r="D58" s="123">
        <v>0</v>
      </c>
      <c r="E58" s="128">
        <f t="shared" si="0"/>
        <v>0</v>
      </c>
      <c r="F58" s="127">
        <f t="shared" si="4"/>
        <v>0</v>
      </c>
      <c r="G58" s="123">
        <f t="shared" si="1"/>
        <v>0</v>
      </c>
      <c r="H58" s="124">
        <f t="shared" si="2"/>
        <v>0</v>
      </c>
      <c r="I58" s="125">
        <v>0</v>
      </c>
      <c r="J58" s="129">
        <f t="shared" si="3"/>
        <v>0</v>
      </c>
    </row>
    <row r="59" spans="1:10">
      <c r="A59" s="122">
        <v>52</v>
      </c>
      <c r="B59" s="126"/>
      <c r="C59" s="126"/>
      <c r="D59" s="123">
        <v>0</v>
      </c>
      <c r="E59" s="128">
        <f t="shared" si="0"/>
        <v>0</v>
      </c>
      <c r="F59" s="127">
        <f t="shared" si="4"/>
        <v>0</v>
      </c>
      <c r="G59" s="123">
        <f t="shared" si="1"/>
        <v>0</v>
      </c>
      <c r="H59" s="124">
        <f t="shared" si="2"/>
        <v>0</v>
      </c>
      <c r="I59" s="125">
        <v>0</v>
      </c>
      <c r="J59" s="129">
        <f t="shared" si="3"/>
        <v>0</v>
      </c>
    </row>
    <row r="60" spans="1:10">
      <c r="A60" s="122">
        <v>53</v>
      </c>
      <c r="B60" s="126"/>
      <c r="C60" s="126"/>
      <c r="D60" s="123">
        <v>0</v>
      </c>
      <c r="E60" s="128">
        <f t="shared" si="0"/>
        <v>0</v>
      </c>
      <c r="F60" s="127">
        <f t="shared" si="4"/>
        <v>0</v>
      </c>
      <c r="G60" s="123">
        <f t="shared" si="1"/>
        <v>0</v>
      </c>
      <c r="H60" s="124">
        <f t="shared" si="2"/>
        <v>0</v>
      </c>
      <c r="I60" s="125">
        <v>0</v>
      </c>
      <c r="J60" s="129">
        <f t="shared" si="3"/>
        <v>0</v>
      </c>
    </row>
    <row r="61" spans="1:10">
      <c r="A61" s="122">
        <v>54</v>
      </c>
      <c r="B61" s="126"/>
      <c r="C61" s="126"/>
      <c r="D61" s="123">
        <v>0</v>
      </c>
      <c r="E61" s="128">
        <f t="shared" si="0"/>
        <v>0</v>
      </c>
      <c r="F61" s="127">
        <f t="shared" si="4"/>
        <v>0</v>
      </c>
      <c r="G61" s="123">
        <f t="shared" si="1"/>
        <v>0</v>
      </c>
      <c r="H61" s="124">
        <f t="shared" si="2"/>
        <v>0</v>
      </c>
      <c r="I61" s="125">
        <v>0</v>
      </c>
      <c r="J61" s="129">
        <f t="shared" si="3"/>
        <v>0</v>
      </c>
    </row>
    <row r="62" spans="1:10">
      <c r="A62" s="122">
        <v>55</v>
      </c>
      <c r="B62" s="126"/>
      <c r="C62" s="126"/>
      <c r="D62" s="123">
        <v>0</v>
      </c>
      <c r="E62" s="128">
        <f t="shared" si="0"/>
        <v>0</v>
      </c>
      <c r="F62" s="127">
        <f t="shared" si="4"/>
        <v>0</v>
      </c>
      <c r="G62" s="123">
        <f t="shared" si="1"/>
        <v>0</v>
      </c>
      <c r="H62" s="124">
        <f t="shared" si="2"/>
        <v>0</v>
      </c>
      <c r="I62" s="125">
        <v>0</v>
      </c>
      <c r="J62" s="129">
        <f t="shared" si="3"/>
        <v>0</v>
      </c>
    </row>
    <row r="63" spans="1:10">
      <c r="A63" s="122">
        <v>56</v>
      </c>
      <c r="B63" s="126"/>
      <c r="C63" s="126"/>
      <c r="D63" s="123">
        <v>0</v>
      </c>
      <c r="E63" s="128">
        <f t="shared" si="0"/>
        <v>0</v>
      </c>
      <c r="F63" s="127">
        <f t="shared" si="4"/>
        <v>0</v>
      </c>
      <c r="G63" s="123">
        <f t="shared" si="1"/>
        <v>0</v>
      </c>
      <c r="H63" s="124">
        <f t="shared" si="2"/>
        <v>0</v>
      </c>
      <c r="I63" s="125">
        <v>0</v>
      </c>
      <c r="J63" s="129">
        <f t="shared" si="3"/>
        <v>0</v>
      </c>
    </row>
    <row r="64" spans="1:10">
      <c r="A64" s="122">
        <v>57</v>
      </c>
      <c r="B64" s="126"/>
      <c r="C64" s="126"/>
      <c r="D64" s="123">
        <v>0</v>
      </c>
      <c r="E64" s="128">
        <f t="shared" si="0"/>
        <v>0</v>
      </c>
      <c r="F64" s="127">
        <f t="shared" si="4"/>
        <v>0</v>
      </c>
      <c r="G64" s="123">
        <f t="shared" si="1"/>
        <v>0</v>
      </c>
      <c r="H64" s="124">
        <f t="shared" si="2"/>
        <v>0</v>
      </c>
      <c r="I64" s="125">
        <v>0</v>
      </c>
      <c r="J64" s="129">
        <f t="shared" si="3"/>
        <v>0</v>
      </c>
    </row>
    <row r="65" spans="1:10">
      <c r="A65" s="122">
        <v>58</v>
      </c>
      <c r="B65" s="126"/>
      <c r="C65" s="126"/>
      <c r="D65" s="123">
        <v>0</v>
      </c>
      <c r="E65" s="128">
        <f t="shared" si="0"/>
        <v>0</v>
      </c>
      <c r="F65" s="127">
        <f t="shared" si="4"/>
        <v>0</v>
      </c>
      <c r="G65" s="123">
        <f t="shared" si="1"/>
        <v>0</v>
      </c>
      <c r="H65" s="124">
        <f t="shared" si="2"/>
        <v>0</v>
      </c>
      <c r="I65" s="125">
        <v>0</v>
      </c>
      <c r="J65" s="129">
        <f t="shared" si="3"/>
        <v>0</v>
      </c>
    </row>
    <row r="66" spans="1:10">
      <c r="A66" s="122">
        <v>59</v>
      </c>
      <c r="B66" s="126"/>
      <c r="C66" s="126"/>
      <c r="D66" s="123">
        <v>0</v>
      </c>
      <c r="E66" s="128">
        <f t="shared" si="0"/>
        <v>0</v>
      </c>
      <c r="F66" s="127">
        <f t="shared" si="4"/>
        <v>0</v>
      </c>
      <c r="G66" s="123">
        <f t="shared" si="1"/>
        <v>0</v>
      </c>
      <c r="H66" s="124">
        <f t="shared" si="2"/>
        <v>0</v>
      </c>
      <c r="I66" s="125">
        <v>0</v>
      </c>
      <c r="J66" s="129">
        <f t="shared" si="3"/>
        <v>0</v>
      </c>
    </row>
    <row r="67" spans="1:10">
      <c r="A67" s="122">
        <v>60</v>
      </c>
      <c r="B67" s="126"/>
      <c r="C67" s="126"/>
      <c r="D67" s="123">
        <v>0</v>
      </c>
      <c r="E67" s="128">
        <f t="shared" si="0"/>
        <v>0</v>
      </c>
      <c r="F67" s="127">
        <f t="shared" si="4"/>
        <v>0</v>
      </c>
      <c r="G67" s="123">
        <f t="shared" si="1"/>
        <v>0</v>
      </c>
      <c r="H67" s="124">
        <f t="shared" si="2"/>
        <v>0</v>
      </c>
      <c r="I67" s="125">
        <v>0</v>
      </c>
      <c r="J67" s="129">
        <f t="shared" si="3"/>
        <v>0</v>
      </c>
    </row>
    <row r="68" spans="1:10">
      <c r="A68" s="122">
        <v>61</v>
      </c>
      <c r="B68" s="126"/>
      <c r="C68" s="126"/>
      <c r="D68" s="123">
        <v>0</v>
      </c>
      <c r="E68" s="128">
        <f t="shared" si="0"/>
        <v>0</v>
      </c>
      <c r="F68" s="127">
        <f t="shared" si="4"/>
        <v>0</v>
      </c>
      <c r="G68" s="123">
        <f t="shared" si="1"/>
        <v>0</v>
      </c>
      <c r="H68" s="124">
        <f t="shared" si="2"/>
        <v>0</v>
      </c>
      <c r="I68" s="125">
        <v>0</v>
      </c>
      <c r="J68" s="129">
        <f t="shared" si="3"/>
        <v>0</v>
      </c>
    </row>
    <row r="69" spans="1:10">
      <c r="A69" s="122">
        <v>62</v>
      </c>
      <c r="B69" s="126"/>
      <c r="C69" s="126"/>
      <c r="D69" s="123">
        <v>0</v>
      </c>
      <c r="E69" s="128">
        <f t="shared" si="0"/>
        <v>0</v>
      </c>
      <c r="F69" s="127">
        <f t="shared" si="4"/>
        <v>0</v>
      </c>
      <c r="G69" s="123">
        <f t="shared" si="1"/>
        <v>0</v>
      </c>
      <c r="H69" s="124">
        <f t="shared" si="2"/>
        <v>0</v>
      </c>
      <c r="I69" s="125">
        <v>0</v>
      </c>
      <c r="J69" s="129">
        <f t="shared" si="3"/>
        <v>0</v>
      </c>
    </row>
    <row r="70" spans="1:10">
      <c r="A70" s="122">
        <v>63</v>
      </c>
      <c r="B70" s="126"/>
      <c r="C70" s="126"/>
      <c r="D70" s="123">
        <v>0</v>
      </c>
      <c r="E70" s="128">
        <f t="shared" si="0"/>
        <v>0</v>
      </c>
      <c r="F70" s="127">
        <f t="shared" si="4"/>
        <v>0</v>
      </c>
      <c r="G70" s="123">
        <f t="shared" si="1"/>
        <v>0</v>
      </c>
      <c r="H70" s="124">
        <f t="shared" si="2"/>
        <v>0</v>
      </c>
      <c r="I70" s="125">
        <v>0</v>
      </c>
      <c r="J70" s="129">
        <f t="shared" si="3"/>
        <v>0</v>
      </c>
    </row>
    <row r="71" spans="1:10">
      <c r="A71" s="122">
        <v>64</v>
      </c>
      <c r="B71" s="126"/>
      <c r="C71" s="126"/>
      <c r="D71" s="123">
        <v>0</v>
      </c>
      <c r="E71" s="128">
        <f t="shared" si="0"/>
        <v>0</v>
      </c>
      <c r="F71" s="127">
        <f t="shared" si="4"/>
        <v>0</v>
      </c>
      <c r="G71" s="123">
        <f t="shared" si="1"/>
        <v>0</v>
      </c>
      <c r="H71" s="124">
        <f t="shared" si="2"/>
        <v>0</v>
      </c>
      <c r="I71" s="125">
        <v>0</v>
      </c>
      <c r="J71" s="129">
        <f t="shared" si="3"/>
        <v>0</v>
      </c>
    </row>
    <row r="72" spans="1:10">
      <c r="A72" s="122">
        <v>65</v>
      </c>
      <c r="B72" s="126"/>
      <c r="C72" s="126"/>
      <c r="D72" s="123">
        <v>0</v>
      </c>
      <c r="E72" s="128">
        <f t="shared" ref="E72:E135" si="5">IF(D72&lt;=300000,0,IF(D72&gt;=20000000,(D72*0.21),(D72*0.2)+200000))</f>
        <v>0</v>
      </c>
      <c r="F72" s="127">
        <f t="shared" si="4"/>
        <v>0</v>
      </c>
      <c r="G72" s="123">
        <f t="shared" ref="G72:G135" si="6">IF(E72=0,(D72*0.01),IF(F72&lt;=0,0.01*D72,IF(AND(F72&gt;0,F72&lt;=300000),F72*7%,IF(AND(F72&gt;=300000,F72&lt;600000),21000+(F72-300000)*11%,IF(AND(F72&gt;=600000,F72&lt;1100000),54000+(F72-600000)*15%,IF(AND(F72&gt;=1100000,F72&lt;1600000),129000+(F72-1100000)*19%,IF(AND(F72&gt;=1600000,F72&lt;3200000),224000+(F72-1600000)*21%,560000+(F72-3200000)*24%)))))))</f>
        <v>0</v>
      </c>
      <c r="H72" s="124">
        <f t="shared" ref="H72:H135" si="7">G72/12</f>
        <v>0</v>
      </c>
      <c r="I72" s="125">
        <v>0</v>
      </c>
      <c r="J72" s="129">
        <f t="shared" ref="J72:J135" si="8">+H72*I72</f>
        <v>0</v>
      </c>
    </row>
    <row r="73" spans="1:10">
      <c r="A73" s="122">
        <v>66</v>
      </c>
      <c r="B73" s="126"/>
      <c r="C73" s="126"/>
      <c r="D73" s="123">
        <v>0</v>
      </c>
      <c r="E73" s="128">
        <f t="shared" si="5"/>
        <v>0</v>
      </c>
      <c r="F73" s="127">
        <f t="shared" ref="F73:F136" si="9">+D73-E73</f>
        <v>0</v>
      </c>
      <c r="G73" s="123">
        <f t="shared" si="6"/>
        <v>0</v>
      </c>
      <c r="H73" s="124">
        <f t="shared" si="7"/>
        <v>0</v>
      </c>
      <c r="I73" s="125">
        <v>0</v>
      </c>
      <c r="J73" s="129">
        <f t="shared" si="8"/>
        <v>0</v>
      </c>
    </row>
    <row r="74" spans="1:10">
      <c r="A74" s="122">
        <v>67</v>
      </c>
      <c r="B74" s="126"/>
      <c r="C74" s="126"/>
      <c r="D74" s="123">
        <v>0</v>
      </c>
      <c r="E74" s="128">
        <f t="shared" si="5"/>
        <v>0</v>
      </c>
      <c r="F74" s="127">
        <f t="shared" si="9"/>
        <v>0</v>
      </c>
      <c r="G74" s="123">
        <f t="shared" si="6"/>
        <v>0</v>
      </c>
      <c r="H74" s="124">
        <f t="shared" si="7"/>
        <v>0</v>
      </c>
      <c r="I74" s="125">
        <v>0</v>
      </c>
      <c r="J74" s="129">
        <f t="shared" si="8"/>
        <v>0</v>
      </c>
    </row>
    <row r="75" spans="1:10">
      <c r="A75" s="122">
        <v>68</v>
      </c>
      <c r="B75" s="126"/>
      <c r="C75" s="126"/>
      <c r="D75" s="123">
        <v>0</v>
      </c>
      <c r="E75" s="128">
        <f t="shared" si="5"/>
        <v>0</v>
      </c>
      <c r="F75" s="127">
        <f t="shared" si="9"/>
        <v>0</v>
      </c>
      <c r="G75" s="123">
        <f t="shared" si="6"/>
        <v>0</v>
      </c>
      <c r="H75" s="124">
        <f t="shared" si="7"/>
        <v>0</v>
      </c>
      <c r="I75" s="125">
        <v>0</v>
      </c>
      <c r="J75" s="129">
        <f t="shared" si="8"/>
        <v>0</v>
      </c>
    </row>
    <row r="76" spans="1:10">
      <c r="A76" s="122">
        <v>69</v>
      </c>
      <c r="B76" s="126"/>
      <c r="C76" s="126"/>
      <c r="D76" s="123">
        <v>0</v>
      </c>
      <c r="E76" s="128">
        <f t="shared" si="5"/>
        <v>0</v>
      </c>
      <c r="F76" s="127">
        <f t="shared" si="9"/>
        <v>0</v>
      </c>
      <c r="G76" s="123">
        <f t="shared" si="6"/>
        <v>0</v>
      </c>
      <c r="H76" s="124">
        <f t="shared" si="7"/>
        <v>0</v>
      </c>
      <c r="I76" s="125">
        <v>0</v>
      </c>
      <c r="J76" s="129">
        <f t="shared" si="8"/>
        <v>0</v>
      </c>
    </row>
    <row r="77" spans="1:10">
      <c r="A77" s="122">
        <v>70</v>
      </c>
      <c r="B77" s="126"/>
      <c r="C77" s="126"/>
      <c r="D77" s="123">
        <v>0</v>
      </c>
      <c r="E77" s="128">
        <f t="shared" si="5"/>
        <v>0</v>
      </c>
      <c r="F77" s="127">
        <f t="shared" si="9"/>
        <v>0</v>
      </c>
      <c r="G77" s="123">
        <f t="shared" si="6"/>
        <v>0</v>
      </c>
      <c r="H77" s="124">
        <f t="shared" si="7"/>
        <v>0</v>
      </c>
      <c r="I77" s="125">
        <v>0</v>
      </c>
      <c r="J77" s="129">
        <f t="shared" si="8"/>
        <v>0</v>
      </c>
    </row>
    <row r="78" spans="1:10">
      <c r="A78" s="122">
        <v>71</v>
      </c>
      <c r="B78" s="126"/>
      <c r="C78" s="126"/>
      <c r="D78" s="123">
        <v>0</v>
      </c>
      <c r="E78" s="128">
        <f t="shared" si="5"/>
        <v>0</v>
      </c>
      <c r="F78" s="127">
        <f t="shared" si="9"/>
        <v>0</v>
      </c>
      <c r="G78" s="123">
        <f t="shared" si="6"/>
        <v>0</v>
      </c>
      <c r="H78" s="124">
        <f t="shared" si="7"/>
        <v>0</v>
      </c>
      <c r="I78" s="125">
        <v>0</v>
      </c>
      <c r="J78" s="129">
        <f t="shared" si="8"/>
        <v>0</v>
      </c>
    </row>
    <row r="79" spans="1:10">
      <c r="A79" s="122">
        <v>72</v>
      </c>
      <c r="B79" s="126"/>
      <c r="C79" s="126"/>
      <c r="D79" s="123">
        <v>0</v>
      </c>
      <c r="E79" s="128">
        <f t="shared" si="5"/>
        <v>0</v>
      </c>
      <c r="F79" s="127">
        <f t="shared" si="9"/>
        <v>0</v>
      </c>
      <c r="G79" s="123">
        <f t="shared" si="6"/>
        <v>0</v>
      </c>
      <c r="H79" s="124">
        <f t="shared" si="7"/>
        <v>0</v>
      </c>
      <c r="I79" s="125">
        <v>0</v>
      </c>
      <c r="J79" s="129">
        <f t="shared" si="8"/>
        <v>0</v>
      </c>
    </row>
    <row r="80" spans="1:10">
      <c r="A80" s="122">
        <v>73</v>
      </c>
      <c r="B80" s="126"/>
      <c r="C80" s="126"/>
      <c r="D80" s="123">
        <v>0</v>
      </c>
      <c r="E80" s="128">
        <f t="shared" si="5"/>
        <v>0</v>
      </c>
      <c r="F80" s="127">
        <f t="shared" si="9"/>
        <v>0</v>
      </c>
      <c r="G80" s="123">
        <f t="shared" si="6"/>
        <v>0</v>
      </c>
      <c r="H80" s="124">
        <f t="shared" si="7"/>
        <v>0</v>
      </c>
      <c r="I80" s="125">
        <v>0</v>
      </c>
      <c r="J80" s="129">
        <f t="shared" si="8"/>
        <v>0</v>
      </c>
    </row>
    <row r="81" spans="1:10">
      <c r="A81" s="122">
        <v>74</v>
      </c>
      <c r="B81" s="126"/>
      <c r="C81" s="126"/>
      <c r="D81" s="123">
        <v>0</v>
      </c>
      <c r="E81" s="128">
        <f t="shared" si="5"/>
        <v>0</v>
      </c>
      <c r="F81" s="127">
        <f t="shared" si="9"/>
        <v>0</v>
      </c>
      <c r="G81" s="123">
        <f t="shared" si="6"/>
        <v>0</v>
      </c>
      <c r="H81" s="124">
        <f t="shared" si="7"/>
        <v>0</v>
      </c>
      <c r="I81" s="125">
        <v>0</v>
      </c>
      <c r="J81" s="129">
        <f t="shared" si="8"/>
        <v>0</v>
      </c>
    </row>
    <row r="82" spans="1:10">
      <c r="A82" s="122">
        <v>75</v>
      </c>
      <c r="D82" s="130">
        <v>0</v>
      </c>
      <c r="E82" s="131">
        <f t="shared" si="5"/>
        <v>0</v>
      </c>
      <c r="F82" s="127">
        <f t="shared" si="9"/>
        <v>0</v>
      </c>
      <c r="G82" s="130">
        <f t="shared" si="6"/>
        <v>0</v>
      </c>
      <c r="H82" s="133">
        <f t="shared" si="7"/>
        <v>0</v>
      </c>
      <c r="I82" s="134">
        <v>0</v>
      </c>
      <c r="J82" s="129">
        <f t="shared" si="8"/>
        <v>0</v>
      </c>
    </row>
    <row r="83" spans="1:10">
      <c r="A83" s="122">
        <v>76</v>
      </c>
      <c r="D83" s="130">
        <v>0</v>
      </c>
      <c r="E83" s="131">
        <f t="shared" si="5"/>
        <v>0</v>
      </c>
      <c r="F83" s="127">
        <f t="shared" si="9"/>
        <v>0</v>
      </c>
      <c r="G83" s="130">
        <f t="shared" si="6"/>
        <v>0</v>
      </c>
      <c r="H83" s="133">
        <f t="shared" si="7"/>
        <v>0</v>
      </c>
      <c r="I83" s="134">
        <v>0</v>
      </c>
      <c r="J83" s="129">
        <f t="shared" si="8"/>
        <v>0</v>
      </c>
    </row>
    <row r="84" spans="1:10">
      <c r="A84" s="122">
        <v>77</v>
      </c>
      <c r="D84" s="130">
        <v>0</v>
      </c>
      <c r="E84" s="131">
        <f t="shared" si="5"/>
        <v>0</v>
      </c>
      <c r="F84" s="127">
        <f t="shared" si="9"/>
        <v>0</v>
      </c>
      <c r="G84" s="130">
        <f t="shared" si="6"/>
        <v>0</v>
      </c>
      <c r="H84" s="133">
        <f t="shared" si="7"/>
        <v>0</v>
      </c>
      <c r="I84" s="134">
        <v>0</v>
      </c>
      <c r="J84" s="129">
        <f t="shared" si="8"/>
        <v>0</v>
      </c>
    </row>
    <row r="85" spans="1:10">
      <c r="A85" s="122">
        <v>78</v>
      </c>
      <c r="D85" s="130">
        <v>0</v>
      </c>
      <c r="E85" s="131">
        <f t="shared" si="5"/>
        <v>0</v>
      </c>
      <c r="F85" s="127">
        <f t="shared" si="9"/>
        <v>0</v>
      </c>
      <c r="G85" s="130">
        <f t="shared" si="6"/>
        <v>0</v>
      </c>
      <c r="H85" s="133">
        <f t="shared" si="7"/>
        <v>0</v>
      </c>
      <c r="I85" s="134">
        <v>0</v>
      </c>
      <c r="J85" s="129">
        <f t="shared" si="8"/>
        <v>0</v>
      </c>
    </row>
    <row r="86" spans="1:10">
      <c r="A86" s="122">
        <v>79</v>
      </c>
      <c r="D86" s="130">
        <v>0</v>
      </c>
      <c r="E86" s="131">
        <f t="shared" si="5"/>
        <v>0</v>
      </c>
      <c r="F86" s="127">
        <f t="shared" si="9"/>
        <v>0</v>
      </c>
      <c r="G86" s="130">
        <f t="shared" si="6"/>
        <v>0</v>
      </c>
      <c r="H86" s="133">
        <f t="shared" si="7"/>
        <v>0</v>
      </c>
      <c r="I86" s="134">
        <v>0</v>
      </c>
      <c r="J86" s="129">
        <f t="shared" si="8"/>
        <v>0</v>
      </c>
    </row>
    <row r="87" spans="1:10">
      <c r="A87" s="122">
        <v>80</v>
      </c>
      <c r="D87" s="130">
        <v>0</v>
      </c>
      <c r="E87" s="131">
        <f t="shared" si="5"/>
        <v>0</v>
      </c>
      <c r="F87" s="127">
        <f t="shared" si="9"/>
        <v>0</v>
      </c>
      <c r="G87" s="130">
        <f t="shared" si="6"/>
        <v>0</v>
      </c>
      <c r="H87" s="133">
        <f t="shared" si="7"/>
        <v>0</v>
      </c>
      <c r="I87" s="134">
        <v>0</v>
      </c>
      <c r="J87" s="129">
        <f t="shared" si="8"/>
        <v>0</v>
      </c>
    </row>
    <row r="88" spans="1:10">
      <c r="A88" s="122">
        <v>81</v>
      </c>
      <c r="D88" s="130">
        <v>0</v>
      </c>
      <c r="E88" s="131">
        <f t="shared" si="5"/>
        <v>0</v>
      </c>
      <c r="F88" s="127">
        <f t="shared" si="9"/>
        <v>0</v>
      </c>
      <c r="G88" s="130">
        <f t="shared" si="6"/>
        <v>0</v>
      </c>
      <c r="H88" s="133">
        <f t="shared" si="7"/>
        <v>0</v>
      </c>
      <c r="I88" s="134">
        <v>0</v>
      </c>
      <c r="J88" s="129">
        <f t="shared" si="8"/>
        <v>0</v>
      </c>
    </row>
    <row r="89" spans="1:10">
      <c r="A89" s="122">
        <v>82</v>
      </c>
      <c r="D89" s="130">
        <v>0</v>
      </c>
      <c r="E89" s="131">
        <f t="shared" si="5"/>
        <v>0</v>
      </c>
      <c r="F89" s="127">
        <f t="shared" si="9"/>
        <v>0</v>
      </c>
      <c r="G89" s="130">
        <f t="shared" si="6"/>
        <v>0</v>
      </c>
      <c r="H89" s="133">
        <f t="shared" si="7"/>
        <v>0</v>
      </c>
      <c r="I89" s="134">
        <v>0</v>
      </c>
      <c r="J89" s="129">
        <f t="shared" si="8"/>
        <v>0</v>
      </c>
    </row>
    <row r="90" spans="1:10">
      <c r="A90" s="122">
        <v>83</v>
      </c>
      <c r="D90" s="130">
        <v>0</v>
      </c>
      <c r="E90" s="131">
        <f t="shared" si="5"/>
        <v>0</v>
      </c>
      <c r="F90" s="127">
        <f t="shared" si="9"/>
        <v>0</v>
      </c>
      <c r="G90" s="130">
        <f t="shared" si="6"/>
        <v>0</v>
      </c>
      <c r="H90" s="133">
        <f t="shared" si="7"/>
        <v>0</v>
      </c>
      <c r="I90" s="134">
        <v>0</v>
      </c>
      <c r="J90" s="129">
        <f t="shared" si="8"/>
        <v>0</v>
      </c>
    </row>
    <row r="91" spans="1:10">
      <c r="A91" s="122">
        <v>84</v>
      </c>
      <c r="D91" s="130">
        <v>0</v>
      </c>
      <c r="E91" s="131">
        <f t="shared" si="5"/>
        <v>0</v>
      </c>
      <c r="F91" s="127">
        <f t="shared" si="9"/>
        <v>0</v>
      </c>
      <c r="G91" s="130">
        <f t="shared" si="6"/>
        <v>0</v>
      </c>
      <c r="H91" s="133">
        <f t="shared" si="7"/>
        <v>0</v>
      </c>
      <c r="I91" s="134">
        <v>0</v>
      </c>
      <c r="J91" s="129">
        <f t="shared" si="8"/>
        <v>0</v>
      </c>
    </row>
    <row r="92" spans="1:10">
      <c r="A92" s="122">
        <v>85</v>
      </c>
      <c r="D92" s="130">
        <v>0</v>
      </c>
      <c r="E92" s="131">
        <f t="shared" si="5"/>
        <v>0</v>
      </c>
      <c r="F92" s="127">
        <f t="shared" si="9"/>
        <v>0</v>
      </c>
      <c r="G92" s="130">
        <f t="shared" si="6"/>
        <v>0</v>
      </c>
      <c r="H92" s="133">
        <f t="shared" si="7"/>
        <v>0</v>
      </c>
      <c r="I92" s="134">
        <v>0</v>
      </c>
      <c r="J92" s="129">
        <f t="shared" si="8"/>
        <v>0</v>
      </c>
    </row>
    <row r="93" spans="1:10">
      <c r="A93" s="122">
        <v>86</v>
      </c>
      <c r="D93" s="130">
        <v>0</v>
      </c>
      <c r="E93" s="131">
        <f t="shared" si="5"/>
        <v>0</v>
      </c>
      <c r="F93" s="127">
        <f t="shared" si="9"/>
        <v>0</v>
      </c>
      <c r="G93" s="130">
        <f t="shared" si="6"/>
        <v>0</v>
      </c>
      <c r="H93" s="133">
        <f t="shared" si="7"/>
        <v>0</v>
      </c>
      <c r="I93" s="134">
        <v>0</v>
      </c>
      <c r="J93" s="129">
        <f t="shared" si="8"/>
        <v>0</v>
      </c>
    </row>
    <row r="94" spans="1:10">
      <c r="A94" s="122">
        <v>87</v>
      </c>
      <c r="D94" s="130">
        <v>0</v>
      </c>
      <c r="E94" s="131">
        <f t="shared" si="5"/>
        <v>0</v>
      </c>
      <c r="F94" s="127">
        <f t="shared" si="9"/>
        <v>0</v>
      </c>
      <c r="G94" s="130">
        <f t="shared" si="6"/>
        <v>0</v>
      </c>
      <c r="H94" s="133">
        <f t="shared" si="7"/>
        <v>0</v>
      </c>
      <c r="I94" s="134">
        <v>0</v>
      </c>
      <c r="J94" s="129">
        <f t="shared" si="8"/>
        <v>0</v>
      </c>
    </row>
    <row r="95" spans="1:10">
      <c r="A95" s="122">
        <v>88</v>
      </c>
      <c r="D95" s="130">
        <v>0</v>
      </c>
      <c r="E95" s="131">
        <f t="shared" si="5"/>
        <v>0</v>
      </c>
      <c r="F95" s="127">
        <f t="shared" si="9"/>
        <v>0</v>
      </c>
      <c r="G95" s="130">
        <f t="shared" si="6"/>
        <v>0</v>
      </c>
      <c r="H95" s="133">
        <f t="shared" si="7"/>
        <v>0</v>
      </c>
      <c r="I95" s="134">
        <v>0</v>
      </c>
      <c r="J95" s="129">
        <f t="shared" si="8"/>
        <v>0</v>
      </c>
    </row>
    <row r="96" spans="1:10">
      <c r="A96" s="122">
        <v>89</v>
      </c>
      <c r="D96" s="130">
        <v>0</v>
      </c>
      <c r="E96" s="131">
        <f t="shared" si="5"/>
        <v>0</v>
      </c>
      <c r="F96" s="127">
        <f t="shared" si="9"/>
        <v>0</v>
      </c>
      <c r="G96" s="130">
        <f t="shared" si="6"/>
        <v>0</v>
      </c>
      <c r="H96" s="133">
        <f t="shared" si="7"/>
        <v>0</v>
      </c>
      <c r="I96" s="134">
        <v>0</v>
      </c>
      <c r="J96" s="129">
        <f t="shared" si="8"/>
        <v>0</v>
      </c>
    </row>
    <row r="97" spans="1:10">
      <c r="A97" s="122">
        <v>90</v>
      </c>
      <c r="D97" s="130">
        <v>0</v>
      </c>
      <c r="E97" s="131">
        <f t="shared" si="5"/>
        <v>0</v>
      </c>
      <c r="F97" s="127">
        <f t="shared" si="9"/>
        <v>0</v>
      </c>
      <c r="G97" s="130">
        <f t="shared" si="6"/>
        <v>0</v>
      </c>
      <c r="H97" s="133">
        <f t="shared" si="7"/>
        <v>0</v>
      </c>
      <c r="I97" s="134">
        <v>0</v>
      </c>
      <c r="J97" s="129">
        <f t="shared" si="8"/>
        <v>0</v>
      </c>
    </row>
    <row r="98" spans="1:10">
      <c r="A98" s="122">
        <v>91</v>
      </c>
      <c r="D98" s="130">
        <v>0</v>
      </c>
      <c r="E98" s="131">
        <f t="shared" si="5"/>
        <v>0</v>
      </c>
      <c r="F98" s="127">
        <f t="shared" si="9"/>
        <v>0</v>
      </c>
      <c r="G98" s="130">
        <f t="shared" si="6"/>
        <v>0</v>
      </c>
      <c r="H98" s="133">
        <f t="shared" si="7"/>
        <v>0</v>
      </c>
      <c r="I98" s="134">
        <v>0</v>
      </c>
      <c r="J98" s="129">
        <f t="shared" si="8"/>
        <v>0</v>
      </c>
    </row>
    <row r="99" spans="1:10">
      <c r="A99" s="122">
        <v>92</v>
      </c>
      <c r="D99" s="130">
        <v>0</v>
      </c>
      <c r="E99" s="131">
        <f t="shared" si="5"/>
        <v>0</v>
      </c>
      <c r="F99" s="127">
        <f t="shared" si="9"/>
        <v>0</v>
      </c>
      <c r="G99" s="130">
        <f t="shared" si="6"/>
        <v>0</v>
      </c>
      <c r="H99" s="133">
        <f t="shared" si="7"/>
        <v>0</v>
      </c>
      <c r="I99" s="134">
        <v>0</v>
      </c>
      <c r="J99" s="129">
        <f t="shared" si="8"/>
        <v>0</v>
      </c>
    </row>
    <row r="100" spans="1:10">
      <c r="A100" s="122">
        <v>93</v>
      </c>
      <c r="D100" s="130">
        <v>0</v>
      </c>
      <c r="E100" s="131">
        <f t="shared" si="5"/>
        <v>0</v>
      </c>
      <c r="F100" s="127">
        <f t="shared" si="9"/>
        <v>0</v>
      </c>
      <c r="G100" s="130">
        <f t="shared" si="6"/>
        <v>0</v>
      </c>
      <c r="H100" s="133">
        <f t="shared" si="7"/>
        <v>0</v>
      </c>
      <c r="I100" s="134">
        <v>0</v>
      </c>
      <c r="J100" s="129">
        <f t="shared" si="8"/>
        <v>0</v>
      </c>
    </row>
    <row r="101" spans="1:10">
      <c r="A101" s="122">
        <v>94</v>
      </c>
      <c r="D101" s="130">
        <v>0</v>
      </c>
      <c r="E101" s="131">
        <f t="shared" si="5"/>
        <v>0</v>
      </c>
      <c r="F101" s="127">
        <f t="shared" si="9"/>
        <v>0</v>
      </c>
      <c r="G101" s="130">
        <f t="shared" si="6"/>
        <v>0</v>
      </c>
      <c r="H101" s="133">
        <f t="shared" si="7"/>
        <v>0</v>
      </c>
      <c r="I101" s="134">
        <v>0</v>
      </c>
      <c r="J101" s="129">
        <f t="shared" si="8"/>
        <v>0</v>
      </c>
    </row>
    <row r="102" spans="1:10">
      <c r="A102" s="122">
        <v>95</v>
      </c>
      <c r="D102" s="130">
        <v>0</v>
      </c>
      <c r="E102" s="131">
        <f t="shared" si="5"/>
        <v>0</v>
      </c>
      <c r="F102" s="127">
        <f t="shared" si="9"/>
        <v>0</v>
      </c>
      <c r="G102" s="130">
        <f t="shared" si="6"/>
        <v>0</v>
      </c>
      <c r="H102" s="133">
        <f t="shared" si="7"/>
        <v>0</v>
      </c>
      <c r="I102" s="134">
        <v>0</v>
      </c>
      <c r="J102" s="129">
        <f t="shared" si="8"/>
        <v>0</v>
      </c>
    </row>
    <row r="103" spans="1:10">
      <c r="A103" s="122">
        <v>96</v>
      </c>
      <c r="D103" s="130">
        <v>0</v>
      </c>
      <c r="E103" s="131">
        <f t="shared" si="5"/>
        <v>0</v>
      </c>
      <c r="F103" s="127">
        <f t="shared" si="9"/>
        <v>0</v>
      </c>
      <c r="G103" s="130">
        <f t="shared" si="6"/>
        <v>0</v>
      </c>
      <c r="H103" s="133">
        <f t="shared" si="7"/>
        <v>0</v>
      </c>
      <c r="I103" s="134">
        <v>0</v>
      </c>
      <c r="J103" s="129">
        <f t="shared" si="8"/>
        <v>0</v>
      </c>
    </row>
    <row r="104" spans="1:10">
      <c r="A104" s="122">
        <v>97</v>
      </c>
      <c r="D104" s="130">
        <v>0</v>
      </c>
      <c r="E104" s="131">
        <f t="shared" si="5"/>
        <v>0</v>
      </c>
      <c r="F104" s="127">
        <f t="shared" si="9"/>
        <v>0</v>
      </c>
      <c r="G104" s="130">
        <f t="shared" si="6"/>
        <v>0</v>
      </c>
      <c r="H104" s="133">
        <f t="shared" si="7"/>
        <v>0</v>
      </c>
      <c r="I104" s="134">
        <v>0</v>
      </c>
      <c r="J104" s="129">
        <f t="shared" si="8"/>
        <v>0</v>
      </c>
    </row>
    <row r="105" spans="1:10">
      <c r="A105" s="122">
        <v>98</v>
      </c>
      <c r="D105" s="130">
        <v>0</v>
      </c>
      <c r="E105" s="131">
        <f t="shared" si="5"/>
        <v>0</v>
      </c>
      <c r="F105" s="127">
        <f t="shared" si="9"/>
        <v>0</v>
      </c>
      <c r="G105" s="130">
        <f t="shared" si="6"/>
        <v>0</v>
      </c>
      <c r="H105" s="133">
        <f t="shared" si="7"/>
        <v>0</v>
      </c>
      <c r="I105" s="134">
        <v>0</v>
      </c>
      <c r="J105" s="129">
        <f t="shared" si="8"/>
        <v>0</v>
      </c>
    </row>
    <row r="106" spans="1:10">
      <c r="A106" s="122">
        <v>99</v>
      </c>
      <c r="D106" s="130">
        <v>0</v>
      </c>
      <c r="E106" s="131">
        <f t="shared" si="5"/>
        <v>0</v>
      </c>
      <c r="F106" s="127">
        <f t="shared" si="9"/>
        <v>0</v>
      </c>
      <c r="G106" s="130">
        <f t="shared" si="6"/>
        <v>0</v>
      </c>
      <c r="H106" s="133">
        <f t="shared" si="7"/>
        <v>0</v>
      </c>
      <c r="I106" s="134">
        <v>0</v>
      </c>
      <c r="J106" s="129">
        <f t="shared" si="8"/>
        <v>0</v>
      </c>
    </row>
    <row r="107" spans="1:10">
      <c r="A107" s="122">
        <v>100</v>
      </c>
      <c r="D107" s="130">
        <v>0</v>
      </c>
      <c r="E107" s="131">
        <f t="shared" si="5"/>
        <v>0</v>
      </c>
      <c r="F107" s="127">
        <f t="shared" si="9"/>
        <v>0</v>
      </c>
      <c r="G107" s="130">
        <f t="shared" si="6"/>
        <v>0</v>
      </c>
      <c r="H107" s="133">
        <f t="shared" si="7"/>
        <v>0</v>
      </c>
      <c r="I107" s="134">
        <v>0</v>
      </c>
      <c r="J107" s="129">
        <f t="shared" si="8"/>
        <v>0</v>
      </c>
    </row>
    <row r="108" spans="1:10">
      <c r="A108" s="122">
        <v>101</v>
      </c>
      <c r="D108" s="130">
        <v>0</v>
      </c>
      <c r="E108" s="131">
        <f t="shared" si="5"/>
        <v>0</v>
      </c>
      <c r="F108" s="127">
        <f t="shared" si="9"/>
        <v>0</v>
      </c>
      <c r="G108" s="130">
        <f t="shared" si="6"/>
        <v>0</v>
      </c>
      <c r="H108" s="133">
        <f t="shared" si="7"/>
        <v>0</v>
      </c>
      <c r="I108" s="134">
        <v>0</v>
      </c>
      <c r="J108" s="129">
        <f t="shared" si="8"/>
        <v>0</v>
      </c>
    </row>
    <row r="109" spans="1:10">
      <c r="A109" s="122">
        <v>102</v>
      </c>
      <c r="D109" s="130">
        <v>0</v>
      </c>
      <c r="E109" s="131">
        <f t="shared" si="5"/>
        <v>0</v>
      </c>
      <c r="F109" s="127">
        <f t="shared" si="9"/>
        <v>0</v>
      </c>
      <c r="G109" s="130">
        <f t="shared" si="6"/>
        <v>0</v>
      </c>
      <c r="H109" s="133">
        <f t="shared" si="7"/>
        <v>0</v>
      </c>
      <c r="I109" s="134">
        <v>0</v>
      </c>
      <c r="J109" s="129">
        <f t="shared" si="8"/>
        <v>0</v>
      </c>
    </row>
    <row r="110" spans="1:10">
      <c r="A110" s="122">
        <v>103</v>
      </c>
      <c r="D110" s="130">
        <v>0</v>
      </c>
      <c r="E110" s="131">
        <f t="shared" si="5"/>
        <v>0</v>
      </c>
      <c r="F110" s="127">
        <f t="shared" si="9"/>
        <v>0</v>
      </c>
      <c r="G110" s="130">
        <f t="shared" si="6"/>
        <v>0</v>
      </c>
      <c r="H110" s="133">
        <f t="shared" si="7"/>
        <v>0</v>
      </c>
      <c r="I110" s="134">
        <v>0</v>
      </c>
      <c r="J110" s="129">
        <f t="shared" si="8"/>
        <v>0</v>
      </c>
    </row>
    <row r="111" spans="1:10">
      <c r="A111" s="122">
        <v>104</v>
      </c>
      <c r="D111" s="130">
        <v>0</v>
      </c>
      <c r="E111" s="131">
        <f t="shared" si="5"/>
        <v>0</v>
      </c>
      <c r="F111" s="127">
        <f t="shared" si="9"/>
        <v>0</v>
      </c>
      <c r="G111" s="130">
        <f t="shared" si="6"/>
        <v>0</v>
      </c>
      <c r="H111" s="133">
        <f t="shared" si="7"/>
        <v>0</v>
      </c>
      <c r="I111" s="134">
        <v>0</v>
      </c>
      <c r="J111" s="129">
        <f t="shared" si="8"/>
        <v>0</v>
      </c>
    </row>
    <row r="112" spans="1:10">
      <c r="A112" s="122">
        <v>105</v>
      </c>
      <c r="D112" s="130">
        <v>0</v>
      </c>
      <c r="E112" s="131">
        <f t="shared" si="5"/>
        <v>0</v>
      </c>
      <c r="F112" s="127">
        <f t="shared" si="9"/>
        <v>0</v>
      </c>
      <c r="G112" s="130">
        <f t="shared" si="6"/>
        <v>0</v>
      </c>
      <c r="H112" s="133">
        <f t="shared" si="7"/>
        <v>0</v>
      </c>
      <c r="I112" s="134">
        <v>0</v>
      </c>
      <c r="J112" s="129">
        <f t="shared" si="8"/>
        <v>0</v>
      </c>
    </row>
    <row r="113" spans="1:10">
      <c r="A113" s="122">
        <v>106</v>
      </c>
      <c r="D113" s="130">
        <v>0</v>
      </c>
      <c r="E113" s="131">
        <f t="shared" si="5"/>
        <v>0</v>
      </c>
      <c r="F113" s="127">
        <f t="shared" si="9"/>
        <v>0</v>
      </c>
      <c r="G113" s="130">
        <f t="shared" si="6"/>
        <v>0</v>
      </c>
      <c r="H113" s="133">
        <f t="shared" si="7"/>
        <v>0</v>
      </c>
      <c r="I113" s="134">
        <v>0</v>
      </c>
      <c r="J113" s="129">
        <f t="shared" si="8"/>
        <v>0</v>
      </c>
    </row>
    <row r="114" spans="1:10">
      <c r="A114" s="122">
        <v>107</v>
      </c>
      <c r="D114" s="130">
        <v>0</v>
      </c>
      <c r="E114" s="131">
        <f t="shared" si="5"/>
        <v>0</v>
      </c>
      <c r="F114" s="127">
        <f t="shared" si="9"/>
        <v>0</v>
      </c>
      <c r="G114" s="130">
        <f t="shared" si="6"/>
        <v>0</v>
      </c>
      <c r="H114" s="133">
        <f t="shared" si="7"/>
        <v>0</v>
      </c>
      <c r="I114" s="134">
        <v>0</v>
      </c>
      <c r="J114" s="129">
        <f t="shared" si="8"/>
        <v>0</v>
      </c>
    </row>
    <row r="115" spans="1:10">
      <c r="A115" s="122">
        <v>108</v>
      </c>
      <c r="D115" s="130">
        <v>0</v>
      </c>
      <c r="E115" s="131">
        <f t="shared" si="5"/>
        <v>0</v>
      </c>
      <c r="F115" s="127">
        <f t="shared" si="9"/>
        <v>0</v>
      </c>
      <c r="G115" s="130">
        <f t="shared" si="6"/>
        <v>0</v>
      </c>
      <c r="H115" s="133">
        <f t="shared" si="7"/>
        <v>0</v>
      </c>
      <c r="I115" s="134">
        <v>0</v>
      </c>
      <c r="J115" s="129">
        <f t="shared" si="8"/>
        <v>0</v>
      </c>
    </row>
    <row r="116" spans="1:10">
      <c r="A116" s="122">
        <v>109</v>
      </c>
      <c r="D116" s="130">
        <v>0</v>
      </c>
      <c r="E116" s="131">
        <f t="shared" si="5"/>
        <v>0</v>
      </c>
      <c r="F116" s="127">
        <f t="shared" si="9"/>
        <v>0</v>
      </c>
      <c r="G116" s="130">
        <f t="shared" si="6"/>
        <v>0</v>
      </c>
      <c r="H116" s="133">
        <f t="shared" si="7"/>
        <v>0</v>
      </c>
      <c r="I116" s="134">
        <v>0</v>
      </c>
      <c r="J116" s="129">
        <f t="shared" si="8"/>
        <v>0</v>
      </c>
    </row>
    <row r="117" spans="1:10">
      <c r="A117" s="122">
        <v>110</v>
      </c>
      <c r="D117" s="130">
        <v>0</v>
      </c>
      <c r="E117" s="131">
        <f t="shared" si="5"/>
        <v>0</v>
      </c>
      <c r="F117" s="127">
        <f t="shared" si="9"/>
        <v>0</v>
      </c>
      <c r="G117" s="130">
        <f t="shared" si="6"/>
        <v>0</v>
      </c>
      <c r="H117" s="133">
        <f t="shared" si="7"/>
        <v>0</v>
      </c>
      <c r="I117" s="134">
        <v>0</v>
      </c>
      <c r="J117" s="129">
        <f t="shared" si="8"/>
        <v>0</v>
      </c>
    </row>
    <row r="118" spans="1:10">
      <c r="A118" s="122">
        <v>111</v>
      </c>
      <c r="D118" s="130">
        <v>0</v>
      </c>
      <c r="E118" s="131">
        <f t="shared" si="5"/>
        <v>0</v>
      </c>
      <c r="F118" s="127">
        <f t="shared" si="9"/>
        <v>0</v>
      </c>
      <c r="G118" s="130">
        <f t="shared" si="6"/>
        <v>0</v>
      </c>
      <c r="H118" s="133">
        <f t="shared" si="7"/>
        <v>0</v>
      </c>
      <c r="I118" s="134">
        <v>0</v>
      </c>
      <c r="J118" s="129">
        <f t="shared" si="8"/>
        <v>0</v>
      </c>
    </row>
    <row r="119" spans="1:10">
      <c r="A119" s="122">
        <v>112</v>
      </c>
      <c r="D119" s="130">
        <v>0</v>
      </c>
      <c r="E119" s="131">
        <f t="shared" si="5"/>
        <v>0</v>
      </c>
      <c r="F119" s="127">
        <f t="shared" si="9"/>
        <v>0</v>
      </c>
      <c r="G119" s="130">
        <f t="shared" si="6"/>
        <v>0</v>
      </c>
      <c r="H119" s="133">
        <f t="shared" si="7"/>
        <v>0</v>
      </c>
      <c r="I119" s="134">
        <v>0</v>
      </c>
      <c r="J119" s="129">
        <f t="shared" si="8"/>
        <v>0</v>
      </c>
    </row>
    <row r="120" spans="1:10">
      <c r="A120" s="122">
        <v>113</v>
      </c>
      <c r="D120" s="130">
        <v>0</v>
      </c>
      <c r="E120" s="131">
        <f t="shared" si="5"/>
        <v>0</v>
      </c>
      <c r="F120" s="127">
        <f t="shared" si="9"/>
        <v>0</v>
      </c>
      <c r="G120" s="130">
        <f t="shared" si="6"/>
        <v>0</v>
      </c>
      <c r="H120" s="133">
        <f t="shared" si="7"/>
        <v>0</v>
      </c>
      <c r="I120" s="134">
        <v>0</v>
      </c>
      <c r="J120" s="129">
        <f t="shared" si="8"/>
        <v>0</v>
      </c>
    </row>
    <row r="121" spans="1:10">
      <c r="A121" s="122">
        <v>114</v>
      </c>
      <c r="D121" s="130">
        <v>0</v>
      </c>
      <c r="E121" s="131">
        <f t="shared" si="5"/>
        <v>0</v>
      </c>
      <c r="F121" s="127">
        <f t="shared" si="9"/>
        <v>0</v>
      </c>
      <c r="G121" s="130">
        <f t="shared" si="6"/>
        <v>0</v>
      </c>
      <c r="H121" s="133">
        <f t="shared" si="7"/>
        <v>0</v>
      </c>
      <c r="I121" s="134">
        <v>0</v>
      </c>
      <c r="J121" s="129">
        <f t="shared" si="8"/>
        <v>0</v>
      </c>
    </row>
    <row r="122" spans="1:10">
      <c r="A122" s="122">
        <v>115</v>
      </c>
      <c r="D122" s="130">
        <v>0</v>
      </c>
      <c r="E122" s="131">
        <f t="shared" si="5"/>
        <v>0</v>
      </c>
      <c r="F122" s="127">
        <f t="shared" si="9"/>
        <v>0</v>
      </c>
      <c r="G122" s="130">
        <f t="shared" si="6"/>
        <v>0</v>
      </c>
      <c r="H122" s="133">
        <f t="shared" si="7"/>
        <v>0</v>
      </c>
      <c r="I122" s="134">
        <v>0</v>
      </c>
      <c r="J122" s="129">
        <f t="shared" si="8"/>
        <v>0</v>
      </c>
    </row>
    <row r="123" spans="1:10">
      <c r="A123" s="122">
        <v>116</v>
      </c>
      <c r="D123" s="130">
        <v>0</v>
      </c>
      <c r="E123" s="131">
        <f t="shared" si="5"/>
        <v>0</v>
      </c>
      <c r="F123" s="127">
        <f t="shared" si="9"/>
        <v>0</v>
      </c>
      <c r="G123" s="130">
        <f t="shared" si="6"/>
        <v>0</v>
      </c>
      <c r="H123" s="133">
        <f t="shared" si="7"/>
        <v>0</v>
      </c>
      <c r="I123" s="134">
        <v>0</v>
      </c>
      <c r="J123" s="129">
        <f t="shared" si="8"/>
        <v>0</v>
      </c>
    </row>
    <row r="124" spans="1:10">
      <c r="A124" s="122">
        <v>117</v>
      </c>
      <c r="D124" s="130">
        <v>0</v>
      </c>
      <c r="E124" s="131">
        <f t="shared" si="5"/>
        <v>0</v>
      </c>
      <c r="F124" s="127">
        <f t="shared" si="9"/>
        <v>0</v>
      </c>
      <c r="G124" s="130">
        <f t="shared" si="6"/>
        <v>0</v>
      </c>
      <c r="H124" s="133">
        <f t="shared" si="7"/>
        <v>0</v>
      </c>
      <c r="I124" s="134">
        <v>0</v>
      </c>
      <c r="J124" s="129">
        <f t="shared" si="8"/>
        <v>0</v>
      </c>
    </row>
    <row r="125" spans="1:10">
      <c r="A125" s="122">
        <v>118</v>
      </c>
      <c r="D125" s="130">
        <v>0</v>
      </c>
      <c r="E125" s="131">
        <f t="shared" si="5"/>
        <v>0</v>
      </c>
      <c r="F125" s="127">
        <f t="shared" si="9"/>
        <v>0</v>
      </c>
      <c r="G125" s="130">
        <f t="shared" si="6"/>
        <v>0</v>
      </c>
      <c r="H125" s="133">
        <f t="shared" si="7"/>
        <v>0</v>
      </c>
      <c r="I125" s="134">
        <v>0</v>
      </c>
      <c r="J125" s="129">
        <f t="shared" si="8"/>
        <v>0</v>
      </c>
    </row>
    <row r="126" spans="1:10">
      <c r="A126" s="122">
        <v>119</v>
      </c>
      <c r="D126" s="130">
        <v>0</v>
      </c>
      <c r="E126" s="131">
        <f t="shared" si="5"/>
        <v>0</v>
      </c>
      <c r="F126" s="127">
        <f t="shared" si="9"/>
        <v>0</v>
      </c>
      <c r="G126" s="130">
        <f t="shared" si="6"/>
        <v>0</v>
      </c>
      <c r="H126" s="133">
        <f t="shared" si="7"/>
        <v>0</v>
      </c>
      <c r="I126" s="134">
        <v>0</v>
      </c>
      <c r="J126" s="129">
        <f t="shared" si="8"/>
        <v>0</v>
      </c>
    </row>
    <row r="127" spans="1:10">
      <c r="A127" s="122">
        <v>120</v>
      </c>
      <c r="D127" s="130">
        <v>0</v>
      </c>
      <c r="E127" s="131">
        <f t="shared" si="5"/>
        <v>0</v>
      </c>
      <c r="F127" s="127">
        <f t="shared" si="9"/>
        <v>0</v>
      </c>
      <c r="G127" s="130">
        <f t="shared" si="6"/>
        <v>0</v>
      </c>
      <c r="H127" s="133">
        <f t="shared" si="7"/>
        <v>0</v>
      </c>
      <c r="I127" s="134">
        <v>0</v>
      </c>
      <c r="J127" s="129">
        <f t="shared" si="8"/>
        <v>0</v>
      </c>
    </row>
    <row r="128" spans="1:10">
      <c r="A128" s="122">
        <v>121</v>
      </c>
      <c r="D128" s="130">
        <v>0</v>
      </c>
      <c r="E128" s="131">
        <f t="shared" si="5"/>
        <v>0</v>
      </c>
      <c r="F128" s="127">
        <f t="shared" si="9"/>
        <v>0</v>
      </c>
      <c r="G128" s="130">
        <f t="shared" si="6"/>
        <v>0</v>
      </c>
      <c r="H128" s="133">
        <f t="shared" si="7"/>
        <v>0</v>
      </c>
      <c r="I128" s="134">
        <v>0</v>
      </c>
      <c r="J128" s="129">
        <f t="shared" si="8"/>
        <v>0</v>
      </c>
    </row>
    <row r="129" spans="1:10">
      <c r="A129" s="122">
        <v>122</v>
      </c>
      <c r="D129" s="130">
        <v>0</v>
      </c>
      <c r="E129" s="131">
        <f t="shared" si="5"/>
        <v>0</v>
      </c>
      <c r="F129" s="127">
        <f t="shared" si="9"/>
        <v>0</v>
      </c>
      <c r="G129" s="130">
        <f t="shared" si="6"/>
        <v>0</v>
      </c>
      <c r="H129" s="133">
        <f t="shared" si="7"/>
        <v>0</v>
      </c>
      <c r="I129" s="134">
        <v>0</v>
      </c>
      <c r="J129" s="129">
        <f t="shared" si="8"/>
        <v>0</v>
      </c>
    </row>
    <row r="130" spans="1:10">
      <c r="A130" s="122">
        <v>123</v>
      </c>
      <c r="D130" s="130">
        <v>0</v>
      </c>
      <c r="E130" s="131">
        <f t="shared" si="5"/>
        <v>0</v>
      </c>
      <c r="F130" s="127">
        <f t="shared" si="9"/>
        <v>0</v>
      </c>
      <c r="G130" s="130">
        <f t="shared" si="6"/>
        <v>0</v>
      </c>
      <c r="H130" s="133">
        <f t="shared" si="7"/>
        <v>0</v>
      </c>
      <c r="I130" s="134">
        <v>0</v>
      </c>
      <c r="J130" s="129">
        <f t="shared" si="8"/>
        <v>0</v>
      </c>
    </row>
    <row r="131" spans="1:10">
      <c r="A131" s="122">
        <v>124</v>
      </c>
      <c r="D131" s="130">
        <v>0</v>
      </c>
      <c r="E131" s="131">
        <f t="shared" si="5"/>
        <v>0</v>
      </c>
      <c r="F131" s="127">
        <f t="shared" si="9"/>
        <v>0</v>
      </c>
      <c r="G131" s="130">
        <f t="shared" si="6"/>
        <v>0</v>
      </c>
      <c r="H131" s="133">
        <f t="shared" si="7"/>
        <v>0</v>
      </c>
      <c r="I131" s="134">
        <v>0</v>
      </c>
      <c r="J131" s="129">
        <f t="shared" si="8"/>
        <v>0</v>
      </c>
    </row>
    <row r="132" spans="1:10">
      <c r="A132" s="122">
        <v>125</v>
      </c>
      <c r="D132" s="130">
        <v>0</v>
      </c>
      <c r="E132" s="131">
        <f t="shared" si="5"/>
        <v>0</v>
      </c>
      <c r="F132" s="127">
        <f t="shared" si="9"/>
        <v>0</v>
      </c>
      <c r="G132" s="130">
        <f t="shared" si="6"/>
        <v>0</v>
      </c>
      <c r="H132" s="133">
        <f t="shared" si="7"/>
        <v>0</v>
      </c>
      <c r="I132" s="134">
        <v>0</v>
      </c>
      <c r="J132" s="129">
        <f t="shared" si="8"/>
        <v>0</v>
      </c>
    </row>
    <row r="133" spans="1:10">
      <c r="A133" s="122">
        <v>126</v>
      </c>
      <c r="D133" s="130">
        <v>0</v>
      </c>
      <c r="E133" s="131">
        <f t="shared" si="5"/>
        <v>0</v>
      </c>
      <c r="F133" s="127">
        <f t="shared" si="9"/>
        <v>0</v>
      </c>
      <c r="G133" s="130">
        <f t="shared" si="6"/>
        <v>0</v>
      </c>
      <c r="H133" s="133">
        <f t="shared" si="7"/>
        <v>0</v>
      </c>
      <c r="I133" s="134">
        <v>0</v>
      </c>
      <c r="J133" s="129">
        <f t="shared" si="8"/>
        <v>0</v>
      </c>
    </row>
    <row r="134" spans="1:10">
      <c r="A134" s="122">
        <v>127</v>
      </c>
      <c r="D134" s="130">
        <v>0</v>
      </c>
      <c r="E134" s="131">
        <f t="shared" si="5"/>
        <v>0</v>
      </c>
      <c r="F134" s="127">
        <f t="shared" si="9"/>
        <v>0</v>
      </c>
      <c r="G134" s="130">
        <f t="shared" si="6"/>
        <v>0</v>
      </c>
      <c r="H134" s="133">
        <f t="shared" si="7"/>
        <v>0</v>
      </c>
      <c r="I134" s="134">
        <v>0</v>
      </c>
      <c r="J134" s="129">
        <f t="shared" si="8"/>
        <v>0</v>
      </c>
    </row>
    <row r="135" spans="1:10">
      <c r="A135" s="122">
        <v>128</v>
      </c>
      <c r="D135" s="130">
        <v>0</v>
      </c>
      <c r="E135" s="131">
        <f t="shared" si="5"/>
        <v>0</v>
      </c>
      <c r="F135" s="127">
        <f t="shared" si="9"/>
        <v>0</v>
      </c>
      <c r="G135" s="130">
        <f t="shared" si="6"/>
        <v>0</v>
      </c>
      <c r="H135" s="133">
        <f t="shared" si="7"/>
        <v>0</v>
      </c>
      <c r="I135" s="134">
        <v>0</v>
      </c>
      <c r="J135" s="129">
        <f t="shared" si="8"/>
        <v>0</v>
      </c>
    </row>
    <row r="136" spans="1:10">
      <c r="A136" s="122">
        <v>129</v>
      </c>
      <c r="D136" s="130">
        <v>0</v>
      </c>
      <c r="E136" s="131">
        <f t="shared" ref="E136:E199" si="10">IF(D136&lt;=300000,0,IF(D136&gt;=20000000,(D136*0.21),(D136*0.2)+200000))</f>
        <v>0</v>
      </c>
      <c r="F136" s="127">
        <f t="shared" si="9"/>
        <v>0</v>
      </c>
      <c r="G136" s="130">
        <f t="shared" ref="G136:G199" si="11">IF(E136=0,(D136*0.01),IF(F136&lt;=0,0.01*D136,IF(AND(F136&gt;0,F136&lt;=300000),F136*7%,IF(AND(F136&gt;=300000,F136&lt;600000),21000+(F136-300000)*11%,IF(AND(F136&gt;=600000,F136&lt;1100000),54000+(F136-600000)*15%,IF(AND(F136&gt;=1100000,F136&lt;1600000),129000+(F136-1100000)*19%,IF(AND(F136&gt;=1600000,F136&lt;3200000),224000+(F136-1600000)*21%,560000+(F136-3200000)*24%)))))))</f>
        <v>0</v>
      </c>
      <c r="H136" s="133">
        <f t="shared" ref="H136:H199" si="12">G136/12</f>
        <v>0</v>
      </c>
      <c r="I136" s="134">
        <v>0</v>
      </c>
      <c r="J136" s="129">
        <f t="shared" ref="J136:J199" si="13">+H136*I136</f>
        <v>0</v>
      </c>
    </row>
    <row r="137" spans="1:10">
      <c r="A137" s="122">
        <v>130</v>
      </c>
      <c r="D137" s="130">
        <v>0</v>
      </c>
      <c r="E137" s="131">
        <f t="shared" si="10"/>
        <v>0</v>
      </c>
      <c r="F137" s="127">
        <f t="shared" ref="F137:F200" si="14">+D137-E137</f>
        <v>0</v>
      </c>
      <c r="G137" s="130">
        <f t="shared" si="11"/>
        <v>0</v>
      </c>
      <c r="H137" s="133">
        <f t="shared" si="12"/>
        <v>0</v>
      </c>
      <c r="I137" s="134">
        <v>0</v>
      </c>
      <c r="J137" s="129">
        <f t="shared" si="13"/>
        <v>0</v>
      </c>
    </row>
    <row r="138" spans="1:10">
      <c r="A138" s="122">
        <v>131</v>
      </c>
      <c r="D138" s="130">
        <v>0</v>
      </c>
      <c r="E138" s="131">
        <f t="shared" si="10"/>
        <v>0</v>
      </c>
      <c r="F138" s="127">
        <f t="shared" si="14"/>
        <v>0</v>
      </c>
      <c r="G138" s="130">
        <f t="shared" si="11"/>
        <v>0</v>
      </c>
      <c r="H138" s="133">
        <f t="shared" si="12"/>
        <v>0</v>
      </c>
      <c r="I138" s="134">
        <v>0</v>
      </c>
      <c r="J138" s="129">
        <f t="shared" si="13"/>
        <v>0</v>
      </c>
    </row>
    <row r="139" spans="1:10">
      <c r="A139" s="122">
        <v>132</v>
      </c>
      <c r="D139" s="130">
        <v>0</v>
      </c>
      <c r="E139" s="131">
        <f t="shared" si="10"/>
        <v>0</v>
      </c>
      <c r="F139" s="127">
        <f t="shared" si="14"/>
        <v>0</v>
      </c>
      <c r="G139" s="130">
        <f t="shared" si="11"/>
        <v>0</v>
      </c>
      <c r="H139" s="133">
        <f t="shared" si="12"/>
        <v>0</v>
      </c>
      <c r="I139" s="134">
        <v>0</v>
      </c>
      <c r="J139" s="129">
        <f t="shared" si="13"/>
        <v>0</v>
      </c>
    </row>
    <row r="140" spans="1:10">
      <c r="A140" s="122">
        <v>133</v>
      </c>
      <c r="D140" s="130">
        <v>0</v>
      </c>
      <c r="E140" s="131">
        <f t="shared" si="10"/>
        <v>0</v>
      </c>
      <c r="F140" s="127">
        <f t="shared" si="14"/>
        <v>0</v>
      </c>
      <c r="G140" s="130">
        <f t="shared" si="11"/>
        <v>0</v>
      </c>
      <c r="H140" s="133">
        <f t="shared" si="12"/>
        <v>0</v>
      </c>
      <c r="I140" s="134">
        <v>0</v>
      </c>
      <c r="J140" s="129">
        <f t="shared" si="13"/>
        <v>0</v>
      </c>
    </row>
    <row r="141" spans="1:10">
      <c r="A141" s="122">
        <v>134</v>
      </c>
      <c r="D141" s="130">
        <v>0</v>
      </c>
      <c r="E141" s="131">
        <f t="shared" si="10"/>
        <v>0</v>
      </c>
      <c r="F141" s="127">
        <f t="shared" si="14"/>
        <v>0</v>
      </c>
      <c r="G141" s="130">
        <f t="shared" si="11"/>
        <v>0</v>
      </c>
      <c r="H141" s="133">
        <f t="shared" si="12"/>
        <v>0</v>
      </c>
      <c r="I141" s="134">
        <v>0</v>
      </c>
      <c r="J141" s="129">
        <f t="shared" si="13"/>
        <v>0</v>
      </c>
    </row>
    <row r="142" spans="1:10">
      <c r="A142" s="122">
        <v>135</v>
      </c>
      <c r="D142" s="130">
        <v>0</v>
      </c>
      <c r="E142" s="131">
        <f t="shared" si="10"/>
        <v>0</v>
      </c>
      <c r="F142" s="127">
        <f t="shared" si="14"/>
        <v>0</v>
      </c>
      <c r="G142" s="130">
        <f t="shared" si="11"/>
        <v>0</v>
      </c>
      <c r="H142" s="133">
        <f t="shared" si="12"/>
        <v>0</v>
      </c>
      <c r="I142" s="134">
        <v>0</v>
      </c>
      <c r="J142" s="129">
        <f t="shared" si="13"/>
        <v>0</v>
      </c>
    </row>
    <row r="143" spans="1:10">
      <c r="A143" s="122">
        <v>136</v>
      </c>
      <c r="D143" s="130">
        <v>0</v>
      </c>
      <c r="E143" s="131">
        <f t="shared" si="10"/>
        <v>0</v>
      </c>
      <c r="F143" s="127">
        <f t="shared" si="14"/>
        <v>0</v>
      </c>
      <c r="G143" s="130">
        <f t="shared" si="11"/>
        <v>0</v>
      </c>
      <c r="H143" s="133">
        <f t="shared" si="12"/>
        <v>0</v>
      </c>
      <c r="I143" s="134">
        <v>0</v>
      </c>
      <c r="J143" s="129">
        <f t="shared" si="13"/>
        <v>0</v>
      </c>
    </row>
    <row r="144" spans="1:10">
      <c r="A144" s="122">
        <v>137</v>
      </c>
      <c r="D144" s="130">
        <v>0</v>
      </c>
      <c r="E144" s="131">
        <f t="shared" si="10"/>
        <v>0</v>
      </c>
      <c r="F144" s="127">
        <f t="shared" si="14"/>
        <v>0</v>
      </c>
      <c r="G144" s="130">
        <f t="shared" si="11"/>
        <v>0</v>
      </c>
      <c r="H144" s="133">
        <f t="shared" si="12"/>
        <v>0</v>
      </c>
      <c r="I144" s="134">
        <v>0</v>
      </c>
      <c r="J144" s="129">
        <f t="shared" si="13"/>
        <v>0</v>
      </c>
    </row>
    <row r="145" spans="1:10">
      <c r="A145" s="122">
        <v>138</v>
      </c>
      <c r="D145" s="130">
        <v>0</v>
      </c>
      <c r="E145" s="131">
        <f t="shared" si="10"/>
        <v>0</v>
      </c>
      <c r="F145" s="127">
        <f t="shared" si="14"/>
        <v>0</v>
      </c>
      <c r="G145" s="130">
        <f t="shared" si="11"/>
        <v>0</v>
      </c>
      <c r="H145" s="133">
        <f t="shared" si="12"/>
        <v>0</v>
      </c>
      <c r="I145" s="134">
        <v>0</v>
      </c>
      <c r="J145" s="129">
        <f t="shared" si="13"/>
        <v>0</v>
      </c>
    </row>
    <row r="146" spans="1:10">
      <c r="A146" s="122">
        <v>139</v>
      </c>
      <c r="D146" s="130">
        <v>0</v>
      </c>
      <c r="E146" s="131">
        <f t="shared" si="10"/>
        <v>0</v>
      </c>
      <c r="F146" s="127">
        <f t="shared" si="14"/>
        <v>0</v>
      </c>
      <c r="G146" s="130">
        <f t="shared" si="11"/>
        <v>0</v>
      </c>
      <c r="H146" s="133">
        <f t="shared" si="12"/>
        <v>0</v>
      </c>
      <c r="I146" s="134">
        <v>0</v>
      </c>
      <c r="J146" s="129">
        <f t="shared" si="13"/>
        <v>0</v>
      </c>
    </row>
    <row r="147" spans="1:10">
      <c r="A147" s="122">
        <v>140</v>
      </c>
      <c r="D147" s="130">
        <v>0</v>
      </c>
      <c r="E147" s="131">
        <f t="shared" si="10"/>
        <v>0</v>
      </c>
      <c r="F147" s="127">
        <f t="shared" si="14"/>
        <v>0</v>
      </c>
      <c r="G147" s="130">
        <f t="shared" si="11"/>
        <v>0</v>
      </c>
      <c r="H147" s="133">
        <f t="shared" si="12"/>
        <v>0</v>
      </c>
      <c r="I147" s="134">
        <v>0</v>
      </c>
      <c r="J147" s="129">
        <f t="shared" si="13"/>
        <v>0</v>
      </c>
    </row>
    <row r="148" spans="1:10">
      <c r="A148" s="122">
        <v>141</v>
      </c>
      <c r="D148" s="130">
        <v>0</v>
      </c>
      <c r="E148" s="131">
        <f t="shared" si="10"/>
        <v>0</v>
      </c>
      <c r="F148" s="127">
        <f t="shared" si="14"/>
        <v>0</v>
      </c>
      <c r="G148" s="130">
        <f t="shared" si="11"/>
        <v>0</v>
      </c>
      <c r="H148" s="133">
        <f t="shared" si="12"/>
        <v>0</v>
      </c>
      <c r="I148" s="134">
        <v>0</v>
      </c>
      <c r="J148" s="129">
        <f t="shared" si="13"/>
        <v>0</v>
      </c>
    </row>
    <row r="149" spans="1:10">
      <c r="A149" s="122">
        <v>142</v>
      </c>
      <c r="D149" s="130">
        <v>0</v>
      </c>
      <c r="E149" s="131">
        <f t="shared" si="10"/>
        <v>0</v>
      </c>
      <c r="F149" s="127">
        <f t="shared" si="14"/>
        <v>0</v>
      </c>
      <c r="G149" s="130">
        <f t="shared" si="11"/>
        <v>0</v>
      </c>
      <c r="H149" s="133">
        <f t="shared" si="12"/>
        <v>0</v>
      </c>
      <c r="I149" s="134">
        <v>0</v>
      </c>
      <c r="J149" s="129">
        <f t="shared" si="13"/>
        <v>0</v>
      </c>
    </row>
    <row r="150" spans="1:10">
      <c r="A150" s="122">
        <v>143</v>
      </c>
      <c r="D150" s="130">
        <v>0</v>
      </c>
      <c r="E150" s="131">
        <f t="shared" si="10"/>
        <v>0</v>
      </c>
      <c r="F150" s="127">
        <f t="shared" si="14"/>
        <v>0</v>
      </c>
      <c r="G150" s="130">
        <f t="shared" si="11"/>
        <v>0</v>
      </c>
      <c r="H150" s="133">
        <f t="shared" si="12"/>
        <v>0</v>
      </c>
      <c r="I150" s="134">
        <v>0</v>
      </c>
      <c r="J150" s="129">
        <f t="shared" si="13"/>
        <v>0</v>
      </c>
    </row>
    <row r="151" spans="1:10">
      <c r="A151" s="122">
        <v>144</v>
      </c>
      <c r="D151" s="130">
        <v>0</v>
      </c>
      <c r="E151" s="131">
        <f t="shared" si="10"/>
        <v>0</v>
      </c>
      <c r="F151" s="127">
        <f t="shared" si="14"/>
        <v>0</v>
      </c>
      <c r="G151" s="130">
        <f t="shared" si="11"/>
        <v>0</v>
      </c>
      <c r="H151" s="133">
        <f t="shared" si="12"/>
        <v>0</v>
      </c>
      <c r="I151" s="134">
        <v>0</v>
      </c>
      <c r="J151" s="129">
        <f t="shared" si="13"/>
        <v>0</v>
      </c>
    </row>
    <row r="152" spans="1:10">
      <c r="A152" s="122">
        <v>145</v>
      </c>
      <c r="D152" s="130">
        <v>0</v>
      </c>
      <c r="E152" s="131">
        <f t="shared" si="10"/>
        <v>0</v>
      </c>
      <c r="F152" s="127">
        <f t="shared" si="14"/>
        <v>0</v>
      </c>
      <c r="G152" s="130">
        <f t="shared" si="11"/>
        <v>0</v>
      </c>
      <c r="H152" s="133">
        <f t="shared" si="12"/>
        <v>0</v>
      </c>
      <c r="I152" s="134">
        <v>0</v>
      </c>
      <c r="J152" s="129">
        <f t="shared" si="13"/>
        <v>0</v>
      </c>
    </row>
    <row r="153" spans="1:10">
      <c r="A153" s="122">
        <v>146</v>
      </c>
      <c r="D153" s="130">
        <v>0</v>
      </c>
      <c r="E153" s="131">
        <f t="shared" si="10"/>
        <v>0</v>
      </c>
      <c r="F153" s="127">
        <f t="shared" si="14"/>
        <v>0</v>
      </c>
      <c r="G153" s="130">
        <f t="shared" si="11"/>
        <v>0</v>
      </c>
      <c r="H153" s="133">
        <f t="shared" si="12"/>
        <v>0</v>
      </c>
      <c r="I153" s="134">
        <v>0</v>
      </c>
      <c r="J153" s="129">
        <f t="shared" si="13"/>
        <v>0</v>
      </c>
    </row>
    <row r="154" spans="1:10">
      <c r="A154" s="122">
        <v>147</v>
      </c>
      <c r="D154" s="130">
        <v>0</v>
      </c>
      <c r="E154" s="131">
        <f t="shared" si="10"/>
        <v>0</v>
      </c>
      <c r="F154" s="127">
        <f t="shared" si="14"/>
        <v>0</v>
      </c>
      <c r="G154" s="130">
        <f t="shared" si="11"/>
        <v>0</v>
      </c>
      <c r="H154" s="133">
        <f t="shared" si="12"/>
        <v>0</v>
      </c>
      <c r="I154" s="134">
        <v>0</v>
      </c>
      <c r="J154" s="129">
        <f t="shared" si="13"/>
        <v>0</v>
      </c>
    </row>
    <row r="155" spans="1:10">
      <c r="A155" s="122">
        <v>148</v>
      </c>
      <c r="D155" s="130">
        <v>0</v>
      </c>
      <c r="E155" s="131">
        <f t="shared" si="10"/>
        <v>0</v>
      </c>
      <c r="F155" s="127">
        <f t="shared" si="14"/>
        <v>0</v>
      </c>
      <c r="G155" s="130">
        <f t="shared" si="11"/>
        <v>0</v>
      </c>
      <c r="H155" s="133">
        <f t="shared" si="12"/>
        <v>0</v>
      </c>
      <c r="I155" s="134">
        <v>0</v>
      </c>
      <c r="J155" s="129">
        <f t="shared" si="13"/>
        <v>0</v>
      </c>
    </row>
    <row r="156" spans="1:10">
      <c r="A156" s="122">
        <v>149</v>
      </c>
      <c r="D156" s="130">
        <v>0</v>
      </c>
      <c r="E156" s="131">
        <f t="shared" si="10"/>
        <v>0</v>
      </c>
      <c r="F156" s="127">
        <f t="shared" si="14"/>
        <v>0</v>
      </c>
      <c r="G156" s="130">
        <f t="shared" si="11"/>
        <v>0</v>
      </c>
      <c r="H156" s="133">
        <f t="shared" si="12"/>
        <v>0</v>
      </c>
      <c r="I156" s="134">
        <v>0</v>
      </c>
      <c r="J156" s="129">
        <f t="shared" si="13"/>
        <v>0</v>
      </c>
    </row>
    <row r="157" spans="1:10">
      <c r="A157" s="122">
        <v>150</v>
      </c>
      <c r="D157" s="130">
        <v>0</v>
      </c>
      <c r="E157" s="131">
        <f t="shared" si="10"/>
        <v>0</v>
      </c>
      <c r="F157" s="127">
        <f t="shared" si="14"/>
        <v>0</v>
      </c>
      <c r="G157" s="130">
        <f t="shared" si="11"/>
        <v>0</v>
      </c>
      <c r="H157" s="133">
        <f t="shared" si="12"/>
        <v>0</v>
      </c>
      <c r="I157" s="134">
        <v>0</v>
      </c>
      <c r="J157" s="129">
        <f t="shared" si="13"/>
        <v>0</v>
      </c>
    </row>
    <row r="158" spans="1:10">
      <c r="A158" s="122">
        <v>151</v>
      </c>
      <c r="D158" s="130">
        <v>0</v>
      </c>
      <c r="E158" s="131">
        <f t="shared" si="10"/>
        <v>0</v>
      </c>
      <c r="F158" s="127">
        <f t="shared" si="14"/>
        <v>0</v>
      </c>
      <c r="G158" s="130">
        <f t="shared" si="11"/>
        <v>0</v>
      </c>
      <c r="H158" s="133">
        <f t="shared" si="12"/>
        <v>0</v>
      </c>
      <c r="I158" s="134">
        <v>0</v>
      </c>
      <c r="J158" s="129">
        <f t="shared" si="13"/>
        <v>0</v>
      </c>
    </row>
    <row r="159" spans="1:10">
      <c r="A159" s="122">
        <v>152</v>
      </c>
      <c r="D159" s="130">
        <v>0</v>
      </c>
      <c r="E159" s="131">
        <f t="shared" si="10"/>
        <v>0</v>
      </c>
      <c r="F159" s="127">
        <f t="shared" si="14"/>
        <v>0</v>
      </c>
      <c r="G159" s="130">
        <f t="shared" si="11"/>
        <v>0</v>
      </c>
      <c r="H159" s="133">
        <f t="shared" si="12"/>
        <v>0</v>
      </c>
      <c r="I159" s="134">
        <v>0</v>
      </c>
      <c r="J159" s="129">
        <f t="shared" si="13"/>
        <v>0</v>
      </c>
    </row>
    <row r="160" spans="1:10">
      <c r="A160" s="122">
        <v>153</v>
      </c>
      <c r="D160" s="130">
        <v>0</v>
      </c>
      <c r="E160" s="131">
        <f t="shared" si="10"/>
        <v>0</v>
      </c>
      <c r="F160" s="127">
        <f t="shared" si="14"/>
        <v>0</v>
      </c>
      <c r="G160" s="130">
        <f t="shared" si="11"/>
        <v>0</v>
      </c>
      <c r="H160" s="133">
        <f t="shared" si="12"/>
        <v>0</v>
      </c>
      <c r="I160" s="134">
        <v>0</v>
      </c>
      <c r="J160" s="129">
        <f t="shared" si="13"/>
        <v>0</v>
      </c>
    </row>
    <row r="161" spans="1:10">
      <c r="A161" s="122">
        <v>154</v>
      </c>
      <c r="D161" s="130">
        <v>0</v>
      </c>
      <c r="E161" s="131">
        <f t="shared" si="10"/>
        <v>0</v>
      </c>
      <c r="F161" s="127">
        <f t="shared" si="14"/>
        <v>0</v>
      </c>
      <c r="G161" s="130">
        <f t="shared" si="11"/>
        <v>0</v>
      </c>
      <c r="H161" s="133">
        <f t="shared" si="12"/>
        <v>0</v>
      </c>
      <c r="I161" s="134">
        <v>0</v>
      </c>
      <c r="J161" s="129">
        <f t="shared" si="13"/>
        <v>0</v>
      </c>
    </row>
    <row r="162" spans="1:10">
      <c r="A162" s="122">
        <v>155</v>
      </c>
      <c r="D162" s="130">
        <v>0</v>
      </c>
      <c r="E162" s="131">
        <f t="shared" si="10"/>
        <v>0</v>
      </c>
      <c r="F162" s="127">
        <f t="shared" si="14"/>
        <v>0</v>
      </c>
      <c r="G162" s="130">
        <f t="shared" si="11"/>
        <v>0</v>
      </c>
      <c r="H162" s="133">
        <f t="shared" si="12"/>
        <v>0</v>
      </c>
      <c r="I162" s="134">
        <v>0</v>
      </c>
      <c r="J162" s="129">
        <f t="shared" si="13"/>
        <v>0</v>
      </c>
    </row>
    <row r="163" spans="1:10">
      <c r="A163" s="122">
        <v>156</v>
      </c>
      <c r="D163" s="130">
        <v>0</v>
      </c>
      <c r="E163" s="131">
        <f t="shared" si="10"/>
        <v>0</v>
      </c>
      <c r="F163" s="127">
        <f t="shared" si="14"/>
        <v>0</v>
      </c>
      <c r="G163" s="130">
        <f t="shared" si="11"/>
        <v>0</v>
      </c>
      <c r="H163" s="133">
        <f t="shared" si="12"/>
        <v>0</v>
      </c>
      <c r="I163" s="134">
        <v>0</v>
      </c>
      <c r="J163" s="129">
        <f t="shared" si="13"/>
        <v>0</v>
      </c>
    </row>
    <row r="164" spans="1:10">
      <c r="A164" s="122">
        <v>157</v>
      </c>
      <c r="D164" s="130">
        <v>0</v>
      </c>
      <c r="E164" s="131">
        <f t="shared" si="10"/>
        <v>0</v>
      </c>
      <c r="F164" s="127">
        <f t="shared" si="14"/>
        <v>0</v>
      </c>
      <c r="G164" s="130">
        <f t="shared" si="11"/>
        <v>0</v>
      </c>
      <c r="H164" s="133">
        <f t="shared" si="12"/>
        <v>0</v>
      </c>
      <c r="I164" s="134">
        <v>0</v>
      </c>
      <c r="J164" s="129">
        <f t="shared" si="13"/>
        <v>0</v>
      </c>
    </row>
    <row r="165" spans="1:10">
      <c r="A165" s="122">
        <v>158</v>
      </c>
      <c r="D165" s="130">
        <v>0</v>
      </c>
      <c r="E165" s="131">
        <f t="shared" si="10"/>
        <v>0</v>
      </c>
      <c r="F165" s="127">
        <f t="shared" si="14"/>
        <v>0</v>
      </c>
      <c r="G165" s="130">
        <f t="shared" si="11"/>
        <v>0</v>
      </c>
      <c r="H165" s="133">
        <f t="shared" si="12"/>
        <v>0</v>
      </c>
      <c r="I165" s="134">
        <v>0</v>
      </c>
      <c r="J165" s="129">
        <f t="shared" si="13"/>
        <v>0</v>
      </c>
    </row>
    <row r="166" spans="1:10">
      <c r="A166" s="122">
        <v>159</v>
      </c>
      <c r="D166" s="130">
        <v>0</v>
      </c>
      <c r="E166" s="131">
        <f t="shared" si="10"/>
        <v>0</v>
      </c>
      <c r="F166" s="127">
        <f t="shared" si="14"/>
        <v>0</v>
      </c>
      <c r="G166" s="130">
        <f t="shared" si="11"/>
        <v>0</v>
      </c>
      <c r="H166" s="133">
        <f t="shared" si="12"/>
        <v>0</v>
      </c>
      <c r="I166" s="134">
        <v>0</v>
      </c>
      <c r="J166" s="129">
        <f t="shared" si="13"/>
        <v>0</v>
      </c>
    </row>
    <row r="167" spans="1:10">
      <c r="A167" s="122">
        <v>160</v>
      </c>
      <c r="D167" s="130">
        <v>0</v>
      </c>
      <c r="E167" s="131">
        <f t="shared" si="10"/>
        <v>0</v>
      </c>
      <c r="F167" s="127">
        <f t="shared" si="14"/>
        <v>0</v>
      </c>
      <c r="G167" s="130">
        <f t="shared" si="11"/>
        <v>0</v>
      </c>
      <c r="H167" s="133">
        <f t="shared" si="12"/>
        <v>0</v>
      </c>
      <c r="I167" s="134">
        <v>0</v>
      </c>
      <c r="J167" s="129">
        <f t="shared" si="13"/>
        <v>0</v>
      </c>
    </row>
    <row r="168" spans="1:10">
      <c r="A168" s="122">
        <v>161</v>
      </c>
      <c r="D168" s="130">
        <v>0</v>
      </c>
      <c r="E168" s="131">
        <f t="shared" si="10"/>
        <v>0</v>
      </c>
      <c r="F168" s="127">
        <f t="shared" si="14"/>
        <v>0</v>
      </c>
      <c r="G168" s="130">
        <f t="shared" si="11"/>
        <v>0</v>
      </c>
      <c r="H168" s="133">
        <f t="shared" si="12"/>
        <v>0</v>
      </c>
      <c r="I168" s="134">
        <v>0</v>
      </c>
      <c r="J168" s="129">
        <f t="shared" si="13"/>
        <v>0</v>
      </c>
    </row>
    <row r="169" spans="1:10">
      <c r="A169" s="122">
        <v>162</v>
      </c>
      <c r="D169" s="130">
        <v>0</v>
      </c>
      <c r="E169" s="131">
        <f t="shared" si="10"/>
        <v>0</v>
      </c>
      <c r="F169" s="127">
        <f t="shared" si="14"/>
        <v>0</v>
      </c>
      <c r="G169" s="130">
        <f t="shared" si="11"/>
        <v>0</v>
      </c>
      <c r="H169" s="133">
        <f t="shared" si="12"/>
        <v>0</v>
      </c>
      <c r="I169" s="134">
        <v>0</v>
      </c>
      <c r="J169" s="129">
        <f t="shared" si="13"/>
        <v>0</v>
      </c>
    </row>
    <row r="170" spans="1:10">
      <c r="A170" s="122">
        <v>163</v>
      </c>
      <c r="D170" s="130">
        <v>0</v>
      </c>
      <c r="E170" s="131">
        <f t="shared" si="10"/>
        <v>0</v>
      </c>
      <c r="F170" s="127">
        <f t="shared" si="14"/>
        <v>0</v>
      </c>
      <c r="G170" s="130">
        <f t="shared" si="11"/>
        <v>0</v>
      </c>
      <c r="H170" s="133">
        <f t="shared" si="12"/>
        <v>0</v>
      </c>
      <c r="I170" s="134">
        <v>0</v>
      </c>
      <c r="J170" s="129">
        <f t="shared" si="13"/>
        <v>0</v>
      </c>
    </row>
    <row r="171" spans="1:10">
      <c r="A171" s="122">
        <v>164</v>
      </c>
      <c r="D171" s="130">
        <v>0</v>
      </c>
      <c r="E171" s="131">
        <f t="shared" si="10"/>
        <v>0</v>
      </c>
      <c r="F171" s="127">
        <f t="shared" si="14"/>
        <v>0</v>
      </c>
      <c r="G171" s="130">
        <f t="shared" si="11"/>
        <v>0</v>
      </c>
      <c r="H171" s="133">
        <f t="shared" si="12"/>
        <v>0</v>
      </c>
      <c r="I171" s="134">
        <v>0</v>
      </c>
      <c r="J171" s="129">
        <f t="shared" si="13"/>
        <v>0</v>
      </c>
    </row>
    <row r="172" spans="1:10">
      <c r="A172" s="122">
        <v>165</v>
      </c>
      <c r="D172" s="130">
        <v>0</v>
      </c>
      <c r="E172" s="131">
        <f t="shared" si="10"/>
        <v>0</v>
      </c>
      <c r="F172" s="127">
        <f t="shared" si="14"/>
        <v>0</v>
      </c>
      <c r="G172" s="130">
        <f t="shared" si="11"/>
        <v>0</v>
      </c>
      <c r="H172" s="133">
        <f t="shared" si="12"/>
        <v>0</v>
      </c>
      <c r="I172" s="134">
        <v>0</v>
      </c>
      <c r="J172" s="129">
        <f t="shared" si="13"/>
        <v>0</v>
      </c>
    </row>
    <row r="173" spans="1:10">
      <c r="A173" s="122">
        <v>166</v>
      </c>
      <c r="D173" s="130">
        <v>0</v>
      </c>
      <c r="E173" s="131">
        <f t="shared" si="10"/>
        <v>0</v>
      </c>
      <c r="F173" s="127">
        <f t="shared" si="14"/>
        <v>0</v>
      </c>
      <c r="G173" s="130">
        <f t="shared" si="11"/>
        <v>0</v>
      </c>
      <c r="H173" s="133">
        <f t="shared" si="12"/>
        <v>0</v>
      </c>
      <c r="I173" s="134">
        <v>0</v>
      </c>
      <c r="J173" s="129">
        <f t="shared" si="13"/>
        <v>0</v>
      </c>
    </row>
    <row r="174" spans="1:10">
      <c r="A174" s="122">
        <v>167</v>
      </c>
      <c r="D174" s="130">
        <v>0</v>
      </c>
      <c r="E174" s="131">
        <f t="shared" si="10"/>
        <v>0</v>
      </c>
      <c r="F174" s="127">
        <f t="shared" si="14"/>
        <v>0</v>
      </c>
      <c r="G174" s="130">
        <f t="shared" si="11"/>
        <v>0</v>
      </c>
      <c r="H174" s="133">
        <f t="shared" si="12"/>
        <v>0</v>
      </c>
      <c r="I174" s="134">
        <v>0</v>
      </c>
      <c r="J174" s="129">
        <f t="shared" si="13"/>
        <v>0</v>
      </c>
    </row>
    <row r="175" spans="1:10">
      <c r="A175" s="122">
        <v>168</v>
      </c>
      <c r="D175" s="130">
        <v>0</v>
      </c>
      <c r="E175" s="131">
        <f t="shared" si="10"/>
        <v>0</v>
      </c>
      <c r="F175" s="127">
        <f t="shared" si="14"/>
        <v>0</v>
      </c>
      <c r="G175" s="130">
        <f t="shared" si="11"/>
        <v>0</v>
      </c>
      <c r="H175" s="133">
        <f t="shared" si="12"/>
        <v>0</v>
      </c>
      <c r="I175" s="134">
        <v>0</v>
      </c>
      <c r="J175" s="129">
        <f t="shared" si="13"/>
        <v>0</v>
      </c>
    </row>
    <row r="176" spans="1:10">
      <c r="A176" s="122">
        <v>169</v>
      </c>
      <c r="D176" s="130">
        <v>0</v>
      </c>
      <c r="E176" s="131">
        <f t="shared" si="10"/>
        <v>0</v>
      </c>
      <c r="F176" s="127">
        <f t="shared" si="14"/>
        <v>0</v>
      </c>
      <c r="G176" s="130">
        <f t="shared" si="11"/>
        <v>0</v>
      </c>
      <c r="H176" s="133">
        <f t="shared" si="12"/>
        <v>0</v>
      </c>
      <c r="I176" s="134">
        <v>0</v>
      </c>
      <c r="J176" s="129">
        <f t="shared" si="13"/>
        <v>0</v>
      </c>
    </row>
    <row r="177" spans="1:10">
      <c r="A177" s="122">
        <v>170</v>
      </c>
      <c r="D177" s="130">
        <v>0</v>
      </c>
      <c r="E177" s="131">
        <f t="shared" si="10"/>
        <v>0</v>
      </c>
      <c r="F177" s="127">
        <f t="shared" si="14"/>
        <v>0</v>
      </c>
      <c r="G177" s="130">
        <f t="shared" si="11"/>
        <v>0</v>
      </c>
      <c r="H177" s="133">
        <f t="shared" si="12"/>
        <v>0</v>
      </c>
      <c r="I177" s="134">
        <v>0</v>
      </c>
      <c r="J177" s="129">
        <f t="shared" si="13"/>
        <v>0</v>
      </c>
    </row>
    <row r="178" spans="1:10">
      <c r="A178" s="122">
        <v>171</v>
      </c>
      <c r="D178" s="130">
        <v>0</v>
      </c>
      <c r="E178" s="131">
        <f t="shared" si="10"/>
        <v>0</v>
      </c>
      <c r="F178" s="127">
        <f t="shared" si="14"/>
        <v>0</v>
      </c>
      <c r="G178" s="130">
        <f t="shared" si="11"/>
        <v>0</v>
      </c>
      <c r="H178" s="133">
        <f t="shared" si="12"/>
        <v>0</v>
      </c>
      <c r="I178" s="134">
        <v>0</v>
      </c>
      <c r="J178" s="129">
        <f t="shared" si="13"/>
        <v>0</v>
      </c>
    </row>
    <row r="179" spans="1:10">
      <c r="A179" s="122">
        <v>172</v>
      </c>
      <c r="D179" s="130">
        <v>0</v>
      </c>
      <c r="E179" s="131">
        <f t="shared" si="10"/>
        <v>0</v>
      </c>
      <c r="F179" s="127">
        <f t="shared" si="14"/>
        <v>0</v>
      </c>
      <c r="G179" s="130">
        <f t="shared" si="11"/>
        <v>0</v>
      </c>
      <c r="H179" s="133">
        <f t="shared" si="12"/>
        <v>0</v>
      </c>
      <c r="I179" s="134">
        <v>0</v>
      </c>
      <c r="J179" s="129">
        <f t="shared" si="13"/>
        <v>0</v>
      </c>
    </row>
    <row r="180" spans="1:10">
      <c r="A180" s="122">
        <v>173</v>
      </c>
      <c r="D180" s="130">
        <v>0</v>
      </c>
      <c r="E180" s="131">
        <f t="shared" si="10"/>
        <v>0</v>
      </c>
      <c r="F180" s="127">
        <f t="shared" si="14"/>
        <v>0</v>
      </c>
      <c r="G180" s="130">
        <f t="shared" si="11"/>
        <v>0</v>
      </c>
      <c r="H180" s="133">
        <f t="shared" si="12"/>
        <v>0</v>
      </c>
      <c r="I180" s="134">
        <v>0</v>
      </c>
      <c r="J180" s="129">
        <f t="shared" si="13"/>
        <v>0</v>
      </c>
    </row>
    <row r="181" spans="1:10">
      <c r="A181" s="122">
        <v>174</v>
      </c>
      <c r="D181" s="130">
        <v>0</v>
      </c>
      <c r="E181" s="131">
        <f t="shared" si="10"/>
        <v>0</v>
      </c>
      <c r="F181" s="127">
        <f t="shared" si="14"/>
        <v>0</v>
      </c>
      <c r="G181" s="130">
        <f t="shared" si="11"/>
        <v>0</v>
      </c>
      <c r="H181" s="133">
        <f t="shared" si="12"/>
        <v>0</v>
      </c>
      <c r="I181" s="134">
        <v>0</v>
      </c>
      <c r="J181" s="129">
        <f t="shared" si="13"/>
        <v>0</v>
      </c>
    </row>
    <row r="182" spans="1:10">
      <c r="A182" s="122">
        <v>175</v>
      </c>
      <c r="D182" s="130">
        <v>0</v>
      </c>
      <c r="E182" s="131">
        <f t="shared" si="10"/>
        <v>0</v>
      </c>
      <c r="F182" s="127">
        <f t="shared" si="14"/>
        <v>0</v>
      </c>
      <c r="G182" s="130">
        <f t="shared" si="11"/>
        <v>0</v>
      </c>
      <c r="H182" s="133">
        <f t="shared" si="12"/>
        <v>0</v>
      </c>
      <c r="I182" s="134">
        <v>0</v>
      </c>
      <c r="J182" s="129">
        <f t="shared" si="13"/>
        <v>0</v>
      </c>
    </row>
    <row r="183" spans="1:10">
      <c r="A183" s="122">
        <v>176</v>
      </c>
      <c r="D183" s="130">
        <v>0</v>
      </c>
      <c r="E183" s="131">
        <f t="shared" si="10"/>
        <v>0</v>
      </c>
      <c r="F183" s="127">
        <f t="shared" si="14"/>
        <v>0</v>
      </c>
      <c r="G183" s="130">
        <f t="shared" si="11"/>
        <v>0</v>
      </c>
      <c r="H183" s="133">
        <f t="shared" si="12"/>
        <v>0</v>
      </c>
      <c r="I183" s="134">
        <v>0</v>
      </c>
      <c r="J183" s="129">
        <f t="shared" si="13"/>
        <v>0</v>
      </c>
    </row>
    <row r="184" spans="1:10">
      <c r="A184" s="122">
        <v>177</v>
      </c>
      <c r="D184" s="130">
        <v>0</v>
      </c>
      <c r="E184" s="131">
        <f t="shared" si="10"/>
        <v>0</v>
      </c>
      <c r="F184" s="127">
        <f t="shared" si="14"/>
        <v>0</v>
      </c>
      <c r="G184" s="130">
        <f t="shared" si="11"/>
        <v>0</v>
      </c>
      <c r="H184" s="133">
        <f t="shared" si="12"/>
        <v>0</v>
      </c>
      <c r="I184" s="134">
        <v>0</v>
      </c>
      <c r="J184" s="129">
        <f t="shared" si="13"/>
        <v>0</v>
      </c>
    </row>
    <row r="185" spans="1:10">
      <c r="A185" s="122">
        <v>178</v>
      </c>
      <c r="D185" s="130">
        <v>0</v>
      </c>
      <c r="E185" s="131">
        <f t="shared" si="10"/>
        <v>0</v>
      </c>
      <c r="F185" s="127">
        <f t="shared" si="14"/>
        <v>0</v>
      </c>
      <c r="G185" s="130">
        <f t="shared" si="11"/>
        <v>0</v>
      </c>
      <c r="H185" s="133">
        <f t="shared" si="12"/>
        <v>0</v>
      </c>
      <c r="I185" s="134">
        <v>0</v>
      </c>
      <c r="J185" s="129">
        <f t="shared" si="13"/>
        <v>0</v>
      </c>
    </row>
    <row r="186" spans="1:10">
      <c r="A186" s="122">
        <v>179</v>
      </c>
      <c r="D186" s="130">
        <v>0</v>
      </c>
      <c r="E186" s="131">
        <f t="shared" si="10"/>
        <v>0</v>
      </c>
      <c r="F186" s="127">
        <f t="shared" si="14"/>
        <v>0</v>
      </c>
      <c r="G186" s="130">
        <f t="shared" si="11"/>
        <v>0</v>
      </c>
      <c r="H186" s="133">
        <f t="shared" si="12"/>
        <v>0</v>
      </c>
      <c r="I186" s="134">
        <v>0</v>
      </c>
      <c r="J186" s="129">
        <f t="shared" si="13"/>
        <v>0</v>
      </c>
    </row>
    <row r="187" spans="1:10">
      <c r="A187" s="122">
        <v>180</v>
      </c>
      <c r="D187" s="130">
        <v>0</v>
      </c>
      <c r="E187" s="131">
        <f t="shared" si="10"/>
        <v>0</v>
      </c>
      <c r="F187" s="127">
        <f t="shared" si="14"/>
        <v>0</v>
      </c>
      <c r="G187" s="130">
        <f t="shared" si="11"/>
        <v>0</v>
      </c>
      <c r="H187" s="133">
        <f t="shared" si="12"/>
        <v>0</v>
      </c>
      <c r="I187" s="134">
        <v>0</v>
      </c>
      <c r="J187" s="129">
        <f t="shared" si="13"/>
        <v>0</v>
      </c>
    </row>
    <row r="188" spans="1:10">
      <c r="A188" s="122">
        <v>181</v>
      </c>
      <c r="D188" s="130">
        <v>0</v>
      </c>
      <c r="E188" s="131">
        <f t="shared" si="10"/>
        <v>0</v>
      </c>
      <c r="F188" s="127">
        <f t="shared" si="14"/>
        <v>0</v>
      </c>
      <c r="G188" s="130">
        <f t="shared" si="11"/>
        <v>0</v>
      </c>
      <c r="H188" s="133">
        <f t="shared" si="12"/>
        <v>0</v>
      </c>
      <c r="I188" s="134">
        <v>0</v>
      </c>
      <c r="J188" s="129">
        <f t="shared" si="13"/>
        <v>0</v>
      </c>
    </row>
    <row r="189" spans="1:10">
      <c r="A189" s="122">
        <v>182</v>
      </c>
      <c r="D189" s="130">
        <v>0</v>
      </c>
      <c r="E189" s="131">
        <f t="shared" si="10"/>
        <v>0</v>
      </c>
      <c r="F189" s="127">
        <f t="shared" si="14"/>
        <v>0</v>
      </c>
      <c r="G189" s="130">
        <f t="shared" si="11"/>
        <v>0</v>
      </c>
      <c r="H189" s="133">
        <f t="shared" si="12"/>
        <v>0</v>
      </c>
      <c r="I189" s="134">
        <v>0</v>
      </c>
      <c r="J189" s="129">
        <f t="shared" si="13"/>
        <v>0</v>
      </c>
    </row>
    <row r="190" spans="1:10">
      <c r="A190" s="122">
        <v>183</v>
      </c>
      <c r="D190" s="130">
        <v>0</v>
      </c>
      <c r="E190" s="131">
        <f t="shared" si="10"/>
        <v>0</v>
      </c>
      <c r="F190" s="127">
        <f t="shared" si="14"/>
        <v>0</v>
      </c>
      <c r="G190" s="130">
        <f t="shared" si="11"/>
        <v>0</v>
      </c>
      <c r="H190" s="133">
        <f t="shared" si="12"/>
        <v>0</v>
      </c>
      <c r="I190" s="134">
        <v>0</v>
      </c>
      <c r="J190" s="129">
        <f t="shared" si="13"/>
        <v>0</v>
      </c>
    </row>
    <row r="191" spans="1:10">
      <c r="A191" s="122">
        <v>184</v>
      </c>
      <c r="D191" s="130">
        <v>0</v>
      </c>
      <c r="E191" s="131">
        <f t="shared" si="10"/>
        <v>0</v>
      </c>
      <c r="F191" s="127">
        <f t="shared" si="14"/>
        <v>0</v>
      </c>
      <c r="G191" s="130">
        <f t="shared" si="11"/>
        <v>0</v>
      </c>
      <c r="H191" s="133">
        <f t="shared" si="12"/>
        <v>0</v>
      </c>
      <c r="I191" s="134">
        <v>0</v>
      </c>
      <c r="J191" s="129">
        <f t="shared" si="13"/>
        <v>0</v>
      </c>
    </row>
    <row r="192" spans="1:10">
      <c r="A192" s="122">
        <v>185</v>
      </c>
      <c r="D192" s="130">
        <v>0</v>
      </c>
      <c r="E192" s="131">
        <f t="shared" si="10"/>
        <v>0</v>
      </c>
      <c r="F192" s="127">
        <f t="shared" si="14"/>
        <v>0</v>
      </c>
      <c r="G192" s="130">
        <f t="shared" si="11"/>
        <v>0</v>
      </c>
      <c r="H192" s="133">
        <f t="shared" si="12"/>
        <v>0</v>
      </c>
      <c r="I192" s="134">
        <v>0</v>
      </c>
      <c r="J192" s="129">
        <f t="shared" si="13"/>
        <v>0</v>
      </c>
    </row>
    <row r="193" spans="1:10">
      <c r="A193" s="122">
        <v>186</v>
      </c>
      <c r="D193" s="130">
        <v>0</v>
      </c>
      <c r="E193" s="131">
        <f t="shared" si="10"/>
        <v>0</v>
      </c>
      <c r="F193" s="127">
        <f t="shared" si="14"/>
        <v>0</v>
      </c>
      <c r="G193" s="130">
        <f t="shared" si="11"/>
        <v>0</v>
      </c>
      <c r="H193" s="133">
        <f t="shared" si="12"/>
        <v>0</v>
      </c>
      <c r="I193" s="134">
        <v>0</v>
      </c>
      <c r="J193" s="129">
        <f t="shared" si="13"/>
        <v>0</v>
      </c>
    </row>
    <row r="194" spans="1:10">
      <c r="A194" s="122">
        <v>187</v>
      </c>
      <c r="D194" s="130">
        <v>0</v>
      </c>
      <c r="E194" s="131">
        <f t="shared" si="10"/>
        <v>0</v>
      </c>
      <c r="F194" s="127">
        <f t="shared" si="14"/>
        <v>0</v>
      </c>
      <c r="G194" s="130">
        <f t="shared" si="11"/>
        <v>0</v>
      </c>
      <c r="H194" s="133">
        <f t="shared" si="12"/>
        <v>0</v>
      </c>
      <c r="I194" s="134">
        <v>0</v>
      </c>
      <c r="J194" s="129">
        <f t="shared" si="13"/>
        <v>0</v>
      </c>
    </row>
    <row r="195" spans="1:10">
      <c r="A195" s="122">
        <v>188</v>
      </c>
      <c r="D195" s="130">
        <v>0</v>
      </c>
      <c r="E195" s="131">
        <f t="shared" si="10"/>
        <v>0</v>
      </c>
      <c r="F195" s="127">
        <f t="shared" si="14"/>
        <v>0</v>
      </c>
      <c r="G195" s="130">
        <f t="shared" si="11"/>
        <v>0</v>
      </c>
      <c r="H195" s="133">
        <f t="shared" si="12"/>
        <v>0</v>
      </c>
      <c r="I195" s="134">
        <v>0</v>
      </c>
      <c r="J195" s="129">
        <f t="shared" si="13"/>
        <v>0</v>
      </c>
    </row>
    <row r="196" spans="1:10">
      <c r="A196" s="122">
        <v>189</v>
      </c>
      <c r="D196" s="130">
        <v>0</v>
      </c>
      <c r="E196" s="131">
        <f t="shared" si="10"/>
        <v>0</v>
      </c>
      <c r="F196" s="127">
        <f t="shared" si="14"/>
        <v>0</v>
      </c>
      <c r="G196" s="130">
        <f t="shared" si="11"/>
        <v>0</v>
      </c>
      <c r="H196" s="133">
        <f t="shared" si="12"/>
        <v>0</v>
      </c>
      <c r="I196" s="134">
        <v>0</v>
      </c>
      <c r="J196" s="129">
        <f t="shared" si="13"/>
        <v>0</v>
      </c>
    </row>
    <row r="197" spans="1:10">
      <c r="A197" s="122">
        <v>190</v>
      </c>
      <c r="D197" s="130">
        <v>0</v>
      </c>
      <c r="E197" s="131">
        <f t="shared" si="10"/>
        <v>0</v>
      </c>
      <c r="F197" s="127">
        <f t="shared" si="14"/>
        <v>0</v>
      </c>
      <c r="G197" s="130">
        <f t="shared" si="11"/>
        <v>0</v>
      </c>
      <c r="H197" s="133">
        <f t="shared" si="12"/>
        <v>0</v>
      </c>
      <c r="I197" s="134">
        <v>0</v>
      </c>
      <c r="J197" s="129">
        <f t="shared" si="13"/>
        <v>0</v>
      </c>
    </row>
    <row r="198" spans="1:10">
      <c r="A198" s="122">
        <v>191</v>
      </c>
      <c r="D198" s="130">
        <v>0</v>
      </c>
      <c r="E198" s="131">
        <f t="shared" si="10"/>
        <v>0</v>
      </c>
      <c r="F198" s="127">
        <f t="shared" si="14"/>
        <v>0</v>
      </c>
      <c r="G198" s="130">
        <f t="shared" si="11"/>
        <v>0</v>
      </c>
      <c r="H198" s="133">
        <f t="shared" si="12"/>
        <v>0</v>
      </c>
      <c r="I198" s="134">
        <v>0</v>
      </c>
      <c r="J198" s="129">
        <f t="shared" si="13"/>
        <v>0</v>
      </c>
    </row>
    <row r="199" spans="1:10">
      <c r="A199" s="122">
        <v>192</v>
      </c>
      <c r="D199" s="130">
        <v>0</v>
      </c>
      <c r="E199" s="131">
        <f t="shared" si="10"/>
        <v>0</v>
      </c>
      <c r="F199" s="127">
        <f t="shared" si="14"/>
        <v>0</v>
      </c>
      <c r="G199" s="130">
        <f t="shared" si="11"/>
        <v>0</v>
      </c>
      <c r="H199" s="133">
        <f t="shared" si="12"/>
        <v>0</v>
      </c>
      <c r="I199" s="134">
        <v>0</v>
      </c>
      <c r="J199" s="129">
        <f t="shared" si="13"/>
        <v>0</v>
      </c>
    </row>
    <row r="200" spans="1:10">
      <c r="A200" s="122">
        <v>193</v>
      </c>
      <c r="D200" s="130">
        <v>0</v>
      </c>
      <c r="E200" s="131">
        <f t="shared" ref="E200:E263" si="15">IF(D200&lt;=300000,0,IF(D200&gt;=20000000,(D200*0.21),(D200*0.2)+200000))</f>
        <v>0</v>
      </c>
      <c r="F200" s="127">
        <f t="shared" si="14"/>
        <v>0</v>
      </c>
      <c r="G200" s="130">
        <f t="shared" ref="G200:G263" si="16">IF(E200=0,(D200*0.01),IF(F200&lt;=0,0.01*D200,IF(AND(F200&gt;0,F200&lt;=300000),F200*7%,IF(AND(F200&gt;=300000,F200&lt;600000),21000+(F200-300000)*11%,IF(AND(F200&gt;=600000,F200&lt;1100000),54000+(F200-600000)*15%,IF(AND(F200&gt;=1100000,F200&lt;1600000),129000+(F200-1100000)*19%,IF(AND(F200&gt;=1600000,F200&lt;3200000),224000+(F200-1600000)*21%,560000+(F200-3200000)*24%)))))))</f>
        <v>0</v>
      </c>
      <c r="H200" s="133">
        <f t="shared" ref="H200:H263" si="17">G200/12</f>
        <v>0</v>
      </c>
      <c r="I200" s="134">
        <v>0</v>
      </c>
      <c r="J200" s="129">
        <f t="shared" ref="J200:J263" si="18">+H200*I200</f>
        <v>0</v>
      </c>
    </row>
    <row r="201" spans="1:10">
      <c r="A201" s="122">
        <v>194</v>
      </c>
      <c r="D201" s="130">
        <v>0</v>
      </c>
      <c r="E201" s="131">
        <f t="shared" si="15"/>
        <v>0</v>
      </c>
      <c r="F201" s="127">
        <f t="shared" ref="F201:F264" si="19">+D201-E201</f>
        <v>0</v>
      </c>
      <c r="G201" s="130">
        <f t="shared" si="16"/>
        <v>0</v>
      </c>
      <c r="H201" s="133">
        <f t="shared" si="17"/>
        <v>0</v>
      </c>
      <c r="I201" s="134">
        <v>0</v>
      </c>
      <c r="J201" s="129">
        <f t="shared" si="18"/>
        <v>0</v>
      </c>
    </row>
    <row r="202" spans="1:10">
      <c r="A202" s="122">
        <v>195</v>
      </c>
      <c r="D202" s="130">
        <v>0</v>
      </c>
      <c r="E202" s="131">
        <f t="shared" si="15"/>
        <v>0</v>
      </c>
      <c r="F202" s="127">
        <f t="shared" si="19"/>
        <v>0</v>
      </c>
      <c r="G202" s="130">
        <f t="shared" si="16"/>
        <v>0</v>
      </c>
      <c r="H202" s="133">
        <f t="shared" si="17"/>
        <v>0</v>
      </c>
      <c r="I202" s="134">
        <v>0</v>
      </c>
      <c r="J202" s="129">
        <f t="shared" si="18"/>
        <v>0</v>
      </c>
    </row>
    <row r="203" spans="1:10">
      <c r="A203" s="122">
        <v>196</v>
      </c>
      <c r="D203" s="130">
        <v>0</v>
      </c>
      <c r="E203" s="131">
        <f t="shared" si="15"/>
        <v>0</v>
      </c>
      <c r="F203" s="127">
        <f t="shared" si="19"/>
        <v>0</v>
      </c>
      <c r="G203" s="130">
        <f t="shared" si="16"/>
        <v>0</v>
      </c>
      <c r="H203" s="133">
        <f t="shared" si="17"/>
        <v>0</v>
      </c>
      <c r="I203" s="134">
        <v>0</v>
      </c>
      <c r="J203" s="129">
        <f t="shared" si="18"/>
        <v>0</v>
      </c>
    </row>
    <row r="204" spans="1:10">
      <c r="A204" s="122">
        <v>197</v>
      </c>
      <c r="D204" s="130">
        <v>0</v>
      </c>
      <c r="E204" s="131">
        <f t="shared" si="15"/>
        <v>0</v>
      </c>
      <c r="F204" s="127">
        <f t="shared" si="19"/>
        <v>0</v>
      </c>
      <c r="G204" s="130">
        <f t="shared" si="16"/>
        <v>0</v>
      </c>
      <c r="H204" s="133">
        <f t="shared" si="17"/>
        <v>0</v>
      </c>
      <c r="I204" s="134">
        <v>0</v>
      </c>
      <c r="J204" s="129">
        <f t="shared" si="18"/>
        <v>0</v>
      </c>
    </row>
    <row r="205" spans="1:10">
      <c r="A205" s="122">
        <v>198</v>
      </c>
      <c r="D205" s="130">
        <v>0</v>
      </c>
      <c r="E205" s="131">
        <f t="shared" si="15"/>
        <v>0</v>
      </c>
      <c r="F205" s="127">
        <f t="shared" si="19"/>
        <v>0</v>
      </c>
      <c r="G205" s="130">
        <f t="shared" si="16"/>
        <v>0</v>
      </c>
      <c r="H205" s="133">
        <f t="shared" si="17"/>
        <v>0</v>
      </c>
      <c r="I205" s="134">
        <v>0</v>
      </c>
      <c r="J205" s="129">
        <f t="shared" si="18"/>
        <v>0</v>
      </c>
    </row>
    <row r="206" spans="1:10">
      <c r="A206" s="122">
        <v>199</v>
      </c>
      <c r="D206" s="130">
        <v>0</v>
      </c>
      <c r="E206" s="131">
        <f t="shared" si="15"/>
        <v>0</v>
      </c>
      <c r="F206" s="127">
        <f t="shared" si="19"/>
        <v>0</v>
      </c>
      <c r="G206" s="130">
        <f t="shared" si="16"/>
        <v>0</v>
      </c>
      <c r="H206" s="133">
        <f t="shared" si="17"/>
        <v>0</v>
      </c>
      <c r="I206" s="134">
        <v>0</v>
      </c>
      <c r="J206" s="129">
        <f t="shared" si="18"/>
        <v>0</v>
      </c>
    </row>
    <row r="207" spans="1:10">
      <c r="A207" s="122">
        <v>200</v>
      </c>
      <c r="D207" s="130">
        <v>0</v>
      </c>
      <c r="E207" s="131">
        <f t="shared" si="15"/>
        <v>0</v>
      </c>
      <c r="F207" s="127">
        <f t="shared" si="19"/>
        <v>0</v>
      </c>
      <c r="G207" s="130">
        <f t="shared" si="16"/>
        <v>0</v>
      </c>
      <c r="H207" s="133">
        <f t="shared" si="17"/>
        <v>0</v>
      </c>
      <c r="I207" s="134">
        <v>0</v>
      </c>
      <c r="J207" s="129">
        <f t="shared" si="18"/>
        <v>0</v>
      </c>
    </row>
    <row r="208" spans="1:10">
      <c r="A208" s="122">
        <v>201</v>
      </c>
      <c r="D208" s="130">
        <v>0</v>
      </c>
      <c r="E208" s="131">
        <f t="shared" si="15"/>
        <v>0</v>
      </c>
      <c r="F208" s="127">
        <f t="shared" si="19"/>
        <v>0</v>
      </c>
      <c r="G208" s="130">
        <f t="shared" si="16"/>
        <v>0</v>
      </c>
      <c r="H208" s="133">
        <f t="shared" si="17"/>
        <v>0</v>
      </c>
      <c r="I208" s="134">
        <v>0</v>
      </c>
      <c r="J208" s="129">
        <f t="shared" si="18"/>
        <v>0</v>
      </c>
    </row>
    <row r="209" spans="1:10">
      <c r="A209" s="122">
        <v>202</v>
      </c>
      <c r="D209" s="130">
        <v>0</v>
      </c>
      <c r="E209" s="131">
        <f t="shared" si="15"/>
        <v>0</v>
      </c>
      <c r="F209" s="127">
        <f t="shared" si="19"/>
        <v>0</v>
      </c>
      <c r="G209" s="130">
        <f t="shared" si="16"/>
        <v>0</v>
      </c>
      <c r="H209" s="133">
        <f t="shared" si="17"/>
        <v>0</v>
      </c>
      <c r="I209" s="134">
        <v>0</v>
      </c>
      <c r="J209" s="129">
        <f t="shared" si="18"/>
        <v>0</v>
      </c>
    </row>
    <row r="210" spans="1:10">
      <c r="A210" s="122">
        <v>203</v>
      </c>
      <c r="D210" s="130">
        <v>0</v>
      </c>
      <c r="E210" s="131">
        <f t="shared" si="15"/>
        <v>0</v>
      </c>
      <c r="F210" s="127">
        <f t="shared" si="19"/>
        <v>0</v>
      </c>
      <c r="G210" s="130">
        <f t="shared" si="16"/>
        <v>0</v>
      </c>
      <c r="H210" s="133">
        <f t="shared" si="17"/>
        <v>0</v>
      </c>
      <c r="I210" s="134">
        <v>0</v>
      </c>
      <c r="J210" s="129">
        <f t="shared" si="18"/>
        <v>0</v>
      </c>
    </row>
    <row r="211" spans="1:10">
      <c r="A211" s="122">
        <v>204</v>
      </c>
      <c r="D211" s="130">
        <v>0</v>
      </c>
      <c r="E211" s="131">
        <f t="shared" si="15"/>
        <v>0</v>
      </c>
      <c r="F211" s="127">
        <f t="shared" si="19"/>
        <v>0</v>
      </c>
      <c r="G211" s="130">
        <f t="shared" si="16"/>
        <v>0</v>
      </c>
      <c r="H211" s="133">
        <f t="shared" si="17"/>
        <v>0</v>
      </c>
      <c r="I211" s="134">
        <v>0</v>
      </c>
      <c r="J211" s="129">
        <f t="shared" si="18"/>
        <v>0</v>
      </c>
    </row>
    <row r="212" spans="1:10">
      <c r="A212" s="122">
        <v>205</v>
      </c>
      <c r="D212" s="130">
        <v>0</v>
      </c>
      <c r="E212" s="131">
        <f t="shared" si="15"/>
        <v>0</v>
      </c>
      <c r="F212" s="127">
        <f t="shared" si="19"/>
        <v>0</v>
      </c>
      <c r="G212" s="130">
        <f t="shared" si="16"/>
        <v>0</v>
      </c>
      <c r="H212" s="133">
        <f t="shared" si="17"/>
        <v>0</v>
      </c>
      <c r="I212" s="134">
        <v>0</v>
      </c>
      <c r="J212" s="129">
        <f t="shared" si="18"/>
        <v>0</v>
      </c>
    </row>
    <row r="213" spans="1:10">
      <c r="A213" s="122">
        <v>206</v>
      </c>
      <c r="D213" s="130">
        <v>0</v>
      </c>
      <c r="E213" s="131">
        <f t="shared" si="15"/>
        <v>0</v>
      </c>
      <c r="F213" s="127">
        <f t="shared" si="19"/>
        <v>0</v>
      </c>
      <c r="G213" s="130">
        <f t="shared" si="16"/>
        <v>0</v>
      </c>
      <c r="H213" s="133">
        <f t="shared" si="17"/>
        <v>0</v>
      </c>
      <c r="I213" s="134">
        <v>0</v>
      </c>
      <c r="J213" s="129">
        <f t="shared" si="18"/>
        <v>0</v>
      </c>
    </row>
    <row r="214" spans="1:10">
      <c r="A214" s="122">
        <v>207</v>
      </c>
      <c r="D214" s="130">
        <v>0</v>
      </c>
      <c r="E214" s="131">
        <f t="shared" si="15"/>
        <v>0</v>
      </c>
      <c r="F214" s="127">
        <f t="shared" si="19"/>
        <v>0</v>
      </c>
      <c r="G214" s="130">
        <f t="shared" si="16"/>
        <v>0</v>
      </c>
      <c r="H214" s="133">
        <f t="shared" si="17"/>
        <v>0</v>
      </c>
      <c r="I214" s="134">
        <v>0</v>
      </c>
      <c r="J214" s="129">
        <f t="shared" si="18"/>
        <v>0</v>
      </c>
    </row>
    <row r="215" spans="1:10">
      <c r="A215" s="122">
        <v>208</v>
      </c>
      <c r="D215" s="130">
        <v>0</v>
      </c>
      <c r="E215" s="131">
        <f t="shared" si="15"/>
        <v>0</v>
      </c>
      <c r="F215" s="127">
        <f t="shared" si="19"/>
        <v>0</v>
      </c>
      <c r="G215" s="130">
        <f t="shared" si="16"/>
        <v>0</v>
      </c>
      <c r="H215" s="133">
        <f t="shared" si="17"/>
        <v>0</v>
      </c>
      <c r="I215" s="134">
        <v>0</v>
      </c>
      <c r="J215" s="129">
        <f t="shared" si="18"/>
        <v>0</v>
      </c>
    </row>
    <row r="216" spans="1:10">
      <c r="A216" s="122">
        <v>209</v>
      </c>
      <c r="D216" s="130">
        <v>0</v>
      </c>
      <c r="E216" s="131">
        <f t="shared" si="15"/>
        <v>0</v>
      </c>
      <c r="F216" s="127">
        <f t="shared" si="19"/>
        <v>0</v>
      </c>
      <c r="G216" s="130">
        <f t="shared" si="16"/>
        <v>0</v>
      </c>
      <c r="H216" s="133">
        <f t="shared" si="17"/>
        <v>0</v>
      </c>
      <c r="I216" s="134">
        <v>0</v>
      </c>
      <c r="J216" s="129">
        <f t="shared" si="18"/>
        <v>0</v>
      </c>
    </row>
    <row r="217" spans="1:10">
      <c r="A217" s="122">
        <v>210</v>
      </c>
      <c r="D217" s="130">
        <v>0</v>
      </c>
      <c r="E217" s="131">
        <f t="shared" si="15"/>
        <v>0</v>
      </c>
      <c r="F217" s="127">
        <f t="shared" si="19"/>
        <v>0</v>
      </c>
      <c r="G217" s="130">
        <f t="shared" si="16"/>
        <v>0</v>
      </c>
      <c r="H217" s="133">
        <f t="shared" si="17"/>
        <v>0</v>
      </c>
      <c r="I217" s="134">
        <v>0</v>
      </c>
      <c r="J217" s="129">
        <f t="shared" si="18"/>
        <v>0</v>
      </c>
    </row>
    <row r="218" spans="1:10">
      <c r="A218" s="122">
        <v>211</v>
      </c>
      <c r="D218" s="130">
        <v>0</v>
      </c>
      <c r="E218" s="131">
        <f t="shared" si="15"/>
        <v>0</v>
      </c>
      <c r="F218" s="127">
        <f t="shared" si="19"/>
        <v>0</v>
      </c>
      <c r="G218" s="130">
        <f t="shared" si="16"/>
        <v>0</v>
      </c>
      <c r="H218" s="133">
        <f t="shared" si="17"/>
        <v>0</v>
      </c>
      <c r="I218" s="134">
        <v>0</v>
      </c>
      <c r="J218" s="129">
        <f t="shared" si="18"/>
        <v>0</v>
      </c>
    </row>
    <row r="219" spans="1:10">
      <c r="A219" s="122">
        <v>212</v>
      </c>
      <c r="D219" s="130">
        <v>0</v>
      </c>
      <c r="E219" s="131">
        <f t="shared" si="15"/>
        <v>0</v>
      </c>
      <c r="F219" s="127">
        <f t="shared" si="19"/>
        <v>0</v>
      </c>
      <c r="G219" s="130">
        <f t="shared" si="16"/>
        <v>0</v>
      </c>
      <c r="H219" s="133">
        <f t="shared" si="17"/>
        <v>0</v>
      </c>
      <c r="I219" s="134">
        <v>0</v>
      </c>
      <c r="J219" s="129">
        <f t="shared" si="18"/>
        <v>0</v>
      </c>
    </row>
    <row r="220" spans="1:10">
      <c r="A220" s="122">
        <v>213</v>
      </c>
      <c r="D220" s="130">
        <v>0</v>
      </c>
      <c r="E220" s="131">
        <f t="shared" si="15"/>
        <v>0</v>
      </c>
      <c r="F220" s="127">
        <f t="shared" si="19"/>
        <v>0</v>
      </c>
      <c r="G220" s="130">
        <f t="shared" si="16"/>
        <v>0</v>
      </c>
      <c r="H220" s="133">
        <f t="shared" si="17"/>
        <v>0</v>
      </c>
      <c r="I220" s="134">
        <v>0</v>
      </c>
      <c r="J220" s="129">
        <f t="shared" si="18"/>
        <v>0</v>
      </c>
    </row>
    <row r="221" spans="1:10">
      <c r="A221" s="122">
        <v>214</v>
      </c>
      <c r="D221" s="130">
        <v>0</v>
      </c>
      <c r="E221" s="131">
        <f t="shared" si="15"/>
        <v>0</v>
      </c>
      <c r="F221" s="127">
        <f t="shared" si="19"/>
        <v>0</v>
      </c>
      <c r="G221" s="130">
        <f t="shared" si="16"/>
        <v>0</v>
      </c>
      <c r="H221" s="133">
        <f t="shared" si="17"/>
        <v>0</v>
      </c>
      <c r="I221" s="134">
        <v>0</v>
      </c>
      <c r="J221" s="129">
        <f t="shared" si="18"/>
        <v>0</v>
      </c>
    </row>
    <row r="222" spans="1:10">
      <c r="A222" s="122">
        <v>215</v>
      </c>
      <c r="D222" s="130">
        <v>0</v>
      </c>
      <c r="E222" s="131">
        <f t="shared" si="15"/>
        <v>0</v>
      </c>
      <c r="F222" s="127">
        <f t="shared" si="19"/>
        <v>0</v>
      </c>
      <c r="G222" s="130">
        <f t="shared" si="16"/>
        <v>0</v>
      </c>
      <c r="H222" s="133">
        <f t="shared" si="17"/>
        <v>0</v>
      </c>
      <c r="I222" s="134">
        <v>0</v>
      </c>
      <c r="J222" s="129">
        <f t="shared" si="18"/>
        <v>0</v>
      </c>
    </row>
    <row r="223" spans="1:10">
      <c r="A223" s="122">
        <v>216</v>
      </c>
      <c r="D223" s="130">
        <v>0</v>
      </c>
      <c r="E223" s="131">
        <f t="shared" si="15"/>
        <v>0</v>
      </c>
      <c r="F223" s="127">
        <f t="shared" si="19"/>
        <v>0</v>
      </c>
      <c r="G223" s="130">
        <f t="shared" si="16"/>
        <v>0</v>
      </c>
      <c r="H223" s="133">
        <f t="shared" si="17"/>
        <v>0</v>
      </c>
      <c r="I223" s="134">
        <v>0</v>
      </c>
      <c r="J223" s="129">
        <f t="shared" si="18"/>
        <v>0</v>
      </c>
    </row>
    <row r="224" spans="1:10">
      <c r="A224" s="122">
        <v>217</v>
      </c>
      <c r="D224" s="130">
        <v>0</v>
      </c>
      <c r="E224" s="131">
        <f t="shared" si="15"/>
        <v>0</v>
      </c>
      <c r="F224" s="127">
        <f t="shared" si="19"/>
        <v>0</v>
      </c>
      <c r="G224" s="130">
        <f t="shared" si="16"/>
        <v>0</v>
      </c>
      <c r="H224" s="133">
        <f t="shared" si="17"/>
        <v>0</v>
      </c>
      <c r="I224" s="134">
        <v>0</v>
      </c>
      <c r="J224" s="129">
        <f t="shared" si="18"/>
        <v>0</v>
      </c>
    </row>
    <row r="225" spans="1:10">
      <c r="A225" s="122">
        <v>218</v>
      </c>
      <c r="D225" s="130">
        <v>0</v>
      </c>
      <c r="E225" s="131">
        <f t="shared" si="15"/>
        <v>0</v>
      </c>
      <c r="F225" s="127">
        <f t="shared" si="19"/>
        <v>0</v>
      </c>
      <c r="G225" s="130">
        <f t="shared" si="16"/>
        <v>0</v>
      </c>
      <c r="H225" s="133">
        <f t="shared" si="17"/>
        <v>0</v>
      </c>
      <c r="I225" s="134">
        <v>0</v>
      </c>
      <c r="J225" s="129">
        <f t="shared" si="18"/>
        <v>0</v>
      </c>
    </row>
    <row r="226" spans="1:10">
      <c r="A226" s="122">
        <v>219</v>
      </c>
      <c r="D226" s="130">
        <v>0</v>
      </c>
      <c r="E226" s="131">
        <f t="shared" si="15"/>
        <v>0</v>
      </c>
      <c r="F226" s="127">
        <f t="shared" si="19"/>
        <v>0</v>
      </c>
      <c r="G226" s="130">
        <f t="shared" si="16"/>
        <v>0</v>
      </c>
      <c r="H226" s="133">
        <f t="shared" si="17"/>
        <v>0</v>
      </c>
      <c r="I226" s="134">
        <v>0</v>
      </c>
      <c r="J226" s="129">
        <f t="shared" si="18"/>
        <v>0</v>
      </c>
    </row>
    <row r="227" spans="1:10">
      <c r="A227" s="122">
        <v>220</v>
      </c>
      <c r="D227" s="130">
        <v>0</v>
      </c>
      <c r="E227" s="131">
        <f t="shared" si="15"/>
        <v>0</v>
      </c>
      <c r="F227" s="127">
        <f t="shared" si="19"/>
        <v>0</v>
      </c>
      <c r="G227" s="130">
        <f t="shared" si="16"/>
        <v>0</v>
      </c>
      <c r="H227" s="133">
        <f t="shared" si="17"/>
        <v>0</v>
      </c>
      <c r="I227" s="134">
        <v>0</v>
      </c>
      <c r="J227" s="129">
        <f t="shared" si="18"/>
        <v>0</v>
      </c>
    </row>
    <row r="228" spans="1:10">
      <c r="A228" s="122">
        <v>221</v>
      </c>
      <c r="D228" s="130">
        <v>0</v>
      </c>
      <c r="E228" s="131">
        <f t="shared" si="15"/>
        <v>0</v>
      </c>
      <c r="F228" s="127">
        <f t="shared" si="19"/>
        <v>0</v>
      </c>
      <c r="G228" s="130">
        <f t="shared" si="16"/>
        <v>0</v>
      </c>
      <c r="H228" s="133">
        <f t="shared" si="17"/>
        <v>0</v>
      </c>
      <c r="I228" s="134">
        <v>0</v>
      </c>
      <c r="J228" s="129">
        <f t="shared" si="18"/>
        <v>0</v>
      </c>
    </row>
    <row r="229" spans="1:10">
      <c r="A229" s="122">
        <v>222</v>
      </c>
      <c r="D229" s="130">
        <v>0</v>
      </c>
      <c r="E229" s="131">
        <f t="shared" si="15"/>
        <v>0</v>
      </c>
      <c r="F229" s="127">
        <f t="shared" si="19"/>
        <v>0</v>
      </c>
      <c r="G229" s="130">
        <f t="shared" si="16"/>
        <v>0</v>
      </c>
      <c r="H229" s="133">
        <f t="shared" si="17"/>
        <v>0</v>
      </c>
      <c r="I229" s="134">
        <v>0</v>
      </c>
      <c r="J229" s="129">
        <f t="shared" si="18"/>
        <v>0</v>
      </c>
    </row>
    <row r="230" spans="1:10">
      <c r="A230" s="122">
        <v>223</v>
      </c>
      <c r="D230" s="130">
        <v>0</v>
      </c>
      <c r="E230" s="131">
        <f t="shared" si="15"/>
        <v>0</v>
      </c>
      <c r="F230" s="127">
        <f t="shared" si="19"/>
        <v>0</v>
      </c>
      <c r="G230" s="130">
        <f t="shared" si="16"/>
        <v>0</v>
      </c>
      <c r="H230" s="133">
        <f t="shared" si="17"/>
        <v>0</v>
      </c>
      <c r="I230" s="134">
        <v>0</v>
      </c>
      <c r="J230" s="129">
        <f t="shared" si="18"/>
        <v>0</v>
      </c>
    </row>
    <row r="231" spans="1:10">
      <c r="A231" s="122">
        <v>224</v>
      </c>
      <c r="D231" s="130">
        <v>0</v>
      </c>
      <c r="E231" s="131">
        <f t="shared" si="15"/>
        <v>0</v>
      </c>
      <c r="F231" s="127">
        <f t="shared" si="19"/>
        <v>0</v>
      </c>
      <c r="G231" s="130">
        <f t="shared" si="16"/>
        <v>0</v>
      </c>
      <c r="H231" s="133">
        <f t="shared" si="17"/>
        <v>0</v>
      </c>
      <c r="I231" s="134">
        <v>0</v>
      </c>
      <c r="J231" s="129">
        <f t="shared" si="18"/>
        <v>0</v>
      </c>
    </row>
    <row r="232" spans="1:10">
      <c r="A232" s="122">
        <v>225</v>
      </c>
      <c r="D232" s="130">
        <v>0</v>
      </c>
      <c r="E232" s="131">
        <f t="shared" si="15"/>
        <v>0</v>
      </c>
      <c r="F232" s="127">
        <f t="shared" si="19"/>
        <v>0</v>
      </c>
      <c r="G232" s="130">
        <f t="shared" si="16"/>
        <v>0</v>
      </c>
      <c r="H232" s="133">
        <f t="shared" si="17"/>
        <v>0</v>
      </c>
      <c r="I232" s="134">
        <v>0</v>
      </c>
      <c r="J232" s="129">
        <f t="shared" si="18"/>
        <v>0</v>
      </c>
    </row>
    <row r="233" spans="1:10">
      <c r="A233" s="122">
        <v>226</v>
      </c>
      <c r="D233" s="130">
        <v>0</v>
      </c>
      <c r="E233" s="131">
        <f t="shared" si="15"/>
        <v>0</v>
      </c>
      <c r="F233" s="127">
        <f t="shared" si="19"/>
        <v>0</v>
      </c>
      <c r="G233" s="130">
        <f t="shared" si="16"/>
        <v>0</v>
      </c>
      <c r="H233" s="133">
        <f t="shared" si="17"/>
        <v>0</v>
      </c>
      <c r="I233" s="134">
        <v>0</v>
      </c>
      <c r="J233" s="129">
        <f t="shared" si="18"/>
        <v>0</v>
      </c>
    </row>
    <row r="234" spans="1:10">
      <c r="A234" s="122">
        <v>227</v>
      </c>
      <c r="D234" s="130">
        <v>0</v>
      </c>
      <c r="E234" s="131">
        <f t="shared" si="15"/>
        <v>0</v>
      </c>
      <c r="F234" s="127">
        <f t="shared" si="19"/>
        <v>0</v>
      </c>
      <c r="G234" s="130">
        <f t="shared" si="16"/>
        <v>0</v>
      </c>
      <c r="H234" s="133">
        <f t="shared" si="17"/>
        <v>0</v>
      </c>
      <c r="I234" s="134">
        <v>0</v>
      </c>
      <c r="J234" s="129">
        <f t="shared" si="18"/>
        <v>0</v>
      </c>
    </row>
    <row r="235" spans="1:10">
      <c r="A235" s="122">
        <v>228</v>
      </c>
      <c r="D235" s="130">
        <v>0</v>
      </c>
      <c r="E235" s="131">
        <f t="shared" si="15"/>
        <v>0</v>
      </c>
      <c r="F235" s="127">
        <f t="shared" si="19"/>
        <v>0</v>
      </c>
      <c r="G235" s="130">
        <f t="shared" si="16"/>
        <v>0</v>
      </c>
      <c r="H235" s="133">
        <f t="shared" si="17"/>
        <v>0</v>
      </c>
      <c r="I235" s="134">
        <v>0</v>
      </c>
      <c r="J235" s="129">
        <f t="shared" si="18"/>
        <v>0</v>
      </c>
    </row>
    <row r="236" spans="1:10">
      <c r="A236" s="122">
        <v>229</v>
      </c>
      <c r="D236" s="130">
        <v>0</v>
      </c>
      <c r="E236" s="131">
        <f t="shared" si="15"/>
        <v>0</v>
      </c>
      <c r="F236" s="127">
        <f t="shared" si="19"/>
        <v>0</v>
      </c>
      <c r="G236" s="130">
        <f t="shared" si="16"/>
        <v>0</v>
      </c>
      <c r="H236" s="133">
        <f t="shared" si="17"/>
        <v>0</v>
      </c>
      <c r="I236" s="134">
        <v>0</v>
      </c>
      <c r="J236" s="129">
        <f t="shared" si="18"/>
        <v>0</v>
      </c>
    </row>
    <row r="237" spans="1:10">
      <c r="A237" s="122">
        <v>230</v>
      </c>
      <c r="D237" s="130">
        <v>0</v>
      </c>
      <c r="E237" s="131">
        <f t="shared" si="15"/>
        <v>0</v>
      </c>
      <c r="F237" s="127">
        <f t="shared" si="19"/>
        <v>0</v>
      </c>
      <c r="G237" s="130">
        <f t="shared" si="16"/>
        <v>0</v>
      </c>
      <c r="H237" s="133">
        <f t="shared" si="17"/>
        <v>0</v>
      </c>
      <c r="I237" s="134">
        <v>0</v>
      </c>
      <c r="J237" s="129">
        <f t="shared" si="18"/>
        <v>0</v>
      </c>
    </row>
    <row r="238" spans="1:10">
      <c r="A238" s="122">
        <v>231</v>
      </c>
      <c r="D238" s="130">
        <v>0</v>
      </c>
      <c r="E238" s="131">
        <f t="shared" si="15"/>
        <v>0</v>
      </c>
      <c r="F238" s="127">
        <f t="shared" si="19"/>
        <v>0</v>
      </c>
      <c r="G238" s="130">
        <f t="shared" si="16"/>
        <v>0</v>
      </c>
      <c r="H238" s="133">
        <f t="shared" si="17"/>
        <v>0</v>
      </c>
      <c r="I238" s="134">
        <v>0</v>
      </c>
      <c r="J238" s="129">
        <f t="shared" si="18"/>
        <v>0</v>
      </c>
    </row>
    <row r="239" spans="1:10">
      <c r="A239" s="122">
        <v>232</v>
      </c>
      <c r="D239" s="130">
        <v>0</v>
      </c>
      <c r="E239" s="131">
        <f t="shared" si="15"/>
        <v>0</v>
      </c>
      <c r="F239" s="127">
        <f t="shared" si="19"/>
        <v>0</v>
      </c>
      <c r="G239" s="130">
        <f t="shared" si="16"/>
        <v>0</v>
      </c>
      <c r="H239" s="133">
        <f t="shared" si="17"/>
        <v>0</v>
      </c>
      <c r="I239" s="134">
        <v>0</v>
      </c>
      <c r="J239" s="129">
        <f t="shared" si="18"/>
        <v>0</v>
      </c>
    </row>
    <row r="240" spans="1:10">
      <c r="A240" s="122">
        <v>233</v>
      </c>
      <c r="D240" s="130">
        <v>0</v>
      </c>
      <c r="E240" s="131">
        <f t="shared" si="15"/>
        <v>0</v>
      </c>
      <c r="F240" s="127">
        <f t="shared" si="19"/>
        <v>0</v>
      </c>
      <c r="G240" s="130">
        <f t="shared" si="16"/>
        <v>0</v>
      </c>
      <c r="H240" s="133">
        <f t="shared" si="17"/>
        <v>0</v>
      </c>
      <c r="I240" s="134">
        <v>0</v>
      </c>
      <c r="J240" s="129">
        <f t="shared" si="18"/>
        <v>0</v>
      </c>
    </row>
    <row r="241" spans="1:10">
      <c r="A241" s="122">
        <v>234</v>
      </c>
      <c r="D241" s="130">
        <v>0</v>
      </c>
      <c r="E241" s="131">
        <f t="shared" si="15"/>
        <v>0</v>
      </c>
      <c r="F241" s="127">
        <f t="shared" si="19"/>
        <v>0</v>
      </c>
      <c r="G241" s="130">
        <f t="shared" si="16"/>
        <v>0</v>
      </c>
      <c r="H241" s="133">
        <f t="shared" si="17"/>
        <v>0</v>
      </c>
      <c r="I241" s="134">
        <v>0</v>
      </c>
      <c r="J241" s="129">
        <f t="shared" si="18"/>
        <v>0</v>
      </c>
    </row>
    <row r="242" spans="1:10">
      <c r="A242" s="122">
        <v>235</v>
      </c>
      <c r="D242" s="130">
        <v>0</v>
      </c>
      <c r="E242" s="131">
        <f t="shared" si="15"/>
        <v>0</v>
      </c>
      <c r="F242" s="127">
        <f t="shared" si="19"/>
        <v>0</v>
      </c>
      <c r="G242" s="130">
        <f t="shared" si="16"/>
        <v>0</v>
      </c>
      <c r="H242" s="133">
        <f t="shared" si="17"/>
        <v>0</v>
      </c>
      <c r="I242" s="134">
        <v>0</v>
      </c>
      <c r="J242" s="129">
        <f t="shared" si="18"/>
        <v>0</v>
      </c>
    </row>
    <row r="243" spans="1:10">
      <c r="A243" s="122">
        <v>236</v>
      </c>
      <c r="D243" s="130">
        <v>0</v>
      </c>
      <c r="E243" s="131">
        <f t="shared" si="15"/>
        <v>0</v>
      </c>
      <c r="F243" s="127">
        <f t="shared" si="19"/>
        <v>0</v>
      </c>
      <c r="G243" s="130">
        <f t="shared" si="16"/>
        <v>0</v>
      </c>
      <c r="H243" s="133">
        <f t="shared" si="17"/>
        <v>0</v>
      </c>
      <c r="I243" s="134">
        <v>0</v>
      </c>
      <c r="J243" s="129">
        <f t="shared" si="18"/>
        <v>0</v>
      </c>
    </row>
    <row r="244" spans="1:10">
      <c r="A244" s="122">
        <v>237</v>
      </c>
      <c r="D244" s="130">
        <v>0</v>
      </c>
      <c r="E244" s="131">
        <f t="shared" si="15"/>
        <v>0</v>
      </c>
      <c r="F244" s="127">
        <f t="shared" si="19"/>
        <v>0</v>
      </c>
      <c r="G244" s="130">
        <f t="shared" si="16"/>
        <v>0</v>
      </c>
      <c r="H244" s="133">
        <f t="shared" si="17"/>
        <v>0</v>
      </c>
      <c r="I244" s="134">
        <v>0</v>
      </c>
      <c r="J244" s="129">
        <f t="shared" si="18"/>
        <v>0</v>
      </c>
    </row>
    <row r="245" spans="1:10">
      <c r="A245" s="122">
        <v>238</v>
      </c>
      <c r="D245" s="130">
        <v>0</v>
      </c>
      <c r="E245" s="131">
        <f t="shared" si="15"/>
        <v>0</v>
      </c>
      <c r="F245" s="127">
        <f t="shared" si="19"/>
        <v>0</v>
      </c>
      <c r="G245" s="130">
        <f t="shared" si="16"/>
        <v>0</v>
      </c>
      <c r="H245" s="133">
        <f t="shared" si="17"/>
        <v>0</v>
      </c>
      <c r="I245" s="134">
        <v>0</v>
      </c>
      <c r="J245" s="129">
        <f t="shared" si="18"/>
        <v>0</v>
      </c>
    </row>
    <row r="246" spans="1:10">
      <c r="A246" s="122">
        <v>239</v>
      </c>
      <c r="D246" s="130">
        <v>0</v>
      </c>
      <c r="E246" s="131">
        <f t="shared" si="15"/>
        <v>0</v>
      </c>
      <c r="F246" s="127">
        <f t="shared" si="19"/>
        <v>0</v>
      </c>
      <c r="G246" s="130">
        <f t="shared" si="16"/>
        <v>0</v>
      </c>
      <c r="H246" s="133">
        <f t="shared" si="17"/>
        <v>0</v>
      </c>
      <c r="I246" s="134">
        <v>0</v>
      </c>
      <c r="J246" s="129">
        <f t="shared" si="18"/>
        <v>0</v>
      </c>
    </row>
    <row r="247" spans="1:10">
      <c r="A247" s="122">
        <v>240</v>
      </c>
      <c r="D247" s="130">
        <v>0</v>
      </c>
      <c r="E247" s="131">
        <f t="shared" si="15"/>
        <v>0</v>
      </c>
      <c r="F247" s="127">
        <f t="shared" si="19"/>
        <v>0</v>
      </c>
      <c r="G247" s="130">
        <f t="shared" si="16"/>
        <v>0</v>
      </c>
      <c r="H247" s="133">
        <f t="shared" si="17"/>
        <v>0</v>
      </c>
      <c r="I247" s="134">
        <v>0</v>
      </c>
      <c r="J247" s="129">
        <f t="shared" si="18"/>
        <v>0</v>
      </c>
    </row>
    <row r="248" spans="1:10">
      <c r="A248" s="122">
        <v>241</v>
      </c>
      <c r="D248" s="130">
        <v>0</v>
      </c>
      <c r="E248" s="131">
        <f t="shared" si="15"/>
        <v>0</v>
      </c>
      <c r="F248" s="127">
        <f t="shared" si="19"/>
        <v>0</v>
      </c>
      <c r="G248" s="130">
        <f t="shared" si="16"/>
        <v>0</v>
      </c>
      <c r="H248" s="133">
        <f t="shared" si="17"/>
        <v>0</v>
      </c>
      <c r="I248" s="134">
        <v>0</v>
      </c>
      <c r="J248" s="129">
        <f t="shared" si="18"/>
        <v>0</v>
      </c>
    </row>
    <row r="249" spans="1:10">
      <c r="A249" s="122">
        <v>242</v>
      </c>
      <c r="D249" s="130">
        <v>0</v>
      </c>
      <c r="E249" s="131">
        <f t="shared" si="15"/>
        <v>0</v>
      </c>
      <c r="F249" s="127">
        <f t="shared" si="19"/>
        <v>0</v>
      </c>
      <c r="G249" s="130">
        <f t="shared" si="16"/>
        <v>0</v>
      </c>
      <c r="H249" s="133">
        <f t="shared" si="17"/>
        <v>0</v>
      </c>
      <c r="I249" s="134">
        <v>0</v>
      </c>
      <c r="J249" s="129">
        <f t="shared" si="18"/>
        <v>0</v>
      </c>
    </row>
    <row r="250" spans="1:10">
      <c r="A250" s="122">
        <v>243</v>
      </c>
      <c r="D250" s="130">
        <v>0</v>
      </c>
      <c r="E250" s="131">
        <f t="shared" si="15"/>
        <v>0</v>
      </c>
      <c r="F250" s="127">
        <f t="shared" si="19"/>
        <v>0</v>
      </c>
      <c r="G250" s="130">
        <f t="shared" si="16"/>
        <v>0</v>
      </c>
      <c r="H250" s="133">
        <f t="shared" si="17"/>
        <v>0</v>
      </c>
      <c r="I250" s="134">
        <v>0</v>
      </c>
      <c r="J250" s="129">
        <f t="shared" si="18"/>
        <v>0</v>
      </c>
    </row>
    <row r="251" spans="1:10">
      <c r="A251" s="122">
        <v>244</v>
      </c>
      <c r="D251" s="130">
        <v>0</v>
      </c>
      <c r="E251" s="131">
        <f t="shared" si="15"/>
        <v>0</v>
      </c>
      <c r="F251" s="127">
        <f t="shared" si="19"/>
        <v>0</v>
      </c>
      <c r="G251" s="130">
        <f t="shared" si="16"/>
        <v>0</v>
      </c>
      <c r="H251" s="133">
        <f t="shared" si="17"/>
        <v>0</v>
      </c>
      <c r="I251" s="134">
        <v>0</v>
      </c>
      <c r="J251" s="129">
        <f t="shared" si="18"/>
        <v>0</v>
      </c>
    </row>
    <row r="252" spans="1:10">
      <c r="A252" s="122">
        <v>245</v>
      </c>
      <c r="D252" s="130">
        <v>0</v>
      </c>
      <c r="E252" s="131">
        <f t="shared" si="15"/>
        <v>0</v>
      </c>
      <c r="F252" s="127">
        <f t="shared" si="19"/>
        <v>0</v>
      </c>
      <c r="G252" s="130">
        <f t="shared" si="16"/>
        <v>0</v>
      </c>
      <c r="H252" s="133">
        <f t="shared" si="17"/>
        <v>0</v>
      </c>
      <c r="I252" s="134">
        <v>0</v>
      </c>
      <c r="J252" s="129">
        <f t="shared" si="18"/>
        <v>0</v>
      </c>
    </row>
    <row r="253" spans="1:10">
      <c r="A253" s="122">
        <v>246</v>
      </c>
      <c r="D253" s="130">
        <v>0</v>
      </c>
      <c r="E253" s="131">
        <f t="shared" si="15"/>
        <v>0</v>
      </c>
      <c r="F253" s="127">
        <f t="shared" si="19"/>
        <v>0</v>
      </c>
      <c r="G253" s="130">
        <f t="shared" si="16"/>
        <v>0</v>
      </c>
      <c r="H253" s="133">
        <f t="shared" si="17"/>
        <v>0</v>
      </c>
      <c r="I253" s="134">
        <v>0</v>
      </c>
      <c r="J253" s="129">
        <f t="shared" si="18"/>
        <v>0</v>
      </c>
    </row>
    <row r="254" spans="1:10">
      <c r="A254" s="122">
        <v>247</v>
      </c>
      <c r="D254" s="130">
        <v>0</v>
      </c>
      <c r="E254" s="131">
        <f t="shared" si="15"/>
        <v>0</v>
      </c>
      <c r="F254" s="127">
        <f t="shared" si="19"/>
        <v>0</v>
      </c>
      <c r="G254" s="130">
        <f t="shared" si="16"/>
        <v>0</v>
      </c>
      <c r="H254" s="133">
        <f t="shared" si="17"/>
        <v>0</v>
      </c>
      <c r="I254" s="134">
        <v>0</v>
      </c>
      <c r="J254" s="129">
        <f t="shared" si="18"/>
        <v>0</v>
      </c>
    </row>
    <row r="255" spans="1:10">
      <c r="A255" s="122">
        <v>248</v>
      </c>
      <c r="D255" s="130">
        <v>0</v>
      </c>
      <c r="E255" s="131">
        <f t="shared" si="15"/>
        <v>0</v>
      </c>
      <c r="F255" s="127">
        <f t="shared" si="19"/>
        <v>0</v>
      </c>
      <c r="G255" s="130">
        <f t="shared" si="16"/>
        <v>0</v>
      </c>
      <c r="H255" s="133">
        <f t="shared" si="17"/>
        <v>0</v>
      </c>
      <c r="I255" s="134">
        <v>0</v>
      </c>
      <c r="J255" s="129">
        <f t="shared" si="18"/>
        <v>0</v>
      </c>
    </row>
    <row r="256" spans="1:10">
      <c r="A256" s="122">
        <v>249</v>
      </c>
      <c r="D256" s="130">
        <v>0</v>
      </c>
      <c r="E256" s="131">
        <f t="shared" si="15"/>
        <v>0</v>
      </c>
      <c r="F256" s="127">
        <f t="shared" si="19"/>
        <v>0</v>
      </c>
      <c r="G256" s="130">
        <f t="shared" si="16"/>
        <v>0</v>
      </c>
      <c r="H256" s="133">
        <f t="shared" si="17"/>
        <v>0</v>
      </c>
      <c r="I256" s="134">
        <v>0</v>
      </c>
      <c r="J256" s="129">
        <f t="shared" si="18"/>
        <v>0</v>
      </c>
    </row>
    <row r="257" spans="1:10">
      <c r="A257" s="122">
        <v>250</v>
      </c>
      <c r="D257" s="130">
        <v>0</v>
      </c>
      <c r="E257" s="131">
        <f t="shared" si="15"/>
        <v>0</v>
      </c>
      <c r="F257" s="127">
        <f t="shared" si="19"/>
        <v>0</v>
      </c>
      <c r="G257" s="130">
        <f t="shared" si="16"/>
        <v>0</v>
      </c>
      <c r="H257" s="133">
        <f t="shared" si="17"/>
        <v>0</v>
      </c>
      <c r="I257" s="134">
        <v>0</v>
      </c>
      <c r="J257" s="129">
        <f t="shared" si="18"/>
        <v>0</v>
      </c>
    </row>
    <row r="258" spans="1:10">
      <c r="A258" s="122">
        <v>251</v>
      </c>
      <c r="D258" s="130">
        <v>0</v>
      </c>
      <c r="E258" s="131">
        <f t="shared" si="15"/>
        <v>0</v>
      </c>
      <c r="F258" s="127">
        <f t="shared" si="19"/>
        <v>0</v>
      </c>
      <c r="G258" s="130">
        <f t="shared" si="16"/>
        <v>0</v>
      </c>
      <c r="H258" s="133">
        <f t="shared" si="17"/>
        <v>0</v>
      </c>
      <c r="I258" s="134">
        <v>0</v>
      </c>
      <c r="J258" s="129">
        <f t="shared" si="18"/>
        <v>0</v>
      </c>
    </row>
    <row r="259" spans="1:10">
      <c r="A259" s="122">
        <v>252</v>
      </c>
      <c r="D259" s="130">
        <v>0</v>
      </c>
      <c r="E259" s="131">
        <f t="shared" si="15"/>
        <v>0</v>
      </c>
      <c r="F259" s="127">
        <f t="shared" si="19"/>
        <v>0</v>
      </c>
      <c r="G259" s="130">
        <f t="shared" si="16"/>
        <v>0</v>
      </c>
      <c r="H259" s="133">
        <f t="shared" si="17"/>
        <v>0</v>
      </c>
      <c r="I259" s="134">
        <v>0</v>
      </c>
      <c r="J259" s="129">
        <f t="shared" si="18"/>
        <v>0</v>
      </c>
    </row>
    <row r="260" spans="1:10">
      <c r="A260" s="122">
        <v>253</v>
      </c>
      <c r="D260" s="130">
        <v>0</v>
      </c>
      <c r="E260" s="131">
        <f t="shared" si="15"/>
        <v>0</v>
      </c>
      <c r="F260" s="127">
        <f t="shared" si="19"/>
        <v>0</v>
      </c>
      <c r="G260" s="130">
        <f t="shared" si="16"/>
        <v>0</v>
      </c>
      <c r="H260" s="133">
        <f t="shared" si="17"/>
        <v>0</v>
      </c>
      <c r="I260" s="134">
        <v>0</v>
      </c>
      <c r="J260" s="129">
        <f t="shared" si="18"/>
        <v>0</v>
      </c>
    </row>
    <row r="261" spans="1:10">
      <c r="A261" s="122">
        <v>254</v>
      </c>
      <c r="D261" s="130">
        <v>0</v>
      </c>
      <c r="E261" s="131">
        <f t="shared" si="15"/>
        <v>0</v>
      </c>
      <c r="F261" s="127">
        <f t="shared" si="19"/>
        <v>0</v>
      </c>
      <c r="G261" s="130">
        <f t="shared" si="16"/>
        <v>0</v>
      </c>
      <c r="H261" s="133">
        <f t="shared" si="17"/>
        <v>0</v>
      </c>
      <c r="I261" s="134">
        <v>0</v>
      </c>
      <c r="J261" s="129">
        <f t="shared" si="18"/>
        <v>0</v>
      </c>
    </row>
    <row r="262" spans="1:10">
      <c r="A262" s="122">
        <v>255</v>
      </c>
      <c r="D262" s="130">
        <v>0</v>
      </c>
      <c r="E262" s="131">
        <f t="shared" si="15"/>
        <v>0</v>
      </c>
      <c r="F262" s="127">
        <f t="shared" si="19"/>
        <v>0</v>
      </c>
      <c r="G262" s="130">
        <f t="shared" si="16"/>
        <v>0</v>
      </c>
      <c r="H262" s="133">
        <f t="shared" si="17"/>
        <v>0</v>
      </c>
      <c r="I262" s="134">
        <v>0</v>
      </c>
      <c r="J262" s="129">
        <f t="shared" si="18"/>
        <v>0</v>
      </c>
    </row>
    <row r="263" spans="1:10">
      <c r="A263" s="122">
        <v>256</v>
      </c>
      <c r="D263" s="130">
        <v>0</v>
      </c>
      <c r="E263" s="131">
        <f t="shared" si="15"/>
        <v>0</v>
      </c>
      <c r="F263" s="127">
        <f t="shared" si="19"/>
        <v>0</v>
      </c>
      <c r="G263" s="130">
        <f t="shared" si="16"/>
        <v>0</v>
      </c>
      <c r="H263" s="133">
        <f t="shared" si="17"/>
        <v>0</v>
      </c>
      <c r="I263" s="134">
        <v>0</v>
      </c>
      <c r="J263" s="129">
        <f t="shared" si="18"/>
        <v>0</v>
      </c>
    </row>
    <row r="264" spans="1:10">
      <c r="A264" s="122">
        <v>257</v>
      </c>
      <c r="D264" s="130">
        <v>0</v>
      </c>
      <c r="E264" s="131">
        <f t="shared" ref="E264:E327" si="20">IF(D264&lt;=300000,0,IF(D264&gt;=20000000,(D264*0.21),(D264*0.2)+200000))</f>
        <v>0</v>
      </c>
      <c r="F264" s="127">
        <f t="shared" si="19"/>
        <v>0</v>
      </c>
      <c r="G264" s="130">
        <f t="shared" ref="G264:G327" si="21">IF(E264=0,(D264*0.01),IF(F264&lt;=0,0.01*D264,IF(AND(F264&gt;0,F264&lt;=300000),F264*7%,IF(AND(F264&gt;=300000,F264&lt;600000),21000+(F264-300000)*11%,IF(AND(F264&gt;=600000,F264&lt;1100000),54000+(F264-600000)*15%,IF(AND(F264&gt;=1100000,F264&lt;1600000),129000+(F264-1100000)*19%,IF(AND(F264&gt;=1600000,F264&lt;3200000),224000+(F264-1600000)*21%,560000+(F264-3200000)*24%)))))))</f>
        <v>0</v>
      </c>
      <c r="H264" s="133">
        <f t="shared" ref="H264:H327" si="22">G264/12</f>
        <v>0</v>
      </c>
      <c r="I264" s="134">
        <v>0</v>
      </c>
      <c r="J264" s="129">
        <f t="shared" ref="J264:J327" si="23">+H264*I264</f>
        <v>0</v>
      </c>
    </row>
    <row r="265" spans="1:10">
      <c r="A265" s="122">
        <v>258</v>
      </c>
      <c r="D265" s="130">
        <v>0</v>
      </c>
      <c r="E265" s="131">
        <f t="shared" si="20"/>
        <v>0</v>
      </c>
      <c r="F265" s="127">
        <f t="shared" ref="F265:F328" si="24">+D265-E265</f>
        <v>0</v>
      </c>
      <c r="G265" s="130">
        <f t="shared" si="21"/>
        <v>0</v>
      </c>
      <c r="H265" s="133">
        <f t="shared" si="22"/>
        <v>0</v>
      </c>
      <c r="I265" s="134">
        <v>0</v>
      </c>
      <c r="J265" s="129">
        <f t="shared" si="23"/>
        <v>0</v>
      </c>
    </row>
    <row r="266" spans="1:10">
      <c r="A266" s="122">
        <v>259</v>
      </c>
      <c r="D266" s="130">
        <v>0</v>
      </c>
      <c r="E266" s="131">
        <f t="shared" si="20"/>
        <v>0</v>
      </c>
      <c r="F266" s="127">
        <f t="shared" si="24"/>
        <v>0</v>
      </c>
      <c r="G266" s="130">
        <f t="shared" si="21"/>
        <v>0</v>
      </c>
      <c r="H266" s="133">
        <f t="shared" si="22"/>
        <v>0</v>
      </c>
      <c r="I266" s="134">
        <v>0</v>
      </c>
      <c r="J266" s="129">
        <f t="shared" si="23"/>
        <v>0</v>
      </c>
    </row>
    <row r="267" spans="1:10">
      <c r="A267" s="122">
        <v>260</v>
      </c>
      <c r="D267" s="130">
        <v>0</v>
      </c>
      <c r="E267" s="131">
        <f t="shared" si="20"/>
        <v>0</v>
      </c>
      <c r="F267" s="127">
        <f t="shared" si="24"/>
        <v>0</v>
      </c>
      <c r="G267" s="130">
        <f t="shared" si="21"/>
        <v>0</v>
      </c>
      <c r="H267" s="133">
        <f t="shared" si="22"/>
        <v>0</v>
      </c>
      <c r="I267" s="134">
        <v>0</v>
      </c>
      <c r="J267" s="129">
        <f t="shared" si="23"/>
        <v>0</v>
      </c>
    </row>
    <row r="268" spans="1:10">
      <c r="A268" s="122">
        <v>261</v>
      </c>
      <c r="D268" s="130">
        <v>0</v>
      </c>
      <c r="E268" s="131">
        <f t="shared" si="20"/>
        <v>0</v>
      </c>
      <c r="F268" s="127">
        <f t="shared" si="24"/>
        <v>0</v>
      </c>
      <c r="G268" s="130">
        <f t="shared" si="21"/>
        <v>0</v>
      </c>
      <c r="H268" s="133">
        <f t="shared" si="22"/>
        <v>0</v>
      </c>
      <c r="I268" s="134">
        <v>0</v>
      </c>
      <c r="J268" s="129">
        <f t="shared" si="23"/>
        <v>0</v>
      </c>
    </row>
    <row r="269" spans="1:10">
      <c r="A269" s="122">
        <v>262</v>
      </c>
      <c r="D269" s="130">
        <v>0</v>
      </c>
      <c r="E269" s="131">
        <f t="shared" si="20"/>
        <v>0</v>
      </c>
      <c r="F269" s="127">
        <f t="shared" si="24"/>
        <v>0</v>
      </c>
      <c r="G269" s="130">
        <f t="shared" si="21"/>
        <v>0</v>
      </c>
      <c r="H269" s="133">
        <f t="shared" si="22"/>
        <v>0</v>
      </c>
      <c r="I269" s="134">
        <v>0</v>
      </c>
      <c r="J269" s="129">
        <f t="shared" si="23"/>
        <v>0</v>
      </c>
    </row>
    <row r="270" spans="1:10">
      <c r="A270" s="122">
        <v>263</v>
      </c>
      <c r="D270" s="130">
        <v>0</v>
      </c>
      <c r="E270" s="131">
        <f t="shared" si="20"/>
        <v>0</v>
      </c>
      <c r="F270" s="127">
        <f t="shared" si="24"/>
        <v>0</v>
      </c>
      <c r="G270" s="130">
        <f t="shared" si="21"/>
        <v>0</v>
      </c>
      <c r="H270" s="133">
        <f t="shared" si="22"/>
        <v>0</v>
      </c>
      <c r="I270" s="134">
        <v>0</v>
      </c>
      <c r="J270" s="129">
        <f t="shared" si="23"/>
        <v>0</v>
      </c>
    </row>
    <row r="271" spans="1:10">
      <c r="A271" s="122">
        <v>264</v>
      </c>
      <c r="D271" s="130">
        <v>0</v>
      </c>
      <c r="E271" s="131">
        <f t="shared" si="20"/>
        <v>0</v>
      </c>
      <c r="F271" s="127">
        <f t="shared" si="24"/>
        <v>0</v>
      </c>
      <c r="G271" s="130">
        <f t="shared" si="21"/>
        <v>0</v>
      </c>
      <c r="H271" s="133">
        <f t="shared" si="22"/>
        <v>0</v>
      </c>
      <c r="I271" s="134">
        <v>0</v>
      </c>
      <c r="J271" s="129">
        <f t="shared" si="23"/>
        <v>0</v>
      </c>
    </row>
    <row r="272" spans="1:10">
      <c r="A272" s="122">
        <v>265</v>
      </c>
      <c r="D272" s="130">
        <v>0</v>
      </c>
      <c r="E272" s="131">
        <f t="shared" si="20"/>
        <v>0</v>
      </c>
      <c r="F272" s="127">
        <f t="shared" si="24"/>
        <v>0</v>
      </c>
      <c r="G272" s="130">
        <f t="shared" si="21"/>
        <v>0</v>
      </c>
      <c r="H272" s="133">
        <f t="shared" si="22"/>
        <v>0</v>
      </c>
      <c r="I272" s="134">
        <v>0</v>
      </c>
      <c r="J272" s="129">
        <f t="shared" si="23"/>
        <v>0</v>
      </c>
    </row>
    <row r="273" spans="1:10">
      <c r="A273" s="122">
        <v>266</v>
      </c>
      <c r="D273" s="130">
        <v>0</v>
      </c>
      <c r="E273" s="131">
        <f t="shared" si="20"/>
        <v>0</v>
      </c>
      <c r="F273" s="127">
        <f t="shared" si="24"/>
        <v>0</v>
      </c>
      <c r="G273" s="130">
        <f t="shared" si="21"/>
        <v>0</v>
      </c>
      <c r="H273" s="133">
        <f t="shared" si="22"/>
        <v>0</v>
      </c>
      <c r="I273" s="134">
        <v>0</v>
      </c>
      <c r="J273" s="129">
        <f t="shared" si="23"/>
        <v>0</v>
      </c>
    </row>
    <row r="274" spans="1:10">
      <c r="A274" s="122">
        <v>267</v>
      </c>
      <c r="D274" s="130">
        <v>0</v>
      </c>
      <c r="E274" s="131">
        <f t="shared" si="20"/>
        <v>0</v>
      </c>
      <c r="F274" s="127">
        <f t="shared" si="24"/>
        <v>0</v>
      </c>
      <c r="G274" s="130">
        <f t="shared" si="21"/>
        <v>0</v>
      </c>
      <c r="H274" s="133">
        <f t="shared" si="22"/>
        <v>0</v>
      </c>
      <c r="I274" s="134">
        <v>0</v>
      </c>
      <c r="J274" s="129">
        <f t="shared" si="23"/>
        <v>0</v>
      </c>
    </row>
    <row r="275" spans="1:10">
      <c r="A275" s="122">
        <v>268</v>
      </c>
      <c r="D275" s="130">
        <v>0</v>
      </c>
      <c r="E275" s="131">
        <f t="shared" si="20"/>
        <v>0</v>
      </c>
      <c r="F275" s="127">
        <f t="shared" si="24"/>
        <v>0</v>
      </c>
      <c r="G275" s="130">
        <f t="shared" si="21"/>
        <v>0</v>
      </c>
      <c r="H275" s="133">
        <f t="shared" si="22"/>
        <v>0</v>
      </c>
      <c r="I275" s="134">
        <v>0</v>
      </c>
      <c r="J275" s="129">
        <f t="shared" si="23"/>
        <v>0</v>
      </c>
    </row>
    <row r="276" spans="1:10">
      <c r="A276" s="122">
        <v>269</v>
      </c>
      <c r="D276" s="130">
        <v>0</v>
      </c>
      <c r="E276" s="131">
        <f t="shared" si="20"/>
        <v>0</v>
      </c>
      <c r="F276" s="127">
        <f t="shared" si="24"/>
        <v>0</v>
      </c>
      <c r="G276" s="130">
        <f t="shared" si="21"/>
        <v>0</v>
      </c>
      <c r="H276" s="133">
        <f t="shared" si="22"/>
        <v>0</v>
      </c>
      <c r="I276" s="134">
        <v>0</v>
      </c>
      <c r="J276" s="129">
        <f t="shared" si="23"/>
        <v>0</v>
      </c>
    </row>
    <row r="277" spans="1:10">
      <c r="A277" s="122">
        <v>270</v>
      </c>
      <c r="D277" s="130">
        <v>0</v>
      </c>
      <c r="E277" s="131">
        <f t="shared" si="20"/>
        <v>0</v>
      </c>
      <c r="F277" s="127">
        <f t="shared" si="24"/>
        <v>0</v>
      </c>
      <c r="G277" s="130">
        <f t="shared" si="21"/>
        <v>0</v>
      </c>
      <c r="H277" s="133">
        <f t="shared" si="22"/>
        <v>0</v>
      </c>
      <c r="I277" s="134">
        <v>0</v>
      </c>
      <c r="J277" s="129">
        <f t="shared" si="23"/>
        <v>0</v>
      </c>
    </row>
    <row r="278" spans="1:10">
      <c r="A278" s="122">
        <v>271</v>
      </c>
      <c r="D278" s="130">
        <v>0</v>
      </c>
      <c r="E278" s="131">
        <f t="shared" si="20"/>
        <v>0</v>
      </c>
      <c r="F278" s="127">
        <f t="shared" si="24"/>
        <v>0</v>
      </c>
      <c r="G278" s="130">
        <f t="shared" si="21"/>
        <v>0</v>
      </c>
      <c r="H278" s="133">
        <f t="shared" si="22"/>
        <v>0</v>
      </c>
      <c r="I278" s="134">
        <v>0</v>
      </c>
      <c r="J278" s="129">
        <f t="shared" si="23"/>
        <v>0</v>
      </c>
    </row>
    <row r="279" spans="1:10">
      <c r="A279" s="122">
        <v>272</v>
      </c>
      <c r="D279" s="130">
        <v>0</v>
      </c>
      <c r="E279" s="131">
        <f t="shared" si="20"/>
        <v>0</v>
      </c>
      <c r="F279" s="127">
        <f t="shared" si="24"/>
        <v>0</v>
      </c>
      <c r="G279" s="130">
        <f t="shared" si="21"/>
        <v>0</v>
      </c>
      <c r="H279" s="133">
        <f t="shared" si="22"/>
        <v>0</v>
      </c>
      <c r="I279" s="134">
        <v>0</v>
      </c>
      <c r="J279" s="129">
        <f t="shared" si="23"/>
        <v>0</v>
      </c>
    </row>
    <row r="280" spans="1:10">
      <c r="A280" s="122">
        <v>273</v>
      </c>
      <c r="D280" s="130">
        <v>0</v>
      </c>
      <c r="E280" s="131">
        <f t="shared" si="20"/>
        <v>0</v>
      </c>
      <c r="F280" s="127">
        <f t="shared" si="24"/>
        <v>0</v>
      </c>
      <c r="G280" s="130">
        <f t="shared" si="21"/>
        <v>0</v>
      </c>
      <c r="H280" s="133">
        <f t="shared" si="22"/>
        <v>0</v>
      </c>
      <c r="I280" s="134">
        <v>0</v>
      </c>
      <c r="J280" s="129">
        <f t="shared" si="23"/>
        <v>0</v>
      </c>
    </row>
    <row r="281" spans="1:10">
      <c r="A281" s="122">
        <v>274</v>
      </c>
      <c r="D281" s="130">
        <v>0</v>
      </c>
      <c r="E281" s="131">
        <f t="shared" si="20"/>
        <v>0</v>
      </c>
      <c r="F281" s="127">
        <f t="shared" si="24"/>
        <v>0</v>
      </c>
      <c r="G281" s="130">
        <f t="shared" si="21"/>
        <v>0</v>
      </c>
      <c r="H281" s="133">
        <f t="shared" si="22"/>
        <v>0</v>
      </c>
      <c r="I281" s="134">
        <v>0</v>
      </c>
      <c r="J281" s="129">
        <f t="shared" si="23"/>
        <v>0</v>
      </c>
    </row>
    <row r="282" spans="1:10">
      <c r="A282" s="122">
        <v>275</v>
      </c>
      <c r="D282" s="130">
        <v>0</v>
      </c>
      <c r="E282" s="131">
        <f t="shared" si="20"/>
        <v>0</v>
      </c>
      <c r="F282" s="127">
        <f t="shared" si="24"/>
        <v>0</v>
      </c>
      <c r="G282" s="130">
        <f t="shared" si="21"/>
        <v>0</v>
      </c>
      <c r="H282" s="133">
        <f t="shared" si="22"/>
        <v>0</v>
      </c>
      <c r="I282" s="134">
        <v>0</v>
      </c>
      <c r="J282" s="129">
        <f t="shared" si="23"/>
        <v>0</v>
      </c>
    </row>
    <row r="283" spans="1:10">
      <c r="A283" s="122">
        <v>276</v>
      </c>
      <c r="D283" s="130">
        <v>0</v>
      </c>
      <c r="E283" s="131">
        <f t="shared" si="20"/>
        <v>0</v>
      </c>
      <c r="F283" s="127">
        <f t="shared" si="24"/>
        <v>0</v>
      </c>
      <c r="G283" s="130">
        <f t="shared" si="21"/>
        <v>0</v>
      </c>
      <c r="H283" s="133">
        <f t="shared" si="22"/>
        <v>0</v>
      </c>
      <c r="I283" s="134">
        <v>0</v>
      </c>
      <c r="J283" s="129">
        <f t="shared" si="23"/>
        <v>0</v>
      </c>
    </row>
    <row r="284" spans="1:10">
      <c r="A284" s="122">
        <v>277</v>
      </c>
      <c r="D284" s="130">
        <v>0</v>
      </c>
      <c r="E284" s="131">
        <f t="shared" si="20"/>
        <v>0</v>
      </c>
      <c r="F284" s="127">
        <f t="shared" si="24"/>
        <v>0</v>
      </c>
      <c r="G284" s="130">
        <f t="shared" si="21"/>
        <v>0</v>
      </c>
      <c r="H284" s="133">
        <f t="shared" si="22"/>
        <v>0</v>
      </c>
      <c r="I284" s="134">
        <v>0</v>
      </c>
      <c r="J284" s="129">
        <f t="shared" si="23"/>
        <v>0</v>
      </c>
    </row>
    <row r="285" spans="1:10">
      <c r="A285" s="122">
        <v>278</v>
      </c>
      <c r="D285" s="130">
        <v>0</v>
      </c>
      <c r="E285" s="131">
        <f t="shared" si="20"/>
        <v>0</v>
      </c>
      <c r="F285" s="127">
        <f t="shared" si="24"/>
        <v>0</v>
      </c>
      <c r="G285" s="130">
        <f t="shared" si="21"/>
        <v>0</v>
      </c>
      <c r="H285" s="133">
        <f t="shared" si="22"/>
        <v>0</v>
      </c>
      <c r="I285" s="134">
        <v>0</v>
      </c>
      <c r="J285" s="129">
        <f t="shared" si="23"/>
        <v>0</v>
      </c>
    </row>
    <row r="286" spans="1:10">
      <c r="A286" s="122">
        <v>279</v>
      </c>
      <c r="D286" s="130">
        <v>0</v>
      </c>
      <c r="E286" s="131">
        <f t="shared" si="20"/>
        <v>0</v>
      </c>
      <c r="F286" s="127">
        <f t="shared" si="24"/>
        <v>0</v>
      </c>
      <c r="G286" s="130">
        <f t="shared" si="21"/>
        <v>0</v>
      </c>
      <c r="H286" s="133">
        <f t="shared" si="22"/>
        <v>0</v>
      </c>
      <c r="I286" s="134">
        <v>0</v>
      </c>
      <c r="J286" s="129">
        <f t="shared" si="23"/>
        <v>0</v>
      </c>
    </row>
    <row r="287" spans="1:10">
      <c r="A287" s="122">
        <v>280</v>
      </c>
      <c r="D287" s="130">
        <v>0</v>
      </c>
      <c r="E287" s="131">
        <f t="shared" si="20"/>
        <v>0</v>
      </c>
      <c r="F287" s="127">
        <f t="shared" si="24"/>
        <v>0</v>
      </c>
      <c r="G287" s="130">
        <f t="shared" si="21"/>
        <v>0</v>
      </c>
      <c r="H287" s="133">
        <f t="shared" si="22"/>
        <v>0</v>
      </c>
      <c r="I287" s="134">
        <v>0</v>
      </c>
      <c r="J287" s="129">
        <f t="shared" si="23"/>
        <v>0</v>
      </c>
    </row>
    <row r="288" spans="1:10">
      <c r="A288" s="122">
        <v>281</v>
      </c>
      <c r="D288" s="130">
        <v>0</v>
      </c>
      <c r="E288" s="131">
        <f t="shared" si="20"/>
        <v>0</v>
      </c>
      <c r="F288" s="127">
        <f t="shared" si="24"/>
        <v>0</v>
      </c>
      <c r="G288" s="130">
        <f t="shared" si="21"/>
        <v>0</v>
      </c>
      <c r="H288" s="133">
        <f t="shared" si="22"/>
        <v>0</v>
      </c>
      <c r="I288" s="134">
        <v>0</v>
      </c>
      <c r="J288" s="129">
        <f t="shared" si="23"/>
        <v>0</v>
      </c>
    </row>
    <row r="289" spans="1:10">
      <c r="A289" s="122">
        <v>282</v>
      </c>
      <c r="D289" s="130">
        <v>0</v>
      </c>
      <c r="E289" s="131">
        <f t="shared" si="20"/>
        <v>0</v>
      </c>
      <c r="F289" s="127">
        <f t="shared" si="24"/>
        <v>0</v>
      </c>
      <c r="G289" s="130">
        <f t="shared" si="21"/>
        <v>0</v>
      </c>
      <c r="H289" s="133">
        <f t="shared" si="22"/>
        <v>0</v>
      </c>
      <c r="I289" s="134">
        <v>0</v>
      </c>
      <c r="J289" s="129">
        <f t="shared" si="23"/>
        <v>0</v>
      </c>
    </row>
    <row r="290" spans="1:10">
      <c r="A290" s="122">
        <v>283</v>
      </c>
      <c r="D290" s="130">
        <v>0</v>
      </c>
      <c r="E290" s="131">
        <f t="shared" si="20"/>
        <v>0</v>
      </c>
      <c r="F290" s="127">
        <f t="shared" si="24"/>
        <v>0</v>
      </c>
      <c r="G290" s="130">
        <f t="shared" si="21"/>
        <v>0</v>
      </c>
      <c r="H290" s="133">
        <f t="shared" si="22"/>
        <v>0</v>
      </c>
      <c r="I290" s="134">
        <v>0</v>
      </c>
      <c r="J290" s="129">
        <f t="shared" si="23"/>
        <v>0</v>
      </c>
    </row>
    <row r="291" spans="1:10">
      <c r="A291" s="122">
        <v>284</v>
      </c>
      <c r="D291" s="130">
        <v>0</v>
      </c>
      <c r="E291" s="131">
        <f t="shared" si="20"/>
        <v>0</v>
      </c>
      <c r="F291" s="127">
        <f t="shared" si="24"/>
        <v>0</v>
      </c>
      <c r="G291" s="130">
        <f t="shared" si="21"/>
        <v>0</v>
      </c>
      <c r="H291" s="133">
        <f t="shared" si="22"/>
        <v>0</v>
      </c>
      <c r="I291" s="134">
        <v>0</v>
      </c>
      <c r="J291" s="129">
        <f t="shared" si="23"/>
        <v>0</v>
      </c>
    </row>
    <row r="292" spans="1:10">
      <c r="A292" s="122">
        <v>285</v>
      </c>
      <c r="D292" s="130">
        <v>0</v>
      </c>
      <c r="E292" s="131">
        <f t="shared" si="20"/>
        <v>0</v>
      </c>
      <c r="F292" s="127">
        <f t="shared" si="24"/>
        <v>0</v>
      </c>
      <c r="G292" s="130">
        <f t="shared" si="21"/>
        <v>0</v>
      </c>
      <c r="H292" s="133">
        <f t="shared" si="22"/>
        <v>0</v>
      </c>
      <c r="I292" s="134">
        <v>0</v>
      </c>
      <c r="J292" s="129">
        <f t="shared" si="23"/>
        <v>0</v>
      </c>
    </row>
    <row r="293" spans="1:10">
      <c r="A293" s="122">
        <v>286</v>
      </c>
      <c r="D293" s="130">
        <v>0</v>
      </c>
      <c r="E293" s="131">
        <f t="shared" si="20"/>
        <v>0</v>
      </c>
      <c r="F293" s="127">
        <f t="shared" si="24"/>
        <v>0</v>
      </c>
      <c r="G293" s="130">
        <f t="shared" si="21"/>
        <v>0</v>
      </c>
      <c r="H293" s="133">
        <f t="shared" si="22"/>
        <v>0</v>
      </c>
      <c r="I293" s="134">
        <v>0</v>
      </c>
      <c r="J293" s="129">
        <f t="shared" si="23"/>
        <v>0</v>
      </c>
    </row>
    <row r="294" spans="1:10">
      <c r="A294" s="122">
        <v>287</v>
      </c>
      <c r="D294" s="130">
        <v>0</v>
      </c>
      <c r="E294" s="131">
        <f t="shared" si="20"/>
        <v>0</v>
      </c>
      <c r="F294" s="127">
        <f t="shared" si="24"/>
        <v>0</v>
      </c>
      <c r="G294" s="130">
        <f t="shared" si="21"/>
        <v>0</v>
      </c>
      <c r="H294" s="133">
        <f t="shared" si="22"/>
        <v>0</v>
      </c>
      <c r="I294" s="134">
        <v>0</v>
      </c>
      <c r="J294" s="129">
        <f t="shared" si="23"/>
        <v>0</v>
      </c>
    </row>
    <row r="295" spans="1:10">
      <c r="A295" s="122">
        <v>288</v>
      </c>
      <c r="D295" s="130">
        <v>0</v>
      </c>
      <c r="E295" s="131">
        <f t="shared" si="20"/>
        <v>0</v>
      </c>
      <c r="F295" s="127">
        <f t="shared" si="24"/>
        <v>0</v>
      </c>
      <c r="G295" s="130">
        <f t="shared" si="21"/>
        <v>0</v>
      </c>
      <c r="H295" s="133">
        <f t="shared" si="22"/>
        <v>0</v>
      </c>
      <c r="I295" s="134">
        <v>0</v>
      </c>
      <c r="J295" s="129">
        <f t="shared" si="23"/>
        <v>0</v>
      </c>
    </row>
    <row r="296" spans="1:10">
      <c r="A296" s="122">
        <v>289</v>
      </c>
      <c r="D296" s="130">
        <v>0</v>
      </c>
      <c r="E296" s="131">
        <f t="shared" si="20"/>
        <v>0</v>
      </c>
      <c r="F296" s="127">
        <f t="shared" si="24"/>
        <v>0</v>
      </c>
      <c r="G296" s="130">
        <f t="shared" si="21"/>
        <v>0</v>
      </c>
      <c r="H296" s="133">
        <f t="shared" si="22"/>
        <v>0</v>
      </c>
      <c r="I296" s="134">
        <v>0</v>
      </c>
      <c r="J296" s="129">
        <f t="shared" si="23"/>
        <v>0</v>
      </c>
    </row>
    <row r="297" spans="1:10">
      <c r="A297" s="122">
        <v>290</v>
      </c>
      <c r="D297" s="130">
        <v>0</v>
      </c>
      <c r="E297" s="131">
        <f t="shared" si="20"/>
        <v>0</v>
      </c>
      <c r="F297" s="127">
        <f t="shared" si="24"/>
        <v>0</v>
      </c>
      <c r="G297" s="130">
        <f t="shared" si="21"/>
        <v>0</v>
      </c>
      <c r="H297" s="133">
        <f t="shared" si="22"/>
        <v>0</v>
      </c>
      <c r="I297" s="134">
        <v>0</v>
      </c>
      <c r="J297" s="129">
        <f t="shared" si="23"/>
        <v>0</v>
      </c>
    </row>
    <row r="298" spans="1:10">
      <c r="A298" s="122">
        <v>291</v>
      </c>
      <c r="D298" s="130">
        <v>0</v>
      </c>
      <c r="E298" s="131">
        <f t="shared" si="20"/>
        <v>0</v>
      </c>
      <c r="F298" s="127">
        <f t="shared" si="24"/>
        <v>0</v>
      </c>
      <c r="G298" s="130">
        <f t="shared" si="21"/>
        <v>0</v>
      </c>
      <c r="H298" s="133">
        <f t="shared" si="22"/>
        <v>0</v>
      </c>
      <c r="I298" s="134">
        <v>0</v>
      </c>
      <c r="J298" s="129">
        <f t="shared" si="23"/>
        <v>0</v>
      </c>
    </row>
    <row r="299" spans="1:10">
      <c r="A299" s="122">
        <v>292</v>
      </c>
      <c r="D299" s="130">
        <v>0</v>
      </c>
      <c r="E299" s="131">
        <f t="shared" si="20"/>
        <v>0</v>
      </c>
      <c r="F299" s="127">
        <f t="shared" si="24"/>
        <v>0</v>
      </c>
      <c r="G299" s="130">
        <f t="shared" si="21"/>
        <v>0</v>
      </c>
      <c r="H299" s="133">
        <f t="shared" si="22"/>
        <v>0</v>
      </c>
      <c r="I299" s="134">
        <v>0</v>
      </c>
      <c r="J299" s="129">
        <f t="shared" si="23"/>
        <v>0</v>
      </c>
    </row>
    <row r="300" spans="1:10">
      <c r="A300" s="122">
        <v>293</v>
      </c>
      <c r="D300" s="130">
        <v>0</v>
      </c>
      <c r="E300" s="131">
        <f t="shared" si="20"/>
        <v>0</v>
      </c>
      <c r="F300" s="127">
        <f t="shared" si="24"/>
        <v>0</v>
      </c>
      <c r="G300" s="130">
        <f t="shared" si="21"/>
        <v>0</v>
      </c>
      <c r="H300" s="133">
        <f t="shared" si="22"/>
        <v>0</v>
      </c>
      <c r="I300" s="134">
        <v>0</v>
      </c>
      <c r="J300" s="129">
        <f t="shared" si="23"/>
        <v>0</v>
      </c>
    </row>
    <row r="301" spans="1:10">
      <c r="A301" s="122">
        <v>294</v>
      </c>
      <c r="D301" s="130">
        <v>0</v>
      </c>
      <c r="E301" s="131">
        <f t="shared" si="20"/>
        <v>0</v>
      </c>
      <c r="F301" s="127">
        <f t="shared" si="24"/>
        <v>0</v>
      </c>
      <c r="G301" s="130">
        <f t="shared" si="21"/>
        <v>0</v>
      </c>
      <c r="H301" s="133">
        <f t="shared" si="22"/>
        <v>0</v>
      </c>
      <c r="I301" s="134">
        <v>0</v>
      </c>
      <c r="J301" s="129">
        <f t="shared" si="23"/>
        <v>0</v>
      </c>
    </row>
    <row r="302" spans="1:10">
      <c r="A302" s="122">
        <v>295</v>
      </c>
      <c r="D302" s="130">
        <v>0</v>
      </c>
      <c r="E302" s="131">
        <f t="shared" si="20"/>
        <v>0</v>
      </c>
      <c r="F302" s="127">
        <f t="shared" si="24"/>
        <v>0</v>
      </c>
      <c r="G302" s="130">
        <f t="shared" si="21"/>
        <v>0</v>
      </c>
      <c r="H302" s="133">
        <f t="shared" si="22"/>
        <v>0</v>
      </c>
      <c r="I302" s="134">
        <v>0</v>
      </c>
      <c r="J302" s="129">
        <f t="shared" si="23"/>
        <v>0</v>
      </c>
    </row>
    <row r="303" spans="1:10">
      <c r="A303" s="122">
        <v>296</v>
      </c>
      <c r="D303" s="130">
        <v>0</v>
      </c>
      <c r="E303" s="131">
        <f t="shared" si="20"/>
        <v>0</v>
      </c>
      <c r="F303" s="127">
        <f t="shared" si="24"/>
        <v>0</v>
      </c>
      <c r="G303" s="130">
        <f t="shared" si="21"/>
        <v>0</v>
      </c>
      <c r="H303" s="133">
        <f t="shared" si="22"/>
        <v>0</v>
      </c>
      <c r="I303" s="134">
        <v>0</v>
      </c>
      <c r="J303" s="129">
        <f t="shared" si="23"/>
        <v>0</v>
      </c>
    </row>
    <row r="304" spans="1:10">
      <c r="A304" s="122">
        <v>297</v>
      </c>
      <c r="D304" s="130">
        <v>0</v>
      </c>
      <c r="E304" s="131">
        <f t="shared" si="20"/>
        <v>0</v>
      </c>
      <c r="F304" s="127">
        <f t="shared" si="24"/>
        <v>0</v>
      </c>
      <c r="G304" s="130">
        <f t="shared" si="21"/>
        <v>0</v>
      </c>
      <c r="H304" s="133">
        <f t="shared" si="22"/>
        <v>0</v>
      </c>
      <c r="I304" s="134">
        <v>0</v>
      </c>
      <c r="J304" s="129">
        <f t="shared" si="23"/>
        <v>0</v>
      </c>
    </row>
    <row r="305" spans="1:10">
      <c r="A305" s="122">
        <v>298</v>
      </c>
      <c r="D305" s="130">
        <v>0</v>
      </c>
      <c r="E305" s="131">
        <f t="shared" si="20"/>
        <v>0</v>
      </c>
      <c r="F305" s="127">
        <f t="shared" si="24"/>
        <v>0</v>
      </c>
      <c r="G305" s="130">
        <f t="shared" si="21"/>
        <v>0</v>
      </c>
      <c r="H305" s="133">
        <f t="shared" si="22"/>
        <v>0</v>
      </c>
      <c r="I305" s="134">
        <v>0</v>
      </c>
      <c r="J305" s="129">
        <f t="shared" si="23"/>
        <v>0</v>
      </c>
    </row>
    <row r="306" spans="1:10">
      <c r="A306" s="122">
        <v>299</v>
      </c>
      <c r="D306" s="130">
        <v>0</v>
      </c>
      <c r="E306" s="131">
        <f t="shared" si="20"/>
        <v>0</v>
      </c>
      <c r="F306" s="127">
        <f t="shared" si="24"/>
        <v>0</v>
      </c>
      <c r="G306" s="130">
        <f t="shared" si="21"/>
        <v>0</v>
      </c>
      <c r="H306" s="133">
        <f t="shared" si="22"/>
        <v>0</v>
      </c>
      <c r="I306" s="134">
        <v>0</v>
      </c>
      <c r="J306" s="129">
        <f t="shared" si="23"/>
        <v>0</v>
      </c>
    </row>
    <row r="307" spans="1:10">
      <c r="A307" s="122">
        <v>300</v>
      </c>
      <c r="D307" s="130">
        <v>0</v>
      </c>
      <c r="E307" s="131">
        <f t="shared" si="20"/>
        <v>0</v>
      </c>
      <c r="F307" s="127">
        <f t="shared" si="24"/>
        <v>0</v>
      </c>
      <c r="G307" s="130">
        <f t="shared" si="21"/>
        <v>0</v>
      </c>
      <c r="H307" s="133">
        <f t="shared" si="22"/>
        <v>0</v>
      </c>
      <c r="I307" s="134">
        <v>0</v>
      </c>
      <c r="J307" s="129">
        <f t="shared" si="23"/>
        <v>0</v>
      </c>
    </row>
    <row r="308" spans="1:10">
      <c r="A308" s="122">
        <v>301</v>
      </c>
      <c r="D308" s="130">
        <v>0</v>
      </c>
      <c r="E308" s="131">
        <f t="shared" si="20"/>
        <v>0</v>
      </c>
      <c r="F308" s="127">
        <f t="shared" si="24"/>
        <v>0</v>
      </c>
      <c r="G308" s="130">
        <f t="shared" si="21"/>
        <v>0</v>
      </c>
      <c r="H308" s="133">
        <f t="shared" si="22"/>
        <v>0</v>
      </c>
      <c r="I308" s="134">
        <v>0</v>
      </c>
      <c r="J308" s="129">
        <f t="shared" si="23"/>
        <v>0</v>
      </c>
    </row>
    <row r="309" spans="1:10">
      <c r="A309" s="122">
        <v>302</v>
      </c>
      <c r="D309" s="130">
        <v>0</v>
      </c>
      <c r="E309" s="131">
        <f t="shared" si="20"/>
        <v>0</v>
      </c>
      <c r="F309" s="127">
        <f t="shared" si="24"/>
        <v>0</v>
      </c>
      <c r="G309" s="130">
        <f t="shared" si="21"/>
        <v>0</v>
      </c>
      <c r="H309" s="133">
        <f t="shared" si="22"/>
        <v>0</v>
      </c>
      <c r="I309" s="134">
        <v>0</v>
      </c>
      <c r="J309" s="129">
        <f t="shared" si="23"/>
        <v>0</v>
      </c>
    </row>
    <row r="310" spans="1:10">
      <c r="A310" s="122">
        <v>303</v>
      </c>
      <c r="D310" s="130">
        <v>0</v>
      </c>
      <c r="E310" s="131">
        <f t="shared" si="20"/>
        <v>0</v>
      </c>
      <c r="F310" s="127">
        <f t="shared" si="24"/>
        <v>0</v>
      </c>
      <c r="G310" s="130">
        <f t="shared" si="21"/>
        <v>0</v>
      </c>
      <c r="H310" s="133">
        <f t="shared" si="22"/>
        <v>0</v>
      </c>
      <c r="I310" s="134">
        <v>0</v>
      </c>
      <c r="J310" s="129">
        <f t="shared" si="23"/>
        <v>0</v>
      </c>
    </row>
    <row r="311" spans="1:10">
      <c r="A311" s="122">
        <v>304</v>
      </c>
      <c r="D311" s="130">
        <v>0</v>
      </c>
      <c r="E311" s="131">
        <f t="shared" si="20"/>
        <v>0</v>
      </c>
      <c r="F311" s="127">
        <f t="shared" si="24"/>
        <v>0</v>
      </c>
      <c r="G311" s="130">
        <f t="shared" si="21"/>
        <v>0</v>
      </c>
      <c r="H311" s="133">
        <f t="shared" si="22"/>
        <v>0</v>
      </c>
      <c r="I311" s="134">
        <v>0</v>
      </c>
      <c r="J311" s="129">
        <f t="shared" si="23"/>
        <v>0</v>
      </c>
    </row>
    <row r="312" spans="1:10">
      <c r="A312" s="122">
        <v>305</v>
      </c>
      <c r="D312" s="130">
        <v>0</v>
      </c>
      <c r="E312" s="131">
        <f t="shared" si="20"/>
        <v>0</v>
      </c>
      <c r="F312" s="127">
        <f t="shared" si="24"/>
        <v>0</v>
      </c>
      <c r="G312" s="130">
        <f t="shared" si="21"/>
        <v>0</v>
      </c>
      <c r="H312" s="133">
        <f t="shared" si="22"/>
        <v>0</v>
      </c>
      <c r="I312" s="134">
        <v>0</v>
      </c>
      <c r="J312" s="129">
        <f t="shared" si="23"/>
        <v>0</v>
      </c>
    </row>
    <row r="313" spans="1:10">
      <c r="A313" s="122">
        <v>306</v>
      </c>
      <c r="D313" s="130">
        <v>0</v>
      </c>
      <c r="E313" s="131">
        <f t="shared" si="20"/>
        <v>0</v>
      </c>
      <c r="F313" s="127">
        <f t="shared" si="24"/>
        <v>0</v>
      </c>
      <c r="G313" s="130">
        <f t="shared" si="21"/>
        <v>0</v>
      </c>
      <c r="H313" s="133">
        <f t="shared" si="22"/>
        <v>0</v>
      </c>
      <c r="I313" s="134">
        <v>0</v>
      </c>
      <c r="J313" s="129">
        <f t="shared" si="23"/>
        <v>0</v>
      </c>
    </row>
    <row r="314" spans="1:10">
      <c r="A314" s="122">
        <v>307</v>
      </c>
      <c r="D314" s="130">
        <v>0</v>
      </c>
      <c r="E314" s="131">
        <f t="shared" si="20"/>
        <v>0</v>
      </c>
      <c r="F314" s="127">
        <f t="shared" si="24"/>
        <v>0</v>
      </c>
      <c r="G314" s="130">
        <f t="shared" si="21"/>
        <v>0</v>
      </c>
      <c r="H314" s="133">
        <f t="shared" si="22"/>
        <v>0</v>
      </c>
      <c r="I314" s="134">
        <v>0</v>
      </c>
      <c r="J314" s="129">
        <f t="shared" si="23"/>
        <v>0</v>
      </c>
    </row>
    <row r="315" spans="1:10">
      <c r="A315" s="122">
        <v>308</v>
      </c>
      <c r="D315" s="130">
        <v>0</v>
      </c>
      <c r="E315" s="131">
        <f t="shared" si="20"/>
        <v>0</v>
      </c>
      <c r="F315" s="127">
        <f t="shared" si="24"/>
        <v>0</v>
      </c>
      <c r="G315" s="130">
        <f t="shared" si="21"/>
        <v>0</v>
      </c>
      <c r="H315" s="133">
        <f t="shared" si="22"/>
        <v>0</v>
      </c>
      <c r="I315" s="134">
        <v>0</v>
      </c>
      <c r="J315" s="129">
        <f t="shared" si="23"/>
        <v>0</v>
      </c>
    </row>
    <row r="316" spans="1:10">
      <c r="A316" s="122">
        <v>309</v>
      </c>
      <c r="D316" s="130">
        <v>0</v>
      </c>
      <c r="E316" s="131">
        <f t="shared" si="20"/>
        <v>0</v>
      </c>
      <c r="F316" s="127">
        <f t="shared" si="24"/>
        <v>0</v>
      </c>
      <c r="G316" s="130">
        <f t="shared" si="21"/>
        <v>0</v>
      </c>
      <c r="H316" s="133">
        <f t="shared" si="22"/>
        <v>0</v>
      </c>
      <c r="I316" s="134">
        <v>0</v>
      </c>
      <c r="J316" s="129">
        <f t="shared" si="23"/>
        <v>0</v>
      </c>
    </row>
    <row r="317" spans="1:10">
      <c r="A317" s="122">
        <v>310</v>
      </c>
      <c r="D317" s="130">
        <v>0</v>
      </c>
      <c r="E317" s="131">
        <f t="shared" si="20"/>
        <v>0</v>
      </c>
      <c r="F317" s="127">
        <f t="shared" si="24"/>
        <v>0</v>
      </c>
      <c r="G317" s="130">
        <f t="shared" si="21"/>
        <v>0</v>
      </c>
      <c r="H317" s="133">
        <f t="shared" si="22"/>
        <v>0</v>
      </c>
      <c r="I317" s="134">
        <v>0</v>
      </c>
      <c r="J317" s="129">
        <f t="shared" si="23"/>
        <v>0</v>
      </c>
    </row>
    <row r="318" spans="1:10">
      <c r="A318" s="122">
        <v>311</v>
      </c>
      <c r="D318" s="130">
        <v>0</v>
      </c>
      <c r="E318" s="131">
        <f t="shared" si="20"/>
        <v>0</v>
      </c>
      <c r="F318" s="127">
        <f t="shared" si="24"/>
        <v>0</v>
      </c>
      <c r="G318" s="130">
        <f t="shared" si="21"/>
        <v>0</v>
      </c>
      <c r="H318" s="133">
        <f t="shared" si="22"/>
        <v>0</v>
      </c>
      <c r="I318" s="134">
        <v>0</v>
      </c>
      <c r="J318" s="129">
        <f t="shared" si="23"/>
        <v>0</v>
      </c>
    </row>
    <row r="319" spans="1:10">
      <c r="A319" s="122">
        <v>312</v>
      </c>
      <c r="D319" s="130">
        <v>0</v>
      </c>
      <c r="E319" s="131">
        <f t="shared" si="20"/>
        <v>0</v>
      </c>
      <c r="F319" s="127">
        <f t="shared" si="24"/>
        <v>0</v>
      </c>
      <c r="G319" s="130">
        <f t="shared" si="21"/>
        <v>0</v>
      </c>
      <c r="H319" s="133">
        <f t="shared" si="22"/>
        <v>0</v>
      </c>
      <c r="I319" s="134">
        <v>0</v>
      </c>
      <c r="J319" s="129">
        <f t="shared" si="23"/>
        <v>0</v>
      </c>
    </row>
    <row r="320" spans="1:10">
      <c r="A320" s="122">
        <v>313</v>
      </c>
      <c r="D320" s="130">
        <v>0</v>
      </c>
      <c r="E320" s="131">
        <f t="shared" si="20"/>
        <v>0</v>
      </c>
      <c r="F320" s="127">
        <f t="shared" si="24"/>
        <v>0</v>
      </c>
      <c r="G320" s="130">
        <f t="shared" si="21"/>
        <v>0</v>
      </c>
      <c r="H320" s="133">
        <f t="shared" si="22"/>
        <v>0</v>
      </c>
      <c r="I320" s="134">
        <v>0</v>
      </c>
      <c r="J320" s="129">
        <f t="shared" si="23"/>
        <v>0</v>
      </c>
    </row>
    <row r="321" spans="1:10">
      <c r="A321" s="122">
        <v>314</v>
      </c>
      <c r="D321" s="130">
        <v>0</v>
      </c>
      <c r="E321" s="131">
        <f t="shared" si="20"/>
        <v>0</v>
      </c>
      <c r="F321" s="127">
        <f t="shared" si="24"/>
        <v>0</v>
      </c>
      <c r="G321" s="130">
        <f t="shared" si="21"/>
        <v>0</v>
      </c>
      <c r="H321" s="133">
        <f t="shared" si="22"/>
        <v>0</v>
      </c>
      <c r="I321" s="134">
        <v>0</v>
      </c>
      <c r="J321" s="129">
        <f t="shared" si="23"/>
        <v>0</v>
      </c>
    </row>
    <row r="322" spans="1:10">
      <c r="A322" s="122">
        <v>315</v>
      </c>
      <c r="D322" s="130">
        <v>0</v>
      </c>
      <c r="E322" s="131">
        <f t="shared" si="20"/>
        <v>0</v>
      </c>
      <c r="F322" s="127">
        <f t="shared" si="24"/>
        <v>0</v>
      </c>
      <c r="G322" s="130">
        <f t="shared" si="21"/>
        <v>0</v>
      </c>
      <c r="H322" s="133">
        <f t="shared" si="22"/>
        <v>0</v>
      </c>
      <c r="I322" s="134">
        <v>0</v>
      </c>
      <c r="J322" s="129">
        <f t="shared" si="23"/>
        <v>0</v>
      </c>
    </row>
    <row r="323" spans="1:10">
      <c r="A323" s="122">
        <v>316</v>
      </c>
      <c r="D323" s="130">
        <v>0</v>
      </c>
      <c r="E323" s="131">
        <f t="shared" si="20"/>
        <v>0</v>
      </c>
      <c r="F323" s="127">
        <f t="shared" si="24"/>
        <v>0</v>
      </c>
      <c r="G323" s="130">
        <f t="shared" si="21"/>
        <v>0</v>
      </c>
      <c r="H323" s="133">
        <f t="shared" si="22"/>
        <v>0</v>
      </c>
      <c r="I323" s="134">
        <v>0</v>
      </c>
      <c r="J323" s="129">
        <f t="shared" si="23"/>
        <v>0</v>
      </c>
    </row>
    <row r="324" spans="1:10">
      <c r="A324" s="122">
        <v>317</v>
      </c>
      <c r="D324" s="130">
        <v>0</v>
      </c>
      <c r="E324" s="131">
        <f t="shared" si="20"/>
        <v>0</v>
      </c>
      <c r="F324" s="127">
        <f t="shared" si="24"/>
        <v>0</v>
      </c>
      <c r="G324" s="130">
        <f t="shared" si="21"/>
        <v>0</v>
      </c>
      <c r="H324" s="133">
        <f t="shared" si="22"/>
        <v>0</v>
      </c>
      <c r="I324" s="134">
        <v>0</v>
      </c>
      <c r="J324" s="129">
        <f t="shared" si="23"/>
        <v>0</v>
      </c>
    </row>
    <row r="325" spans="1:10">
      <c r="A325" s="122">
        <v>318</v>
      </c>
      <c r="D325" s="130">
        <v>0</v>
      </c>
      <c r="E325" s="131">
        <f t="shared" si="20"/>
        <v>0</v>
      </c>
      <c r="F325" s="127">
        <f t="shared" si="24"/>
        <v>0</v>
      </c>
      <c r="G325" s="130">
        <f t="shared" si="21"/>
        <v>0</v>
      </c>
      <c r="H325" s="133">
        <f t="shared" si="22"/>
        <v>0</v>
      </c>
      <c r="I325" s="134">
        <v>0</v>
      </c>
      <c r="J325" s="129">
        <f t="shared" si="23"/>
        <v>0</v>
      </c>
    </row>
    <row r="326" spans="1:10">
      <c r="A326" s="122">
        <v>319</v>
      </c>
      <c r="D326" s="130">
        <v>0</v>
      </c>
      <c r="E326" s="131">
        <f t="shared" si="20"/>
        <v>0</v>
      </c>
      <c r="F326" s="127">
        <f t="shared" si="24"/>
        <v>0</v>
      </c>
      <c r="G326" s="130">
        <f t="shared" si="21"/>
        <v>0</v>
      </c>
      <c r="H326" s="133">
        <f t="shared" si="22"/>
        <v>0</v>
      </c>
      <c r="I326" s="134">
        <v>0</v>
      </c>
      <c r="J326" s="129">
        <f t="shared" si="23"/>
        <v>0</v>
      </c>
    </row>
    <row r="327" spans="1:10">
      <c r="A327" s="122">
        <v>320</v>
      </c>
      <c r="D327" s="130">
        <v>0</v>
      </c>
      <c r="E327" s="131">
        <f t="shared" si="20"/>
        <v>0</v>
      </c>
      <c r="F327" s="127">
        <f t="shared" si="24"/>
        <v>0</v>
      </c>
      <c r="G327" s="130">
        <f t="shared" si="21"/>
        <v>0</v>
      </c>
      <c r="H327" s="133">
        <f t="shared" si="22"/>
        <v>0</v>
      </c>
      <c r="I327" s="134">
        <v>0</v>
      </c>
      <c r="J327" s="129">
        <f t="shared" si="23"/>
        <v>0</v>
      </c>
    </row>
    <row r="328" spans="1:10">
      <c r="A328" s="122">
        <v>321</v>
      </c>
      <c r="D328" s="130">
        <v>0</v>
      </c>
      <c r="E328" s="131">
        <f t="shared" ref="E328:E391" si="25">IF(D328&lt;=300000,0,IF(D328&gt;=20000000,(D328*0.21),(D328*0.2)+200000))</f>
        <v>0</v>
      </c>
      <c r="F328" s="127">
        <f t="shared" si="24"/>
        <v>0</v>
      </c>
      <c r="G328" s="130">
        <f t="shared" ref="G328:G391" si="26">IF(E328=0,(D328*0.01),IF(F328&lt;=0,0.01*D328,IF(AND(F328&gt;0,F328&lt;=300000),F328*7%,IF(AND(F328&gt;=300000,F328&lt;600000),21000+(F328-300000)*11%,IF(AND(F328&gt;=600000,F328&lt;1100000),54000+(F328-600000)*15%,IF(AND(F328&gt;=1100000,F328&lt;1600000),129000+(F328-1100000)*19%,IF(AND(F328&gt;=1600000,F328&lt;3200000),224000+(F328-1600000)*21%,560000+(F328-3200000)*24%)))))))</f>
        <v>0</v>
      </c>
      <c r="H328" s="133">
        <f t="shared" ref="H328:H391" si="27">G328/12</f>
        <v>0</v>
      </c>
      <c r="I328" s="134">
        <v>0</v>
      </c>
      <c r="J328" s="129">
        <f t="shared" ref="J328:J391" si="28">+H328*I328</f>
        <v>0</v>
      </c>
    </row>
    <row r="329" spans="1:10">
      <c r="A329" s="122">
        <v>322</v>
      </c>
      <c r="D329" s="130">
        <v>0</v>
      </c>
      <c r="E329" s="131">
        <f t="shared" si="25"/>
        <v>0</v>
      </c>
      <c r="F329" s="127">
        <f t="shared" ref="F329:F392" si="29">+D329-E329</f>
        <v>0</v>
      </c>
      <c r="G329" s="130">
        <f t="shared" si="26"/>
        <v>0</v>
      </c>
      <c r="H329" s="133">
        <f t="shared" si="27"/>
        <v>0</v>
      </c>
      <c r="I329" s="134">
        <v>0</v>
      </c>
      <c r="J329" s="129">
        <f t="shared" si="28"/>
        <v>0</v>
      </c>
    </row>
    <row r="330" spans="1:10">
      <c r="A330" s="122">
        <v>323</v>
      </c>
      <c r="D330" s="130">
        <v>0</v>
      </c>
      <c r="E330" s="131">
        <f t="shared" si="25"/>
        <v>0</v>
      </c>
      <c r="F330" s="127">
        <f t="shared" si="29"/>
        <v>0</v>
      </c>
      <c r="G330" s="130">
        <f t="shared" si="26"/>
        <v>0</v>
      </c>
      <c r="H330" s="133">
        <f t="shared" si="27"/>
        <v>0</v>
      </c>
      <c r="I330" s="134">
        <v>0</v>
      </c>
      <c r="J330" s="129">
        <f t="shared" si="28"/>
        <v>0</v>
      </c>
    </row>
    <row r="331" spans="1:10">
      <c r="A331" s="122">
        <v>324</v>
      </c>
      <c r="D331" s="130">
        <v>0</v>
      </c>
      <c r="E331" s="131">
        <f t="shared" si="25"/>
        <v>0</v>
      </c>
      <c r="F331" s="127">
        <f t="shared" si="29"/>
        <v>0</v>
      </c>
      <c r="G331" s="130">
        <f t="shared" si="26"/>
        <v>0</v>
      </c>
      <c r="H331" s="133">
        <f t="shared" si="27"/>
        <v>0</v>
      </c>
      <c r="I331" s="134">
        <v>0</v>
      </c>
      <c r="J331" s="129">
        <f t="shared" si="28"/>
        <v>0</v>
      </c>
    </row>
    <row r="332" spans="1:10">
      <c r="A332" s="122">
        <v>325</v>
      </c>
      <c r="D332" s="130">
        <v>0</v>
      </c>
      <c r="E332" s="131">
        <f t="shared" si="25"/>
        <v>0</v>
      </c>
      <c r="F332" s="127">
        <f t="shared" si="29"/>
        <v>0</v>
      </c>
      <c r="G332" s="130">
        <f t="shared" si="26"/>
        <v>0</v>
      </c>
      <c r="H332" s="133">
        <f t="shared" si="27"/>
        <v>0</v>
      </c>
      <c r="I332" s="134">
        <v>0</v>
      </c>
      <c r="J332" s="129">
        <f t="shared" si="28"/>
        <v>0</v>
      </c>
    </row>
    <row r="333" spans="1:10">
      <c r="A333" s="122">
        <v>326</v>
      </c>
      <c r="D333" s="130">
        <v>0</v>
      </c>
      <c r="E333" s="131">
        <f t="shared" si="25"/>
        <v>0</v>
      </c>
      <c r="F333" s="127">
        <f t="shared" si="29"/>
        <v>0</v>
      </c>
      <c r="G333" s="130">
        <f t="shared" si="26"/>
        <v>0</v>
      </c>
      <c r="H333" s="133">
        <f t="shared" si="27"/>
        <v>0</v>
      </c>
      <c r="I333" s="134">
        <v>0</v>
      </c>
      <c r="J333" s="129">
        <f t="shared" si="28"/>
        <v>0</v>
      </c>
    </row>
    <row r="334" spans="1:10">
      <c r="A334" s="122">
        <v>327</v>
      </c>
      <c r="D334" s="130">
        <v>0</v>
      </c>
      <c r="E334" s="131">
        <f t="shared" si="25"/>
        <v>0</v>
      </c>
      <c r="F334" s="127">
        <f t="shared" si="29"/>
        <v>0</v>
      </c>
      <c r="G334" s="130">
        <f t="shared" si="26"/>
        <v>0</v>
      </c>
      <c r="H334" s="133">
        <f t="shared" si="27"/>
        <v>0</v>
      </c>
      <c r="I334" s="134">
        <v>0</v>
      </c>
      <c r="J334" s="129">
        <f t="shared" si="28"/>
        <v>0</v>
      </c>
    </row>
    <row r="335" spans="1:10">
      <c r="A335" s="122">
        <v>328</v>
      </c>
      <c r="D335" s="130">
        <v>0</v>
      </c>
      <c r="E335" s="131">
        <f t="shared" si="25"/>
        <v>0</v>
      </c>
      <c r="F335" s="127">
        <f t="shared" si="29"/>
        <v>0</v>
      </c>
      <c r="G335" s="130">
        <f t="shared" si="26"/>
        <v>0</v>
      </c>
      <c r="H335" s="133">
        <f t="shared" si="27"/>
        <v>0</v>
      </c>
      <c r="I335" s="134">
        <v>0</v>
      </c>
      <c r="J335" s="129">
        <f t="shared" si="28"/>
        <v>0</v>
      </c>
    </row>
    <row r="336" spans="1:10">
      <c r="A336" s="122">
        <v>329</v>
      </c>
      <c r="D336" s="130">
        <v>0</v>
      </c>
      <c r="E336" s="131">
        <f t="shared" si="25"/>
        <v>0</v>
      </c>
      <c r="F336" s="127">
        <f t="shared" si="29"/>
        <v>0</v>
      </c>
      <c r="G336" s="130">
        <f t="shared" si="26"/>
        <v>0</v>
      </c>
      <c r="H336" s="133">
        <f t="shared" si="27"/>
        <v>0</v>
      </c>
      <c r="I336" s="134">
        <v>0</v>
      </c>
      <c r="J336" s="129">
        <f t="shared" si="28"/>
        <v>0</v>
      </c>
    </row>
    <row r="337" spans="1:10">
      <c r="A337" s="122">
        <v>330</v>
      </c>
      <c r="D337" s="130">
        <v>0</v>
      </c>
      <c r="E337" s="131">
        <f t="shared" si="25"/>
        <v>0</v>
      </c>
      <c r="F337" s="127">
        <f t="shared" si="29"/>
        <v>0</v>
      </c>
      <c r="G337" s="130">
        <f t="shared" si="26"/>
        <v>0</v>
      </c>
      <c r="H337" s="133">
        <f t="shared" si="27"/>
        <v>0</v>
      </c>
      <c r="I337" s="134">
        <v>0</v>
      </c>
      <c r="J337" s="129">
        <f t="shared" si="28"/>
        <v>0</v>
      </c>
    </row>
    <row r="338" spans="1:10">
      <c r="A338" s="122">
        <v>331</v>
      </c>
      <c r="D338" s="130">
        <v>0</v>
      </c>
      <c r="E338" s="131">
        <f t="shared" si="25"/>
        <v>0</v>
      </c>
      <c r="F338" s="127">
        <f t="shared" si="29"/>
        <v>0</v>
      </c>
      <c r="G338" s="130">
        <f t="shared" si="26"/>
        <v>0</v>
      </c>
      <c r="H338" s="133">
        <f t="shared" si="27"/>
        <v>0</v>
      </c>
      <c r="I338" s="134">
        <v>0</v>
      </c>
      <c r="J338" s="129">
        <f t="shared" si="28"/>
        <v>0</v>
      </c>
    </row>
    <row r="339" spans="1:10">
      <c r="A339" s="122">
        <v>332</v>
      </c>
      <c r="D339" s="130">
        <v>0</v>
      </c>
      <c r="E339" s="131">
        <f t="shared" si="25"/>
        <v>0</v>
      </c>
      <c r="F339" s="127">
        <f t="shared" si="29"/>
        <v>0</v>
      </c>
      <c r="G339" s="130">
        <f t="shared" si="26"/>
        <v>0</v>
      </c>
      <c r="H339" s="133">
        <f t="shared" si="27"/>
        <v>0</v>
      </c>
      <c r="I339" s="134">
        <v>0</v>
      </c>
      <c r="J339" s="129">
        <f t="shared" si="28"/>
        <v>0</v>
      </c>
    </row>
    <row r="340" spans="1:10">
      <c r="A340" s="122">
        <v>333</v>
      </c>
      <c r="D340" s="130">
        <v>0</v>
      </c>
      <c r="E340" s="131">
        <f t="shared" si="25"/>
        <v>0</v>
      </c>
      <c r="F340" s="127">
        <f t="shared" si="29"/>
        <v>0</v>
      </c>
      <c r="G340" s="130">
        <f t="shared" si="26"/>
        <v>0</v>
      </c>
      <c r="H340" s="133">
        <f t="shared" si="27"/>
        <v>0</v>
      </c>
      <c r="I340" s="134">
        <v>0</v>
      </c>
      <c r="J340" s="129">
        <f t="shared" si="28"/>
        <v>0</v>
      </c>
    </row>
    <row r="341" spans="1:10">
      <c r="A341" s="122">
        <v>334</v>
      </c>
      <c r="D341" s="130">
        <v>0</v>
      </c>
      <c r="E341" s="131">
        <f t="shared" si="25"/>
        <v>0</v>
      </c>
      <c r="F341" s="127">
        <f t="shared" si="29"/>
        <v>0</v>
      </c>
      <c r="G341" s="130">
        <f t="shared" si="26"/>
        <v>0</v>
      </c>
      <c r="H341" s="133">
        <f t="shared" si="27"/>
        <v>0</v>
      </c>
      <c r="I341" s="134">
        <v>0</v>
      </c>
      <c r="J341" s="129">
        <f t="shared" si="28"/>
        <v>0</v>
      </c>
    </row>
    <row r="342" spans="1:10">
      <c r="A342" s="122">
        <v>335</v>
      </c>
      <c r="D342" s="130">
        <v>0</v>
      </c>
      <c r="E342" s="131">
        <f t="shared" si="25"/>
        <v>0</v>
      </c>
      <c r="F342" s="127">
        <f t="shared" si="29"/>
        <v>0</v>
      </c>
      <c r="G342" s="130">
        <f t="shared" si="26"/>
        <v>0</v>
      </c>
      <c r="H342" s="133">
        <f t="shared" si="27"/>
        <v>0</v>
      </c>
      <c r="I342" s="134">
        <v>0</v>
      </c>
      <c r="J342" s="129">
        <f t="shared" si="28"/>
        <v>0</v>
      </c>
    </row>
    <row r="343" spans="1:10">
      <c r="A343" s="122">
        <v>336</v>
      </c>
      <c r="D343" s="130">
        <v>0</v>
      </c>
      <c r="E343" s="131">
        <f t="shared" si="25"/>
        <v>0</v>
      </c>
      <c r="F343" s="127">
        <f t="shared" si="29"/>
        <v>0</v>
      </c>
      <c r="G343" s="130">
        <f t="shared" si="26"/>
        <v>0</v>
      </c>
      <c r="H343" s="133">
        <f t="shared" si="27"/>
        <v>0</v>
      </c>
      <c r="I343" s="134">
        <v>0</v>
      </c>
      <c r="J343" s="129">
        <f t="shared" si="28"/>
        <v>0</v>
      </c>
    </row>
    <row r="344" spans="1:10">
      <c r="A344" s="122">
        <v>337</v>
      </c>
      <c r="D344" s="130">
        <v>0</v>
      </c>
      <c r="E344" s="131">
        <f t="shared" si="25"/>
        <v>0</v>
      </c>
      <c r="F344" s="127">
        <f t="shared" si="29"/>
        <v>0</v>
      </c>
      <c r="G344" s="130">
        <f t="shared" si="26"/>
        <v>0</v>
      </c>
      <c r="H344" s="133">
        <f t="shared" si="27"/>
        <v>0</v>
      </c>
      <c r="I344" s="134">
        <v>0</v>
      </c>
      <c r="J344" s="129">
        <f t="shared" si="28"/>
        <v>0</v>
      </c>
    </row>
    <row r="345" spans="1:10">
      <c r="A345" s="122">
        <v>338</v>
      </c>
      <c r="D345" s="130">
        <v>0</v>
      </c>
      <c r="E345" s="131">
        <f t="shared" si="25"/>
        <v>0</v>
      </c>
      <c r="F345" s="127">
        <f t="shared" si="29"/>
        <v>0</v>
      </c>
      <c r="G345" s="130">
        <f t="shared" si="26"/>
        <v>0</v>
      </c>
      <c r="H345" s="133">
        <f t="shared" si="27"/>
        <v>0</v>
      </c>
      <c r="I345" s="134">
        <v>0</v>
      </c>
      <c r="J345" s="129">
        <f t="shared" si="28"/>
        <v>0</v>
      </c>
    </row>
    <row r="346" spans="1:10">
      <c r="A346" s="122">
        <v>339</v>
      </c>
      <c r="D346" s="130">
        <v>0</v>
      </c>
      <c r="E346" s="131">
        <f t="shared" si="25"/>
        <v>0</v>
      </c>
      <c r="F346" s="127">
        <f t="shared" si="29"/>
        <v>0</v>
      </c>
      <c r="G346" s="130">
        <f t="shared" si="26"/>
        <v>0</v>
      </c>
      <c r="H346" s="133">
        <f t="shared" si="27"/>
        <v>0</v>
      </c>
      <c r="I346" s="134">
        <v>0</v>
      </c>
      <c r="J346" s="129">
        <f t="shared" si="28"/>
        <v>0</v>
      </c>
    </row>
    <row r="347" spans="1:10">
      <c r="A347" s="122">
        <v>340</v>
      </c>
      <c r="D347" s="130">
        <v>0</v>
      </c>
      <c r="E347" s="131">
        <f t="shared" si="25"/>
        <v>0</v>
      </c>
      <c r="F347" s="127">
        <f t="shared" si="29"/>
        <v>0</v>
      </c>
      <c r="G347" s="130">
        <f t="shared" si="26"/>
        <v>0</v>
      </c>
      <c r="H347" s="133">
        <f t="shared" si="27"/>
        <v>0</v>
      </c>
      <c r="I347" s="134">
        <v>0</v>
      </c>
      <c r="J347" s="129">
        <f t="shared" si="28"/>
        <v>0</v>
      </c>
    </row>
    <row r="348" spans="1:10">
      <c r="A348" s="122">
        <v>341</v>
      </c>
      <c r="D348" s="130">
        <v>0</v>
      </c>
      <c r="E348" s="131">
        <f t="shared" si="25"/>
        <v>0</v>
      </c>
      <c r="F348" s="127">
        <f t="shared" si="29"/>
        <v>0</v>
      </c>
      <c r="G348" s="130">
        <f t="shared" si="26"/>
        <v>0</v>
      </c>
      <c r="H348" s="133">
        <f t="shared" si="27"/>
        <v>0</v>
      </c>
      <c r="I348" s="134">
        <v>0</v>
      </c>
      <c r="J348" s="129">
        <f t="shared" si="28"/>
        <v>0</v>
      </c>
    </row>
    <row r="349" spans="1:10">
      <c r="A349" s="122">
        <v>342</v>
      </c>
      <c r="D349" s="130">
        <v>0</v>
      </c>
      <c r="E349" s="131">
        <f t="shared" si="25"/>
        <v>0</v>
      </c>
      <c r="F349" s="127">
        <f t="shared" si="29"/>
        <v>0</v>
      </c>
      <c r="G349" s="130">
        <f t="shared" si="26"/>
        <v>0</v>
      </c>
      <c r="H349" s="133">
        <f t="shared" si="27"/>
        <v>0</v>
      </c>
      <c r="I349" s="134">
        <v>0</v>
      </c>
      <c r="J349" s="129">
        <f t="shared" si="28"/>
        <v>0</v>
      </c>
    </row>
    <row r="350" spans="1:10">
      <c r="A350" s="122">
        <v>343</v>
      </c>
      <c r="D350" s="130">
        <v>0</v>
      </c>
      <c r="E350" s="131">
        <f t="shared" si="25"/>
        <v>0</v>
      </c>
      <c r="F350" s="127">
        <f t="shared" si="29"/>
        <v>0</v>
      </c>
      <c r="G350" s="130">
        <f t="shared" si="26"/>
        <v>0</v>
      </c>
      <c r="H350" s="133">
        <f t="shared" si="27"/>
        <v>0</v>
      </c>
      <c r="I350" s="134">
        <v>0</v>
      </c>
      <c r="J350" s="129">
        <f t="shared" si="28"/>
        <v>0</v>
      </c>
    </row>
    <row r="351" spans="1:10">
      <c r="A351" s="122">
        <v>344</v>
      </c>
      <c r="D351" s="130">
        <v>0</v>
      </c>
      <c r="E351" s="131">
        <f t="shared" si="25"/>
        <v>0</v>
      </c>
      <c r="F351" s="127">
        <f t="shared" si="29"/>
        <v>0</v>
      </c>
      <c r="G351" s="130">
        <f t="shared" si="26"/>
        <v>0</v>
      </c>
      <c r="H351" s="133">
        <f t="shared" si="27"/>
        <v>0</v>
      </c>
      <c r="I351" s="134">
        <v>0</v>
      </c>
      <c r="J351" s="129">
        <f t="shared" si="28"/>
        <v>0</v>
      </c>
    </row>
    <row r="352" spans="1:10">
      <c r="A352" s="122">
        <v>345</v>
      </c>
      <c r="D352" s="130">
        <v>0</v>
      </c>
      <c r="E352" s="131">
        <f t="shared" si="25"/>
        <v>0</v>
      </c>
      <c r="F352" s="127">
        <f t="shared" si="29"/>
        <v>0</v>
      </c>
      <c r="G352" s="130">
        <f t="shared" si="26"/>
        <v>0</v>
      </c>
      <c r="H352" s="133">
        <f t="shared" si="27"/>
        <v>0</v>
      </c>
      <c r="I352" s="134">
        <v>0</v>
      </c>
      <c r="J352" s="129">
        <f t="shared" si="28"/>
        <v>0</v>
      </c>
    </row>
    <row r="353" spans="1:10">
      <c r="A353" s="122">
        <v>346</v>
      </c>
      <c r="D353" s="130">
        <v>0</v>
      </c>
      <c r="E353" s="131">
        <f t="shared" si="25"/>
        <v>0</v>
      </c>
      <c r="F353" s="127">
        <f t="shared" si="29"/>
        <v>0</v>
      </c>
      <c r="G353" s="130">
        <f t="shared" si="26"/>
        <v>0</v>
      </c>
      <c r="H353" s="133">
        <f t="shared" si="27"/>
        <v>0</v>
      </c>
      <c r="I353" s="134">
        <v>0</v>
      </c>
      <c r="J353" s="129">
        <f t="shared" si="28"/>
        <v>0</v>
      </c>
    </row>
    <row r="354" spans="1:10">
      <c r="A354" s="122">
        <v>347</v>
      </c>
      <c r="D354" s="130">
        <v>0</v>
      </c>
      <c r="E354" s="131">
        <f t="shared" si="25"/>
        <v>0</v>
      </c>
      <c r="F354" s="127">
        <f t="shared" si="29"/>
        <v>0</v>
      </c>
      <c r="G354" s="130">
        <f t="shared" si="26"/>
        <v>0</v>
      </c>
      <c r="H354" s="133">
        <f t="shared" si="27"/>
        <v>0</v>
      </c>
      <c r="I354" s="134">
        <v>0</v>
      </c>
      <c r="J354" s="129">
        <f t="shared" si="28"/>
        <v>0</v>
      </c>
    </row>
    <row r="355" spans="1:10">
      <c r="A355" s="122">
        <v>348</v>
      </c>
      <c r="D355" s="130">
        <v>0</v>
      </c>
      <c r="E355" s="131">
        <f t="shared" si="25"/>
        <v>0</v>
      </c>
      <c r="F355" s="127">
        <f t="shared" si="29"/>
        <v>0</v>
      </c>
      <c r="G355" s="130">
        <f t="shared" si="26"/>
        <v>0</v>
      </c>
      <c r="H355" s="133">
        <f t="shared" si="27"/>
        <v>0</v>
      </c>
      <c r="I355" s="134">
        <v>0</v>
      </c>
      <c r="J355" s="129">
        <f t="shared" si="28"/>
        <v>0</v>
      </c>
    </row>
    <row r="356" spans="1:10">
      <c r="A356" s="122">
        <v>349</v>
      </c>
      <c r="D356" s="130">
        <v>0</v>
      </c>
      <c r="E356" s="131">
        <f t="shared" si="25"/>
        <v>0</v>
      </c>
      <c r="F356" s="127">
        <f t="shared" si="29"/>
        <v>0</v>
      </c>
      <c r="G356" s="130">
        <f t="shared" si="26"/>
        <v>0</v>
      </c>
      <c r="H356" s="133">
        <f t="shared" si="27"/>
        <v>0</v>
      </c>
      <c r="I356" s="134">
        <v>0</v>
      </c>
      <c r="J356" s="129">
        <f t="shared" si="28"/>
        <v>0</v>
      </c>
    </row>
    <row r="357" spans="1:10">
      <c r="A357" s="122">
        <v>350</v>
      </c>
      <c r="D357" s="130">
        <v>0</v>
      </c>
      <c r="E357" s="131">
        <f t="shared" si="25"/>
        <v>0</v>
      </c>
      <c r="F357" s="127">
        <f t="shared" si="29"/>
        <v>0</v>
      </c>
      <c r="G357" s="130">
        <f t="shared" si="26"/>
        <v>0</v>
      </c>
      <c r="H357" s="133">
        <f t="shared" si="27"/>
        <v>0</v>
      </c>
      <c r="I357" s="134">
        <v>0</v>
      </c>
      <c r="J357" s="129">
        <f t="shared" si="28"/>
        <v>0</v>
      </c>
    </row>
    <row r="358" spans="1:10">
      <c r="A358" s="122">
        <v>351</v>
      </c>
      <c r="D358" s="130">
        <v>0</v>
      </c>
      <c r="E358" s="131">
        <f t="shared" si="25"/>
        <v>0</v>
      </c>
      <c r="F358" s="127">
        <f t="shared" si="29"/>
        <v>0</v>
      </c>
      <c r="G358" s="130">
        <f t="shared" si="26"/>
        <v>0</v>
      </c>
      <c r="H358" s="133">
        <f t="shared" si="27"/>
        <v>0</v>
      </c>
      <c r="I358" s="134">
        <v>0</v>
      </c>
      <c r="J358" s="129">
        <f t="shared" si="28"/>
        <v>0</v>
      </c>
    </row>
    <row r="359" spans="1:10">
      <c r="A359" s="122">
        <v>352</v>
      </c>
      <c r="D359" s="130">
        <v>0</v>
      </c>
      <c r="E359" s="131">
        <f t="shared" si="25"/>
        <v>0</v>
      </c>
      <c r="F359" s="127">
        <f t="shared" si="29"/>
        <v>0</v>
      </c>
      <c r="G359" s="130">
        <f t="shared" si="26"/>
        <v>0</v>
      </c>
      <c r="H359" s="133">
        <f t="shared" si="27"/>
        <v>0</v>
      </c>
      <c r="I359" s="134">
        <v>0</v>
      </c>
      <c r="J359" s="129">
        <f t="shared" si="28"/>
        <v>0</v>
      </c>
    </row>
    <row r="360" spans="1:10">
      <c r="A360" s="122">
        <v>353</v>
      </c>
      <c r="D360" s="130">
        <v>0</v>
      </c>
      <c r="E360" s="131">
        <f t="shared" si="25"/>
        <v>0</v>
      </c>
      <c r="F360" s="127">
        <f t="shared" si="29"/>
        <v>0</v>
      </c>
      <c r="G360" s="130">
        <f t="shared" si="26"/>
        <v>0</v>
      </c>
      <c r="H360" s="133">
        <f t="shared" si="27"/>
        <v>0</v>
      </c>
      <c r="I360" s="134">
        <v>0</v>
      </c>
      <c r="J360" s="129">
        <f t="shared" si="28"/>
        <v>0</v>
      </c>
    </row>
    <row r="361" spans="1:10">
      <c r="A361" s="122">
        <v>354</v>
      </c>
      <c r="D361" s="130">
        <v>0</v>
      </c>
      <c r="E361" s="131">
        <f t="shared" si="25"/>
        <v>0</v>
      </c>
      <c r="F361" s="127">
        <f t="shared" si="29"/>
        <v>0</v>
      </c>
      <c r="G361" s="130">
        <f t="shared" si="26"/>
        <v>0</v>
      </c>
      <c r="H361" s="133">
        <f t="shared" si="27"/>
        <v>0</v>
      </c>
      <c r="I361" s="134">
        <v>0</v>
      </c>
      <c r="J361" s="129">
        <f t="shared" si="28"/>
        <v>0</v>
      </c>
    </row>
    <row r="362" spans="1:10">
      <c r="A362" s="122">
        <v>355</v>
      </c>
      <c r="D362" s="130">
        <v>0</v>
      </c>
      <c r="E362" s="131">
        <f t="shared" si="25"/>
        <v>0</v>
      </c>
      <c r="F362" s="127">
        <f t="shared" si="29"/>
        <v>0</v>
      </c>
      <c r="G362" s="130">
        <f t="shared" si="26"/>
        <v>0</v>
      </c>
      <c r="H362" s="133">
        <f t="shared" si="27"/>
        <v>0</v>
      </c>
      <c r="I362" s="134">
        <v>0</v>
      </c>
      <c r="J362" s="129">
        <f t="shared" si="28"/>
        <v>0</v>
      </c>
    </row>
    <row r="363" spans="1:10">
      <c r="A363" s="122">
        <v>356</v>
      </c>
      <c r="D363" s="130">
        <v>0</v>
      </c>
      <c r="E363" s="131">
        <f t="shared" si="25"/>
        <v>0</v>
      </c>
      <c r="F363" s="127">
        <f t="shared" si="29"/>
        <v>0</v>
      </c>
      <c r="G363" s="130">
        <f t="shared" si="26"/>
        <v>0</v>
      </c>
      <c r="H363" s="133">
        <f t="shared" si="27"/>
        <v>0</v>
      </c>
      <c r="I363" s="134">
        <v>0</v>
      </c>
      <c r="J363" s="129">
        <f t="shared" si="28"/>
        <v>0</v>
      </c>
    </row>
    <row r="364" spans="1:10">
      <c r="A364" s="122">
        <v>357</v>
      </c>
      <c r="D364" s="130">
        <v>0</v>
      </c>
      <c r="E364" s="131">
        <f t="shared" si="25"/>
        <v>0</v>
      </c>
      <c r="F364" s="127">
        <f t="shared" si="29"/>
        <v>0</v>
      </c>
      <c r="G364" s="130">
        <f t="shared" si="26"/>
        <v>0</v>
      </c>
      <c r="H364" s="133">
        <f t="shared" si="27"/>
        <v>0</v>
      </c>
      <c r="I364" s="134">
        <v>0</v>
      </c>
      <c r="J364" s="129">
        <f t="shared" si="28"/>
        <v>0</v>
      </c>
    </row>
    <row r="365" spans="1:10">
      <c r="A365" s="122">
        <v>358</v>
      </c>
      <c r="D365" s="130">
        <v>0</v>
      </c>
      <c r="E365" s="131">
        <f t="shared" si="25"/>
        <v>0</v>
      </c>
      <c r="F365" s="127">
        <f t="shared" si="29"/>
        <v>0</v>
      </c>
      <c r="G365" s="130">
        <f t="shared" si="26"/>
        <v>0</v>
      </c>
      <c r="H365" s="133">
        <f t="shared" si="27"/>
        <v>0</v>
      </c>
      <c r="I365" s="134">
        <v>0</v>
      </c>
      <c r="J365" s="129">
        <f t="shared" si="28"/>
        <v>0</v>
      </c>
    </row>
    <row r="366" spans="1:10">
      <c r="A366" s="122">
        <v>359</v>
      </c>
      <c r="D366" s="130">
        <v>0</v>
      </c>
      <c r="E366" s="131">
        <f t="shared" si="25"/>
        <v>0</v>
      </c>
      <c r="F366" s="127">
        <f t="shared" si="29"/>
        <v>0</v>
      </c>
      <c r="G366" s="130">
        <f t="shared" si="26"/>
        <v>0</v>
      </c>
      <c r="H366" s="133">
        <f t="shared" si="27"/>
        <v>0</v>
      </c>
      <c r="I366" s="134">
        <v>0</v>
      </c>
      <c r="J366" s="129">
        <f t="shared" si="28"/>
        <v>0</v>
      </c>
    </row>
    <row r="367" spans="1:10">
      <c r="A367" s="122">
        <v>360</v>
      </c>
      <c r="D367" s="130">
        <v>0</v>
      </c>
      <c r="E367" s="131">
        <f t="shared" si="25"/>
        <v>0</v>
      </c>
      <c r="F367" s="127">
        <f t="shared" si="29"/>
        <v>0</v>
      </c>
      <c r="G367" s="130">
        <f t="shared" si="26"/>
        <v>0</v>
      </c>
      <c r="H367" s="133">
        <f t="shared" si="27"/>
        <v>0</v>
      </c>
      <c r="I367" s="134">
        <v>0</v>
      </c>
      <c r="J367" s="129">
        <f t="shared" si="28"/>
        <v>0</v>
      </c>
    </row>
    <row r="368" spans="1:10">
      <c r="A368" s="122">
        <v>361</v>
      </c>
      <c r="D368" s="130">
        <v>0</v>
      </c>
      <c r="E368" s="131">
        <f t="shared" si="25"/>
        <v>0</v>
      </c>
      <c r="F368" s="127">
        <f t="shared" si="29"/>
        <v>0</v>
      </c>
      <c r="G368" s="130">
        <f t="shared" si="26"/>
        <v>0</v>
      </c>
      <c r="H368" s="133">
        <f t="shared" si="27"/>
        <v>0</v>
      </c>
      <c r="I368" s="134">
        <v>0</v>
      </c>
      <c r="J368" s="129">
        <f t="shared" si="28"/>
        <v>0</v>
      </c>
    </row>
    <row r="369" spans="1:10">
      <c r="A369" s="122">
        <v>362</v>
      </c>
      <c r="D369" s="130">
        <v>0</v>
      </c>
      <c r="E369" s="131">
        <f t="shared" si="25"/>
        <v>0</v>
      </c>
      <c r="F369" s="127">
        <f t="shared" si="29"/>
        <v>0</v>
      </c>
      <c r="G369" s="130">
        <f t="shared" si="26"/>
        <v>0</v>
      </c>
      <c r="H369" s="133">
        <f t="shared" si="27"/>
        <v>0</v>
      </c>
      <c r="I369" s="134">
        <v>0</v>
      </c>
      <c r="J369" s="129">
        <f t="shared" si="28"/>
        <v>0</v>
      </c>
    </row>
    <row r="370" spans="1:10">
      <c r="A370" s="122">
        <v>363</v>
      </c>
      <c r="D370" s="130">
        <v>0</v>
      </c>
      <c r="E370" s="131">
        <f t="shared" si="25"/>
        <v>0</v>
      </c>
      <c r="F370" s="127">
        <f t="shared" si="29"/>
        <v>0</v>
      </c>
      <c r="G370" s="130">
        <f t="shared" si="26"/>
        <v>0</v>
      </c>
      <c r="H370" s="133">
        <f t="shared" si="27"/>
        <v>0</v>
      </c>
      <c r="I370" s="134">
        <v>0</v>
      </c>
      <c r="J370" s="129">
        <f t="shared" si="28"/>
        <v>0</v>
      </c>
    </row>
    <row r="371" spans="1:10">
      <c r="A371" s="122">
        <v>364</v>
      </c>
      <c r="D371" s="130">
        <v>0</v>
      </c>
      <c r="E371" s="131">
        <f t="shared" si="25"/>
        <v>0</v>
      </c>
      <c r="F371" s="127">
        <f t="shared" si="29"/>
        <v>0</v>
      </c>
      <c r="G371" s="130">
        <f t="shared" si="26"/>
        <v>0</v>
      </c>
      <c r="H371" s="133">
        <f t="shared" si="27"/>
        <v>0</v>
      </c>
      <c r="I371" s="134">
        <v>0</v>
      </c>
      <c r="J371" s="129">
        <f t="shared" si="28"/>
        <v>0</v>
      </c>
    </row>
    <row r="372" spans="1:10">
      <c r="A372" s="122">
        <v>365</v>
      </c>
      <c r="D372" s="130">
        <v>0</v>
      </c>
      <c r="E372" s="131">
        <f t="shared" si="25"/>
        <v>0</v>
      </c>
      <c r="F372" s="127">
        <f t="shared" si="29"/>
        <v>0</v>
      </c>
      <c r="G372" s="130">
        <f t="shared" si="26"/>
        <v>0</v>
      </c>
      <c r="H372" s="133">
        <f t="shared" si="27"/>
        <v>0</v>
      </c>
      <c r="I372" s="134">
        <v>0</v>
      </c>
      <c r="J372" s="129">
        <f t="shared" si="28"/>
        <v>0</v>
      </c>
    </row>
    <row r="373" spans="1:10">
      <c r="A373" s="122">
        <v>366</v>
      </c>
      <c r="D373" s="130">
        <v>0</v>
      </c>
      <c r="E373" s="131">
        <f t="shared" si="25"/>
        <v>0</v>
      </c>
      <c r="F373" s="127">
        <f t="shared" si="29"/>
        <v>0</v>
      </c>
      <c r="G373" s="130">
        <f t="shared" si="26"/>
        <v>0</v>
      </c>
      <c r="H373" s="133">
        <f t="shared" si="27"/>
        <v>0</v>
      </c>
      <c r="I373" s="134">
        <v>0</v>
      </c>
      <c r="J373" s="129">
        <f t="shared" si="28"/>
        <v>0</v>
      </c>
    </row>
    <row r="374" spans="1:10">
      <c r="A374" s="122">
        <v>367</v>
      </c>
      <c r="D374" s="130">
        <v>0</v>
      </c>
      <c r="E374" s="131">
        <f t="shared" si="25"/>
        <v>0</v>
      </c>
      <c r="F374" s="127">
        <f t="shared" si="29"/>
        <v>0</v>
      </c>
      <c r="G374" s="130">
        <f t="shared" si="26"/>
        <v>0</v>
      </c>
      <c r="H374" s="133">
        <f t="shared" si="27"/>
        <v>0</v>
      </c>
      <c r="I374" s="134">
        <v>0</v>
      </c>
      <c r="J374" s="129">
        <f t="shared" si="28"/>
        <v>0</v>
      </c>
    </row>
    <row r="375" spans="1:10">
      <c r="A375" s="122">
        <v>368</v>
      </c>
      <c r="D375" s="130">
        <v>0</v>
      </c>
      <c r="E375" s="131">
        <f t="shared" si="25"/>
        <v>0</v>
      </c>
      <c r="F375" s="127">
        <f t="shared" si="29"/>
        <v>0</v>
      </c>
      <c r="G375" s="130">
        <f t="shared" si="26"/>
        <v>0</v>
      </c>
      <c r="H375" s="133">
        <f t="shared" si="27"/>
        <v>0</v>
      </c>
      <c r="I375" s="134">
        <v>0</v>
      </c>
      <c r="J375" s="129">
        <f t="shared" si="28"/>
        <v>0</v>
      </c>
    </row>
    <row r="376" spans="1:10">
      <c r="A376" s="122">
        <v>369</v>
      </c>
      <c r="D376" s="130">
        <v>0</v>
      </c>
      <c r="E376" s="131">
        <f t="shared" si="25"/>
        <v>0</v>
      </c>
      <c r="F376" s="127">
        <f t="shared" si="29"/>
        <v>0</v>
      </c>
      <c r="G376" s="130">
        <f t="shared" si="26"/>
        <v>0</v>
      </c>
      <c r="H376" s="133">
        <f t="shared" si="27"/>
        <v>0</v>
      </c>
      <c r="I376" s="134">
        <v>0</v>
      </c>
      <c r="J376" s="129">
        <f t="shared" si="28"/>
        <v>0</v>
      </c>
    </row>
    <row r="377" spans="1:10">
      <c r="A377" s="122">
        <v>370</v>
      </c>
      <c r="D377" s="130">
        <v>0</v>
      </c>
      <c r="E377" s="131">
        <f t="shared" si="25"/>
        <v>0</v>
      </c>
      <c r="F377" s="127">
        <f t="shared" si="29"/>
        <v>0</v>
      </c>
      <c r="G377" s="130">
        <f t="shared" si="26"/>
        <v>0</v>
      </c>
      <c r="H377" s="133">
        <f t="shared" si="27"/>
        <v>0</v>
      </c>
      <c r="I377" s="134">
        <v>0</v>
      </c>
      <c r="J377" s="129">
        <f t="shared" si="28"/>
        <v>0</v>
      </c>
    </row>
    <row r="378" spans="1:10">
      <c r="A378" s="122">
        <v>371</v>
      </c>
      <c r="D378" s="130">
        <v>0</v>
      </c>
      <c r="E378" s="131">
        <f t="shared" si="25"/>
        <v>0</v>
      </c>
      <c r="F378" s="127">
        <f t="shared" si="29"/>
        <v>0</v>
      </c>
      <c r="G378" s="130">
        <f t="shared" si="26"/>
        <v>0</v>
      </c>
      <c r="H378" s="133">
        <f t="shared" si="27"/>
        <v>0</v>
      </c>
      <c r="I378" s="134">
        <v>0</v>
      </c>
      <c r="J378" s="129">
        <f t="shared" si="28"/>
        <v>0</v>
      </c>
    </row>
    <row r="379" spans="1:10">
      <c r="A379" s="122">
        <v>372</v>
      </c>
      <c r="D379" s="130">
        <v>0</v>
      </c>
      <c r="E379" s="131">
        <f t="shared" si="25"/>
        <v>0</v>
      </c>
      <c r="F379" s="127">
        <f t="shared" si="29"/>
        <v>0</v>
      </c>
      <c r="G379" s="130">
        <f t="shared" si="26"/>
        <v>0</v>
      </c>
      <c r="H379" s="133">
        <f t="shared" si="27"/>
        <v>0</v>
      </c>
      <c r="I379" s="134">
        <v>0</v>
      </c>
      <c r="J379" s="129">
        <f t="shared" si="28"/>
        <v>0</v>
      </c>
    </row>
    <row r="380" spans="1:10">
      <c r="A380" s="122">
        <v>373</v>
      </c>
      <c r="D380" s="130">
        <v>0</v>
      </c>
      <c r="E380" s="131">
        <f t="shared" si="25"/>
        <v>0</v>
      </c>
      <c r="F380" s="127">
        <f t="shared" si="29"/>
        <v>0</v>
      </c>
      <c r="G380" s="130">
        <f t="shared" si="26"/>
        <v>0</v>
      </c>
      <c r="H380" s="133">
        <f t="shared" si="27"/>
        <v>0</v>
      </c>
      <c r="I380" s="134">
        <v>0</v>
      </c>
      <c r="J380" s="129">
        <f t="shared" si="28"/>
        <v>0</v>
      </c>
    </row>
    <row r="381" spans="1:10">
      <c r="A381" s="122">
        <v>374</v>
      </c>
      <c r="D381" s="130">
        <v>0</v>
      </c>
      <c r="E381" s="131">
        <f t="shared" si="25"/>
        <v>0</v>
      </c>
      <c r="F381" s="127">
        <f t="shared" si="29"/>
        <v>0</v>
      </c>
      <c r="G381" s="130">
        <f t="shared" si="26"/>
        <v>0</v>
      </c>
      <c r="H381" s="133">
        <f t="shared" si="27"/>
        <v>0</v>
      </c>
      <c r="I381" s="134">
        <v>0</v>
      </c>
      <c r="J381" s="129">
        <f t="shared" si="28"/>
        <v>0</v>
      </c>
    </row>
    <row r="382" spans="1:10">
      <c r="A382" s="122">
        <v>375</v>
      </c>
      <c r="D382" s="130">
        <v>0</v>
      </c>
      <c r="E382" s="131">
        <f t="shared" si="25"/>
        <v>0</v>
      </c>
      <c r="F382" s="127">
        <f t="shared" si="29"/>
        <v>0</v>
      </c>
      <c r="G382" s="130">
        <f t="shared" si="26"/>
        <v>0</v>
      </c>
      <c r="H382" s="133">
        <f t="shared" si="27"/>
        <v>0</v>
      </c>
      <c r="I382" s="134">
        <v>0</v>
      </c>
      <c r="J382" s="129">
        <f t="shared" si="28"/>
        <v>0</v>
      </c>
    </row>
    <row r="383" spans="1:10">
      <c r="A383" s="122">
        <v>376</v>
      </c>
      <c r="D383" s="130">
        <v>0</v>
      </c>
      <c r="E383" s="131">
        <f t="shared" si="25"/>
        <v>0</v>
      </c>
      <c r="F383" s="127">
        <f t="shared" si="29"/>
        <v>0</v>
      </c>
      <c r="G383" s="130">
        <f t="shared" si="26"/>
        <v>0</v>
      </c>
      <c r="H383" s="133">
        <f t="shared" si="27"/>
        <v>0</v>
      </c>
      <c r="I383" s="134">
        <v>0</v>
      </c>
      <c r="J383" s="129">
        <f t="shared" si="28"/>
        <v>0</v>
      </c>
    </row>
    <row r="384" spans="1:10">
      <c r="A384" s="122">
        <v>377</v>
      </c>
      <c r="D384" s="130">
        <v>0</v>
      </c>
      <c r="E384" s="131">
        <f t="shared" si="25"/>
        <v>0</v>
      </c>
      <c r="F384" s="127">
        <f t="shared" si="29"/>
        <v>0</v>
      </c>
      <c r="G384" s="130">
        <f t="shared" si="26"/>
        <v>0</v>
      </c>
      <c r="H384" s="133">
        <f t="shared" si="27"/>
        <v>0</v>
      </c>
      <c r="I384" s="134">
        <v>0</v>
      </c>
      <c r="J384" s="129">
        <f t="shared" si="28"/>
        <v>0</v>
      </c>
    </row>
    <row r="385" spans="1:10">
      <c r="A385" s="122">
        <v>378</v>
      </c>
      <c r="D385" s="130">
        <v>0</v>
      </c>
      <c r="E385" s="131">
        <f t="shared" si="25"/>
        <v>0</v>
      </c>
      <c r="F385" s="127">
        <f t="shared" si="29"/>
        <v>0</v>
      </c>
      <c r="G385" s="130">
        <f t="shared" si="26"/>
        <v>0</v>
      </c>
      <c r="H385" s="133">
        <f t="shared" si="27"/>
        <v>0</v>
      </c>
      <c r="I385" s="134">
        <v>0</v>
      </c>
      <c r="J385" s="129">
        <f t="shared" si="28"/>
        <v>0</v>
      </c>
    </row>
    <row r="386" spans="1:10">
      <c r="A386" s="122">
        <v>379</v>
      </c>
      <c r="D386" s="130">
        <v>0</v>
      </c>
      <c r="E386" s="131">
        <f t="shared" si="25"/>
        <v>0</v>
      </c>
      <c r="F386" s="127">
        <f t="shared" si="29"/>
        <v>0</v>
      </c>
      <c r="G386" s="130">
        <f t="shared" si="26"/>
        <v>0</v>
      </c>
      <c r="H386" s="133">
        <f t="shared" si="27"/>
        <v>0</v>
      </c>
      <c r="I386" s="134">
        <v>0</v>
      </c>
      <c r="J386" s="129">
        <f t="shared" si="28"/>
        <v>0</v>
      </c>
    </row>
    <row r="387" spans="1:10">
      <c r="A387" s="122">
        <v>380</v>
      </c>
      <c r="D387" s="130">
        <v>0</v>
      </c>
      <c r="E387" s="131">
        <f t="shared" si="25"/>
        <v>0</v>
      </c>
      <c r="F387" s="127">
        <f t="shared" si="29"/>
        <v>0</v>
      </c>
      <c r="G387" s="130">
        <f t="shared" si="26"/>
        <v>0</v>
      </c>
      <c r="H387" s="133">
        <f t="shared" si="27"/>
        <v>0</v>
      </c>
      <c r="I387" s="134">
        <v>0</v>
      </c>
      <c r="J387" s="129">
        <f t="shared" si="28"/>
        <v>0</v>
      </c>
    </row>
    <row r="388" spans="1:10">
      <c r="A388" s="122">
        <v>381</v>
      </c>
      <c r="D388" s="130">
        <v>0</v>
      </c>
      <c r="E388" s="131">
        <f t="shared" si="25"/>
        <v>0</v>
      </c>
      <c r="F388" s="127">
        <f t="shared" si="29"/>
        <v>0</v>
      </c>
      <c r="G388" s="130">
        <f t="shared" si="26"/>
        <v>0</v>
      </c>
      <c r="H388" s="133">
        <f t="shared" si="27"/>
        <v>0</v>
      </c>
      <c r="I388" s="134">
        <v>0</v>
      </c>
      <c r="J388" s="129">
        <f t="shared" si="28"/>
        <v>0</v>
      </c>
    </row>
    <row r="389" spans="1:10">
      <c r="A389" s="122">
        <v>382</v>
      </c>
      <c r="D389" s="130">
        <v>0</v>
      </c>
      <c r="E389" s="131">
        <f t="shared" si="25"/>
        <v>0</v>
      </c>
      <c r="F389" s="127">
        <f t="shared" si="29"/>
        <v>0</v>
      </c>
      <c r="G389" s="130">
        <f t="shared" si="26"/>
        <v>0</v>
      </c>
      <c r="H389" s="133">
        <f t="shared" si="27"/>
        <v>0</v>
      </c>
      <c r="I389" s="134">
        <v>0</v>
      </c>
      <c r="J389" s="129">
        <f t="shared" si="28"/>
        <v>0</v>
      </c>
    </row>
    <row r="390" spans="1:10">
      <c r="A390" s="122">
        <v>383</v>
      </c>
      <c r="D390" s="130">
        <v>0</v>
      </c>
      <c r="E390" s="131">
        <f t="shared" si="25"/>
        <v>0</v>
      </c>
      <c r="F390" s="127">
        <f t="shared" si="29"/>
        <v>0</v>
      </c>
      <c r="G390" s="130">
        <f t="shared" si="26"/>
        <v>0</v>
      </c>
      <c r="H390" s="133">
        <f t="shared" si="27"/>
        <v>0</v>
      </c>
      <c r="I390" s="134">
        <v>0</v>
      </c>
      <c r="J390" s="129">
        <f t="shared" si="28"/>
        <v>0</v>
      </c>
    </row>
    <row r="391" spans="1:10">
      <c r="A391" s="122">
        <v>384</v>
      </c>
      <c r="D391" s="130">
        <v>0</v>
      </c>
      <c r="E391" s="131">
        <f t="shared" si="25"/>
        <v>0</v>
      </c>
      <c r="F391" s="127">
        <f t="shared" si="29"/>
        <v>0</v>
      </c>
      <c r="G391" s="130">
        <f t="shared" si="26"/>
        <v>0</v>
      </c>
      <c r="H391" s="133">
        <f t="shared" si="27"/>
        <v>0</v>
      </c>
      <c r="I391" s="134">
        <v>0</v>
      </c>
      <c r="J391" s="129">
        <f t="shared" si="28"/>
        <v>0</v>
      </c>
    </row>
    <row r="392" spans="1:10">
      <c r="A392" s="122">
        <v>385</v>
      </c>
      <c r="D392" s="130">
        <v>0</v>
      </c>
      <c r="E392" s="131">
        <f t="shared" ref="E392:E455" si="30">IF(D392&lt;=300000,0,IF(D392&gt;=20000000,(D392*0.21),(D392*0.2)+200000))</f>
        <v>0</v>
      </c>
      <c r="F392" s="127">
        <f t="shared" si="29"/>
        <v>0</v>
      </c>
      <c r="G392" s="130">
        <f t="shared" ref="G392:G455" si="31">IF(E392=0,(D392*0.01),IF(F392&lt;=0,0.01*D392,IF(AND(F392&gt;0,F392&lt;=300000),F392*7%,IF(AND(F392&gt;=300000,F392&lt;600000),21000+(F392-300000)*11%,IF(AND(F392&gt;=600000,F392&lt;1100000),54000+(F392-600000)*15%,IF(AND(F392&gt;=1100000,F392&lt;1600000),129000+(F392-1100000)*19%,IF(AND(F392&gt;=1600000,F392&lt;3200000),224000+(F392-1600000)*21%,560000+(F392-3200000)*24%)))))))</f>
        <v>0</v>
      </c>
      <c r="H392" s="133">
        <f t="shared" ref="H392:H455" si="32">G392/12</f>
        <v>0</v>
      </c>
      <c r="I392" s="134">
        <v>0</v>
      </c>
      <c r="J392" s="129">
        <f t="shared" ref="J392:J455" si="33">+H392*I392</f>
        <v>0</v>
      </c>
    </row>
    <row r="393" spans="1:10">
      <c r="A393" s="122">
        <v>386</v>
      </c>
      <c r="D393" s="130">
        <v>0</v>
      </c>
      <c r="E393" s="131">
        <f t="shared" si="30"/>
        <v>0</v>
      </c>
      <c r="F393" s="127">
        <f t="shared" ref="F393:F456" si="34">+D393-E393</f>
        <v>0</v>
      </c>
      <c r="G393" s="130">
        <f t="shared" si="31"/>
        <v>0</v>
      </c>
      <c r="H393" s="133">
        <f t="shared" si="32"/>
        <v>0</v>
      </c>
      <c r="I393" s="134">
        <v>0</v>
      </c>
      <c r="J393" s="129">
        <f t="shared" si="33"/>
        <v>0</v>
      </c>
    </row>
    <row r="394" spans="1:10">
      <c r="A394" s="122">
        <v>387</v>
      </c>
      <c r="D394" s="130">
        <v>0</v>
      </c>
      <c r="E394" s="131">
        <f t="shared" si="30"/>
        <v>0</v>
      </c>
      <c r="F394" s="127">
        <f t="shared" si="34"/>
        <v>0</v>
      </c>
      <c r="G394" s="130">
        <f t="shared" si="31"/>
        <v>0</v>
      </c>
      <c r="H394" s="133">
        <f t="shared" si="32"/>
        <v>0</v>
      </c>
      <c r="I394" s="134">
        <v>0</v>
      </c>
      <c r="J394" s="129">
        <f t="shared" si="33"/>
        <v>0</v>
      </c>
    </row>
    <row r="395" spans="1:10">
      <c r="A395" s="122">
        <v>388</v>
      </c>
      <c r="D395" s="130">
        <v>0</v>
      </c>
      <c r="E395" s="131">
        <f t="shared" si="30"/>
        <v>0</v>
      </c>
      <c r="F395" s="127">
        <f t="shared" si="34"/>
        <v>0</v>
      </c>
      <c r="G395" s="130">
        <f t="shared" si="31"/>
        <v>0</v>
      </c>
      <c r="H395" s="133">
        <f t="shared" si="32"/>
        <v>0</v>
      </c>
      <c r="I395" s="134">
        <v>0</v>
      </c>
      <c r="J395" s="129">
        <f t="shared" si="33"/>
        <v>0</v>
      </c>
    </row>
    <row r="396" spans="1:10">
      <c r="A396" s="122">
        <v>389</v>
      </c>
      <c r="D396" s="130">
        <v>0</v>
      </c>
      <c r="E396" s="131">
        <f t="shared" si="30"/>
        <v>0</v>
      </c>
      <c r="F396" s="127">
        <f t="shared" si="34"/>
        <v>0</v>
      </c>
      <c r="G396" s="130">
        <f t="shared" si="31"/>
        <v>0</v>
      </c>
      <c r="H396" s="133">
        <f t="shared" si="32"/>
        <v>0</v>
      </c>
      <c r="I396" s="134">
        <v>0</v>
      </c>
      <c r="J396" s="129">
        <f t="shared" si="33"/>
        <v>0</v>
      </c>
    </row>
    <row r="397" spans="1:10">
      <c r="A397" s="122">
        <v>390</v>
      </c>
      <c r="D397" s="130">
        <v>0</v>
      </c>
      <c r="E397" s="131">
        <f t="shared" si="30"/>
        <v>0</v>
      </c>
      <c r="F397" s="127">
        <f t="shared" si="34"/>
        <v>0</v>
      </c>
      <c r="G397" s="130">
        <f t="shared" si="31"/>
        <v>0</v>
      </c>
      <c r="H397" s="133">
        <f t="shared" si="32"/>
        <v>0</v>
      </c>
      <c r="I397" s="134">
        <v>0</v>
      </c>
      <c r="J397" s="129">
        <f t="shared" si="33"/>
        <v>0</v>
      </c>
    </row>
    <row r="398" spans="1:10">
      <c r="A398" s="122">
        <v>391</v>
      </c>
      <c r="D398" s="130">
        <v>0</v>
      </c>
      <c r="E398" s="131">
        <f t="shared" si="30"/>
        <v>0</v>
      </c>
      <c r="F398" s="127">
        <f t="shared" si="34"/>
        <v>0</v>
      </c>
      <c r="G398" s="130">
        <f t="shared" si="31"/>
        <v>0</v>
      </c>
      <c r="H398" s="133">
        <f t="shared" si="32"/>
        <v>0</v>
      </c>
      <c r="I398" s="134">
        <v>0</v>
      </c>
      <c r="J398" s="129">
        <f t="shared" si="33"/>
        <v>0</v>
      </c>
    </row>
    <row r="399" spans="1:10">
      <c r="A399" s="122">
        <v>392</v>
      </c>
      <c r="D399" s="130">
        <v>0</v>
      </c>
      <c r="E399" s="131">
        <f t="shared" si="30"/>
        <v>0</v>
      </c>
      <c r="F399" s="127">
        <f t="shared" si="34"/>
        <v>0</v>
      </c>
      <c r="G399" s="130">
        <f t="shared" si="31"/>
        <v>0</v>
      </c>
      <c r="H399" s="133">
        <f t="shared" si="32"/>
        <v>0</v>
      </c>
      <c r="I399" s="134">
        <v>0</v>
      </c>
      <c r="J399" s="129">
        <f t="shared" si="33"/>
        <v>0</v>
      </c>
    </row>
    <row r="400" spans="1:10">
      <c r="A400" s="122">
        <v>393</v>
      </c>
      <c r="D400" s="130">
        <v>0</v>
      </c>
      <c r="E400" s="131">
        <f t="shared" si="30"/>
        <v>0</v>
      </c>
      <c r="F400" s="127">
        <f t="shared" si="34"/>
        <v>0</v>
      </c>
      <c r="G400" s="130">
        <f t="shared" si="31"/>
        <v>0</v>
      </c>
      <c r="H400" s="133">
        <f t="shared" si="32"/>
        <v>0</v>
      </c>
      <c r="I400" s="134">
        <v>0</v>
      </c>
      <c r="J400" s="129">
        <f t="shared" si="33"/>
        <v>0</v>
      </c>
    </row>
    <row r="401" spans="1:10">
      <c r="A401" s="122">
        <v>394</v>
      </c>
      <c r="D401" s="130">
        <v>0</v>
      </c>
      <c r="E401" s="131">
        <f t="shared" si="30"/>
        <v>0</v>
      </c>
      <c r="F401" s="127">
        <f t="shared" si="34"/>
        <v>0</v>
      </c>
      <c r="G401" s="130">
        <f t="shared" si="31"/>
        <v>0</v>
      </c>
      <c r="H401" s="133">
        <f t="shared" si="32"/>
        <v>0</v>
      </c>
      <c r="I401" s="134">
        <v>0</v>
      </c>
      <c r="J401" s="129">
        <f t="shared" si="33"/>
        <v>0</v>
      </c>
    </row>
    <row r="402" spans="1:10">
      <c r="A402" s="122">
        <v>395</v>
      </c>
      <c r="D402" s="130">
        <v>0</v>
      </c>
      <c r="E402" s="131">
        <f t="shared" si="30"/>
        <v>0</v>
      </c>
      <c r="F402" s="127">
        <f t="shared" si="34"/>
        <v>0</v>
      </c>
      <c r="G402" s="130">
        <f t="shared" si="31"/>
        <v>0</v>
      </c>
      <c r="H402" s="133">
        <f t="shared" si="32"/>
        <v>0</v>
      </c>
      <c r="I402" s="134">
        <v>0</v>
      </c>
      <c r="J402" s="129">
        <f t="shared" si="33"/>
        <v>0</v>
      </c>
    </row>
    <row r="403" spans="1:10">
      <c r="A403" s="122">
        <v>396</v>
      </c>
      <c r="D403" s="130">
        <v>0</v>
      </c>
      <c r="E403" s="131">
        <f t="shared" si="30"/>
        <v>0</v>
      </c>
      <c r="F403" s="127">
        <f t="shared" si="34"/>
        <v>0</v>
      </c>
      <c r="G403" s="130">
        <f t="shared" si="31"/>
        <v>0</v>
      </c>
      <c r="H403" s="133">
        <f t="shared" si="32"/>
        <v>0</v>
      </c>
      <c r="I403" s="134">
        <v>0</v>
      </c>
      <c r="J403" s="129">
        <f t="shared" si="33"/>
        <v>0</v>
      </c>
    </row>
    <row r="404" spans="1:10">
      <c r="A404" s="122">
        <v>397</v>
      </c>
      <c r="D404" s="130">
        <v>0</v>
      </c>
      <c r="E404" s="131">
        <f t="shared" si="30"/>
        <v>0</v>
      </c>
      <c r="F404" s="127">
        <f t="shared" si="34"/>
        <v>0</v>
      </c>
      <c r="G404" s="130">
        <f t="shared" si="31"/>
        <v>0</v>
      </c>
      <c r="H404" s="133">
        <f t="shared" si="32"/>
        <v>0</v>
      </c>
      <c r="I404" s="134">
        <v>0</v>
      </c>
      <c r="J404" s="129">
        <f t="shared" si="33"/>
        <v>0</v>
      </c>
    </row>
    <row r="405" spans="1:10">
      <c r="A405" s="122">
        <v>398</v>
      </c>
      <c r="D405" s="130">
        <v>0</v>
      </c>
      <c r="E405" s="131">
        <f t="shared" si="30"/>
        <v>0</v>
      </c>
      <c r="F405" s="127">
        <f t="shared" si="34"/>
        <v>0</v>
      </c>
      <c r="G405" s="130">
        <f t="shared" si="31"/>
        <v>0</v>
      </c>
      <c r="H405" s="133">
        <f t="shared" si="32"/>
        <v>0</v>
      </c>
      <c r="I405" s="134">
        <v>0</v>
      </c>
      <c r="J405" s="129">
        <f t="shared" si="33"/>
        <v>0</v>
      </c>
    </row>
    <row r="406" spans="1:10">
      <c r="A406" s="122">
        <v>399</v>
      </c>
      <c r="D406" s="130">
        <v>0</v>
      </c>
      <c r="E406" s="131">
        <f t="shared" si="30"/>
        <v>0</v>
      </c>
      <c r="F406" s="127">
        <f t="shared" si="34"/>
        <v>0</v>
      </c>
      <c r="G406" s="130">
        <f t="shared" si="31"/>
        <v>0</v>
      </c>
      <c r="H406" s="133">
        <f t="shared" si="32"/>
        <v>0</v>
      </c>
      <c r="I406" s="134">
        <v>0</v>
      </c>
      <c r="J406" s="129">
        <f t="shared" si="33"/>
        <v>0</v>
      </c>
    </row>
    <row r="407" spans="1:10">
      <c r="A407" s="122">
        <v>400</v>
      </c>
      <c r="D407" s="130">
        <v>0</v>
      </c>
      <c r="E407" s="131">
        <f t="shared" si="30"/>
        <v>0</v>
      </c>
      <c r="F407" s="127">
        <f t="shared" si="34"/>
        <v>0</v>
      </c>
      <c r="G407" s="130">
        <f t="shared" si="31"/>
        <v>0</v>
      </c>
      <c r="H407" s="133">
        <f t="shared" si="32"/>
        <v>0</v>
      </c>
      <c r="I407" s="134">
        <v>0</v>
      </c>
      <c r="J407" s="129">
        <f t="shared" si="33"/>
        <v>0</v>
      </c>
    </row>
    <row r="408" spans="1:10">
      <c r="A408" s="122">
        <v>401</v>
      </c>
      <c r="D408" s="130">
        <v>0</v>
      </c>
      <c r="E408" s="131">
        <f t="shared" si="30"/>
        <v>0</v>
      </c>
      <c r="F408" s="127">
        <f t="shared" si="34"/>
        <v>0</v>
      </c>
      <c r="G408" s="130">
        <f t="shared" si="31"/>
        <v>0</v>
      </c>
      <c r="H408" s="133">
        <f t="shared" si="32"/>
        <v>0</v>
      </c>
      <c r="I408" s="134">
        <v>0</v>
      </c>
      <c r="J408" s="129">
        <f t="shared" si="33"/>
        <v>0</v>
      </c>
    </row>
    <row r="409" spans="1:10">
      <c r="A409" s="122">
        <v>402</v>
      </c>
      <c r="D409" s="130">
        <v>0</v>
      </c>
      <c r="E409" s="131">
        <f t="shared" si="30"/>
        <v>0</v>
      </c>
      <c r="F409" s="127">
        <f t="shared" si="34"/>
        <v>0</v>
      </c>
      <c r="G409" s="130">
        <f t="shared" si="31"/>
        <v>0</v>
      </c>
      <c r="H409" s="133">
        <f t="shared" si="32"/>
        <v>0</v>
      </c>
      <c r="I409" s="134">
        <v>0</v>
      </c>
      <c r="J409" s="129">
        <f t="shared" si="33"/>
        <v>0</v>
      </c>
    </row>
    <row r="410" spans="1:10">
      <c r="A410" s="122">
        <v>403</v>
      </c>
      <c r="D410" s="130">
        <v>0</v>
      </c>
      <c r="E410" s="131">
        <f t="shared" si="30"/>
        <v>0</v>
      </c>
      <c r="F410" s="127">
        <f t="shared" si="34"/>
        <v>0</v>
      </c>
      <c r="G410" s="130">
        <f t="shared" si="31"/>
        <v>0</v>
      </c>
      <c r="H410" s="133">
        <f t="shared" si="32"/>
        <v>0</v>
      </c>
      <c r="I410" s="134">
        <v>0</v>
      </c>
      <c r="J410" s="129">
        <f t="shared" si="33"/>
        <v>0</v>
      </c>
    </row>
    <row r="411" spans="1:10">
      <c r="A411" s="122">
        <v>404</v>
      </c>
      <c r="D411" s="130">
        <v>0</v>
      </c>
      <c r="E411" s="131">
        <f t="shared" si="30"/>
        <v>0</v>
      </c>
      <c r="F411" s="127">
        <f t="shared" si="34"/>
        <v>0</v>
      </c>
      <c r="G411" s="130">
        <f t="shared" si="31"/>
        <v>0</v>
      </c>
      <c r="H411" s="133">
        <f t="shared" si="32"/>
        <v>0</v>
      </c>
      <c r="I411" s="134">
        <v>0</v>
      </c>
      <c r="J411" s="129">
        <f t="shared" si="33"/>
        <v>0</v>
      </c>
    </row>
    <row r="412" spans="1:10">
      <c r="A412" s="122">
        <v>405</v>
      </c>
      <c r="D412" s="130">
        <v>0</v>
      </c>
      <c r="E412" s="131">
        <f t="shared" si="30"/>
        <v>0</v>
      </c>
      <c r="F412" s="127">
        <f t="shared" si="34"/>
        <v>0</v>
      </c>
      <c r="G412" s="130">
        <f t="shared" si="31"/>
        <v>0</v>
      </c>
      <c r="H412" s="133">
        <f t="shared" si="32"/>
        <v>0</v>
      </c>
      <c r="I412" s="134">
        <v>0</v>
      </c>
      <c r="J412" s="129">
        <f t="shared" si="33"/>
        <v>0</v>
      </c>
    </row>
    <row r="413" spans="1:10">
      <c r="A413" s="122">
        <v>406</v>
      </c>
      <c r="D413" s="130">
        <v>0</v>
      </c>
      <c r="E413" s="131">
        <f t="shared" si="30"/>
        <v>0</v>
      </c>
      <c r="F413" s="127">
        <f t="shared" si="34"/>
        <v>0</v>
      </c>
      <c r="G413" s="130">
        <f t="shared" si="31"/>
        <v>0</v>
      </c>
      <c r="H413" s="133">
        <f t="shared" si="32"/>
        <v>0</v>
      </c>
      <c r="I413" s="134">
        <v>0</v>
      </c>
      <c r="J413" s="129">
        <f t="shared" si="33"/>
        <v>0</v>
      </c>
    </row>
    <row r="414" spans="1:10">
      <c r="A414" s="122">
        <v>407</v>
      </c>
      <c r="D414" s="130">
        <v>0</v>
      </c>
      <c r="E414" s="131">
        <f t="shared" si="30"/>
        <v>0</v>
      </c>
      <c r="F414" s="127">
        <f t="shared" si="34"/>
        <v>0</v>
      </c>
      <c r="G414" s="130">
        <f t="shared" si="31"/>
        <v>0</v>
      </c>
      <c r="H414" s="133">
        <f t="shared" si="32"/>
        <v>0</v>
      </c>
      <c r="I414" s="134">
        <v>0</v>
      </c>
      <c r="J414" s="129">
        <f t="shared" si="33"/>
        <v>0</v>
      </c>
    </row>
    <row r="415" spans="1:10">
      <c r="A415" s="122">
        <v>408</v>
      </c>
      <c r="D415" s="130">
        <v>0</v>
      </c>
      <c r="E415" s="131">
        <f t="shared" si="30"/>
        <v>0</v>
      </c>
      <c r="F415" s="127">
        <f t="shared" si="34"/>
        <v>0</v>
      </c>
      <c r="G415" s="130">
        <f t="shared" si="31"/>
        <v>0</v>
      </c>
      <c r="H415" s="133">
        <f t="shared" si="32"/>
        <v>0</v>
      </c>
      <c r="I415" s="134">
        <v>0</v>
      </c>
      <c r="J415" s="129">
        <f t="shared" si="33"/>
        <v>0</v>
      </c>
    </row>
    <row r="416" spans="1:10">
      <c r="A416" s="122">
        <v>409</v>
      </c>
      <c r="D416" s="130">
        <v>0</v>
      </c>
      <c r="E416" s="131">
        <f t="shared" si="30"/>
        <v>0</v>
      </c>
      <c r="F416" s="127">
        <f t="shared" si="34"/>
        <v>0</v>
      </c>
      <c r="G416" s="130">
        <f t="shared" si="31"/>
        <v>0</v>
      </c>
      <c r="H416" s="133">
        <f t="shared" si="32"/>
        <v>0</v>
      </c>
      <c r="I416" s="134">
        <v>0</v>
      </c>
      <c r="J416" s="129">
        <f t="shared" si="33"/>
        <v>0</v>
      </c>
    </row>
    <row r="417" spans="1:10">
      <c r="A417" s="122">
        <v>410</v>
      </c>
      <c r="D417" s="130">
        <v>0</v>
      </c>
      <c r="E417" s="131">
        <f t="shared" si="30"/>
        <v>0</v>
      </c>
      <c r="F417" s="127">
        <f t="shared" si="34"/>
        <v>0</v>
      </c>
      <c r="G417" s="130">
        <f t="shared" si="31"/>
        <v>0</v>
      </c>
      <c r="H417" s="133">
        <f t="shared" si="32"/>
        <v>0</v>
      </c>
      <c r="I417" s="134">
        <v>0</v>
      </c>
      <c r="J417" s="129">
        <f t="shared" si="33"/>
        <v>0</v>
      </c>
    </row>
    <row r="418" spans="1:10">
      <c r="A418" s="122">
        <v>411</v>
      </c>
      <c r="D418" s="130">
        <v>0</v>
      </c>
      <c r="E418" s="131">
        <f t="shared" si="30"/>
        <v>0</v>
      </c>
      <c r="F418" s="127">
        <f t="shared" si="34"/>
        <v>0</v>
      </c>
      <c r="G418" s="130">
        <f t="shared" si="31"/>
        <v>0</v>
      </c>
      <c r="H418" s="133">
        <f t="shared" si="32"/>
        <v>0</v>
      </c>
      <c r="I418" s="134">
        <v>0</v>
      </c>
      <c r="J418" s="129">
        <f t="shared" si="33"/>
        <v>0</v>
      </c>
    </row>
    <row r="419" spans="1:10">
      <c r="A419" s="122">
        <v>412</v>
      </c>
      <c r="D419" s="130">
        <v>0</v>
      </c>
      <c r="E419" s="131">
        <f t="shared" si="30"/>
        <v>0</v>
      </c>
      <c r="F419" s="127">
        <f t="shared" si="34"/>
        <v>0</v>
      </c>
      <c r="G419" s="130">
        <f t="shared" si="31"/>
        <v>0</v>
      </c>
      <c r="H419" s="133">
        <f t="shared" si="32"/>
        <v>0</v>
      </c>
      <c r="I419" s="134">
        <v>0</v>
      </c>
      <c r="J419" s="129">
        <f t="shared" si="33"/>
        <v>0</v>
      </c>
    </row>
    <row r="420" spans="1:10">
      <c r="A420" s="122">
        <v>413</v>
      </c>
      <c r="D420" s="130">
        <v>0</v>
      </c>
      <c r="E420" s="131">
        <f t="shared" si="30"/>
        <v>0</v>
      </c>
      <c r="F420" s="127">
        <f t="shared" si="34"/>
        <v>0</v>
      </c>
      <c r="G420" s="130">
        <f t="shared" si="31"/>
        <v>0</v>
      </c>
      <c r="H420" s="133">
        <f t="shared" si="32"/>
        <v>0</v>
      </c>
      <c r="I420" s="134">
        <v>0</v>
      </c>
      <c r="J420" s="129">
        <f t="shared" si="33"/>
        <v>0</v>
      </c>
    </row>
    <row r="421" spans="1:10">
      <c r="A421" s="122">
        <v>414</v>
      </c>
      <c r="D421" s="130">
        <v>0</v>
      </c>
      <c r="E421" s="131">
        <f t="shared" si="30"/>
        <v>0</v>
      </c>
      <c r="F421" s="127">
        <f t="shared" si="34"/>
        <v>0</v>
      </c>
      <c r="G421" s="130">
        <f t="shared" si="31"/>
        <v>0</v>
      </c>
      <c r="H421" s="133">
        <f t="shared" si="32"/>
        <v>0</v>
      </c>
      <c r="I421" s="134">
        <v>0</v>
      </c>
      <c r="J421" s="129">
        <f t="shared" si="33"/>
        <v>0</v>
      </c>
    </row>
    <row r="422" spans="1:10">
      <c r="A422" s="122">
        <v>415</v>
      </c>
      <c r="D422" s="130">
        <v>0</v>
      </c>
      <c r="E422" s="131">
        <f t="shared" si="30"/>
        <v>0</v>
      </c>
      <c r="F422" s="127">
        <f t="shared" si="34"/>
        <v>0</v>
      </c>
      <c r="G422" s="130">
        <f t="shared" si="31"/>
        <v>0</v>
      </c>
      <c r="H422" s="133">
        <f t="shared" si="32"/>
        <v>0</v>
      </c>
      <c r="I422" s="134">
        <v>0</v>
      </c>
      <c r="J422" s="129">
        <f t="shared" si="33"/>
        <v>0</v>
      </c>
    </row>
    <row r="423" spans="1:10">
      <c r="A423" s="122">
        <v>416</v>
      </c>
      <c r="D423" s="130">
        <v>0</v>
      </c>
      <c r="E423" s="131">
        <f t="shared" si="30"/>
        <v>0</v>
      </c>
      <c r="F423" s="127">
        <f t="shared" si="34"/>
        <v>0</v>
      </c>
      <c r="G423" s="130">
        <f t="shared" si="31"/>
        <v>0</v>
      </c>
      <c r="H423" s="133">
        <f t="shared" si="32"/>
        <v>0</v>
      </c>
      <c r="I423" s="134">
        <v>0</v>
      </c>
      <c r="J423" s="129">
        <f t="shared" si="33"/>
        <v>0</v>
      </c>
    </row>
    <row r="424" spans="1:10">
      <c r="A424" s="122">
        <v>417</v>
      </c>
      <c r="D424" s="130">
        <v>0</v>
      </c>
      <c r="E424" s="131">
        <f t="shared" si="30"/>
        <v>0</v>
      </c>
      <c r="F424" s="127">
        <f t="shared" si="34"/>
        <v>0</v>
      </c>
      <c r="G424" s="130">
        <f t="shared" si="31"/>
        <v>0</v>
      </c>
      <c r="H424" s="133">
        <f t="shared" si="32"/>
        <v>0</v>
      </c>
      <c r="I424" s="134">
        <v>0</v>
      </c>
      <c r="J424" s="129">
        <f t="shared" si="33"/>
        <v>0</v>
      </c>
    </row>
    <row r="425" spans="1:10">
      <c r="A425" s="122">
        <v>418</v>
      </c>
      <c r="D425" s="130">
        <v>0</v>
      </c>
      <c r="E425" s="131">
        <f t="shared" si="30"/>
        <v>0</v>
      </c>
      <c r="F425" s="127">
        <f t="shared" si="34"/>
        <v>0</v>
      </c>
      <c r="G425" s="130">
        <f t="shared" si="31"/>
        <v>0</v>
      </c>
      <c r="H425" s="133">
        <f t="shared" si="32"/>
        <v>0</v>
      </c>
      <c r="I425" s="134">
        <v>0</v>
      </c>
      <c r="J425" s="129">
        <f t="shared" si="33"/>
        <v>0</v>
      </c>
    </row>
    <row r="426" spans="1:10">
      <c r="A426" s="122">
        <v>419</v>
      </c>
      <c r="D426" s="130">
        <v>0</v>
      </c>
      <c r="E426" s="131">
        <f t="shared" si="30"/>
        <v>0</v>
      </c>
      <c r="F426" s="127">
        <f t="shared" si="34"/>
        <v>0</v>
      </c>
      <c r="G426" s="130">
        <f t="shared" si="31"/>
        <v>0</v>
      </c>
      <c r="H426" s="133">
        <f t="shared" si="32"/>
        <v>0</v>
      </c>
      <c r="I426" s="134">
        <v>0</v>
      </c>
      <c r="J426" s="129">
        <f t="shared" si="33"/>
        <v>0</v>
      </c>
    </row>
    <row r="427" spans="1:10">
      <c r="A427" s="122">
        <v>420</v>
      </c>
      <c r="D427" s="130">
        <v>0</v>
      </c>
      <c r="E427" s="131">
        <f t="shared" si="30"/>
        <v>0</v>
      </c>
      <c r="F427" s="127">
        <f t="shared" si="34"/>
        <v>0</v>
      </c>
      <c r="G427" s="130">
        <f t="shared" si="31"/>
        <v>0</v>
      </c>
      <c r="H427" s="133">
        <f t="shared" si="32"/>
        <v>0</v>
      </c>
      <c r="I427" s="134">
        <v>0</v>
      </c>
      <c r="J427" s="129">
        <f t="shared" si="33"/>
        <v>0</v>
      </c>
    </row>
    <row r="428" spans="1:10">
      <c r="A428" s="122">
        <v>421</v>
      </c>
      <c r="D428" s="130">
        <v>0</v>
      </c>
      <c r="E428" s="131">
        <f t="shared" si="30"/>
        <v>0</v>
      </c>
      <c r="F428" s="127">
        <f t="shared" si="34"/>
        <v>0</v>
      </c>
      <c r="G428" s="130">
        <f t="shared" si="31"/>
        <v>0</v>
      </c>
      <c r="H428" s="133">
        <f t="shared" si="32"/>
        <v>0</v>
      </c>
      <c r="I428" s="134">
        <v>0</v>
      </c>
      <c r="J428" s="129">
        <f t="shared" si="33"/>
        <v>0</v>
      </c>
    </row>
    <row r="429" spans="1:10">
      <c r="A429" s="122">
        <v>422</v>
      </c>
      <c r="D429" s="130">
        <v>0</v>
      </c>
      <c r="E429" s="131">
        <f t="shared" si="30"/>
        <v>0</v>
      </c>
      <c r="F429" s="127">
        <f t="shared" si="34"/>
        <v>0</v>
      </c>
      <c r="G429" s="130">
        <f t="shared" si="31"/>
        <v>0</v>
      </c>
      <c r="H429" s="133">
        <f t="shared" si="32"/>
        <v>0</v>
      </c>
      <c r="I429" s="134">
        <v>0</v>
      </c>
      <c r="J429" s="129">
        <f t="shared" si="33"/>
        <v>0</v>
      </c>
    </row>
    <row r="430" spans="1:10">
      <c r="A430" s="122">
        <v>423</v>
      </c>
      <c r="D430" s="130">
        <v>0</v>
      </c>
      <c r="E430" s="131">
        <f t="shared" si="30"/>
        <v>0</v>
      </c>
      <c r="F430" s="127">
        <f t="shared" si="34"/>
        <v>0</v>
      </c>
      <c r="G430" s="130">
        <f t="shared" si="31"/>
        <v>0</v>
      </c>
      <c r="H430" s="133">
        <f t="shared" si="32"/>
        <v>0</v>
      </c>
      <c r="I430" s="134">
        <v>0</v>
      </c>
      <c r="J430" s="129">
        <f t="shared" si="33"/>
        <v>0</v>
      </c>
    </row>
    <row r="431" spans="1:10">
      <c r="A431" s="122">
        <v>424</v>
      </c>
      <c r="D431" s="130">
        <v>0</v>
      </c>
      <c r="E431" s="131">
        <f t="shared" si="30"/>
        <v>0</v>
      </c>
      <c r="F431" s="127">
        <f t="shared" si="34"/>
        <v>0</v>
      </c>
      <c r="G431" s="130">
        <f t="shared" si="31"/>
        <v>0</v>
      </c>
      <c r="H431" s="133">
        <f t="shared" si="32"/>
        <v>0</v>
      </c>
      <c r="I431" s="134">
        <v>0</v>
      </c>
      <c r="J431" s="129">
        <f t="shared" si="33"/>
        <v>0</v>
      </c>
    </row>
    <row r="432" spans="1:10">
      <c r="A432" s="122">
        <v>425</v>
      </c>
      <c r="D432" s="130">
        <v>0</v>
      </c>
      <c r="E432" s="131">
        <f t="shared" si="30"/>
        <v>0</v>
      </c>
      <c r="F432" s="127">
        <f t="shared" si="34"/>
        <v>0</v>
      </c>
      <c r="G432" s="130">
        <f t="shared" si="31"/>
        <v>0</v>
      </c>
      <c r="H432" s="133">
        <f t="shared" si="32"/>
        <v>0</v>
      </c>
      <c r="I432" s="134">
        <v>0</v>
      </c>
      <c r="J432" s="129">
        <f t="shared" si="33"/>
        <v>0</v>
      </c>
    </row>
    <row r="433" spans="1:10">
      <c r="A433" s="122">
        <v>426</v>
      </c>
      <c r="D433" s="130">
        <v>0</v>
      </c>
      <c r="E433" s="131">
        <f t="shared" si="30"/>
        <v>0</v>
      </c>
      <c r="F433" s="127">
        <f t="shared" si="34"/>
        <v>0</v>
      </c>
      <c r="G433" s="130">
        <f t="shared" si="31"/>
        <v>0</v>
      </c>
      <c r="H433" s="133">
        <f t="shared" si="32"/>
        <v>0</v>
      </c>
      <c r="I433" s="134">
        <v>0</v>
      </c>
      <c r="J433" s="129">
        <f t="shared" si="33"/>
        <v>0</v>
      </c>
    </row>
    <row r="434" spans="1:10">
      <c r="A434" s="122">
        <v>427</v>
      </c>
      <c r="D434" s="130">
        <v>0</v>
      </c>
      <c r="E434" s="131">
        <f t="shared" si="30"/>
        <v>0</v>
      </c>
      <c r="F434" s="127">
        <f t="shared" si="34"/>
        <v>0</v>
      </c>
      <c r="G434" s="130">
        <f t="shared" si="31"/>
        <v>0</v>
      </c>
      <c r="H434" s="133">
        <f t="shared" si="32"/>
        <v>0</v>
      </c>
      <c r="I434" s="134">
        <v>0</v>
      </c>
      <c r="J434" s="129">
        <f t="shared" si="33"/>
        <v>0</v>
      </c>
    </row>
    <row r="435" spans="1:10">
      <c r="A435" s="122">
        <v>428</v>
      </c>
      <c r="D435" s="130">
        <v>0</v>
      </c>
      <c r="E435" s="131">
        <f t="shared" si="30"/>
        <v>0</v>
      </c>
      <c r="F435" s="127">
        <f t="shared" si="34"/>
        <v>0</v>
      </c>
      <c r="G435" s="130">
        <f t="shared" si="31"/>
        <v>0</v>
      </c>
      <c r="H435" s="133">
        <f t="shared" si="32"/>
        <v>0</v>
      </c>
      <c r="I435" s="134">
        <v>0</v>
      </c>
      <c r="J435" s="129">
        <f t="shared" si="33"/>
        <v>0</v>
      </c>
    </row>
    <row r="436" spans="1:10">
      <c r="A436" s="122">
        <v>429</v>
      </c>
      <c r="D436" s="130">
        <v>0</v>
      </c>
      <c r="E436" s="131">
        <f t="shared" si="30"/>
        <v>0</v>
      </c>
      <c r="F436" s="127">
        <f t="shared" si="34"/>
        <v>0</v>
      </c>
      <c r="G436" s="130">
        <f t="shared" si="31"/>
        <v>0</v>
      </c>
      <c r="H436" s="133">
        <f t="shared" si="32"/>
        <v>0</v>
      </c>
      <c r="I436" s="134">
        <v>0</v>
      </c>
      <c r="J436" s="129">
        <f t="shared" si="33"/>
        <v>0</v>
      </c>
    </row>
    <row r="437" spans="1:10">
      <c r="A437" s="122">
        <v>430</v>
      </c>
      <c r="D437" s="130">
        <v>0</v>
      </c>
      <c r="E437" s="131">
        <f t="shared" si="30"/>
        <v>0</v>
      </c>
      <c r="F437" s="127">
        <f t="shared" si="34"/>
        <v>0</v>
      </c>
      <c r="G437" s="130">
        <f t="shared" si="31"/>
        <v>0</v>
      </c>
      <c r="H437" s="133">
        <f t="shared" si="32"/>
        <v>0</v>
      </c>
      <c r="I437" s="134">
        <v>0</v>
      </c>
      <c r="J437" s="129">
        <f t="shared" si="33"/>
        <v>0</v>
      </c>
    </row>
    <row r="438" spans="1:10">
      <c r="A438" s="122">
        <v>431</v>
      </c>
      <c r="D438" s="130">
        <v>0</v>
      </c>
      <c r="E438" s="131">
        <f t="shared" si="30"/>
        <v>0</v>
      </c>
      <c r="F438" s="127">
        <f t="shared" si="34"/>
        <v>0</v>
      </c>
      <c r="G438" s="130">
        <f t="shared" si="31"/>
        <v>0</v>
      </c>
      <c r="H438" s="133">
        <f t="shared" si="32"/>
        <v>0</v>
      </c>
      <c r="I438" s="134">
        <v>0</v>
      </c>
      <c r="J438" s="129">
        <f t="shared" si="33"/>
        <v>0</v>
      </c>
    </row>
    <row r="439" spans="1:10">
      <c r="A439" s="122">
        <v>432</v>
      </c>
      <c r="D439" s="130">
        <v>0</v>
      </c>
      <c r="E439" s="131">
        <f t="shared" si="30"/>
        <v>0</v>
      </c>
      <c r="F439" s="127">
        <f t="shared" si="34"/>
        <v>0</v>
      </c>
      <c r="G439" s="130">
        <f t="shared" si="31"/>
        <v>0</v>
      </c>
      <c r="H439" s="133">
        <f t="shared" si="32"/>
        <v>0</v>
      </c>
      <c r="I439" s="134">
        <v>0</v>
      </c>
      <c r="J439" s="129">
        <f t="shared" si="33"/>
        <v>0</v>
      </c>
    </row>
    <row r="440" spans="1:10">
      <c r="A440" s="122">
        <v>433</v>
      </c>
      <c r="D440" s="130">
        <v>0</v>
      </c>
      <c r="E440" s="131">
        <f t="shared" si="30"/>
        <v>0</v>
      </c>
      <c r="F440" s="127">
        <f t="shared" si="34"/>
        <v>0</v>
      </c>
      <c r="G440" s="130">
        <f t="shared" si="31"/>
        <v>0</v>
      </c>
      <c r="H440" s="133">
        <f t="shared" si="32"/>
        <v>0</v>
      </c>
      <c r="I440" s="134">
        <v>0</v>
      </c>
      <c r="J440" s="129">
        <f t="shared" si="33"/>
        <v>0</v>
      </c>
    </row>
    <row r="441" spans="1:10">
      <c r="A441" s="122">
        <v>434</v>
      </c>
      <c r="D441" s="130">
        <v>0</v>
      </c>
      <c r="E441" s="131">
        <f t="shared" si="30"/>
        <v>0</v>
      </c>
      <c r="F441" s="127">
        <f t="shared" si="34"/>
        <v>0</v>
      </c>
      <c r="G441" s="130">
        <f t="shared" si="31"/>
        <v>0</v>
      </c>
      <c r="H441" s="133">
        <f t="shared" si="32"/>
        <v>0</v>
      </c>
      <c r="I441" s="134">
        <v>0</v>
      </c>
      <c r="J441" s="129">
        <f t="shared" si="33"/>
        <v>0</v>
      </c>
    </row>
    <row r="442" spans="1:10">
      <c r="A442" s="122">
        <v>435</v>
      </c>
      <c r="D442" s="130">
        <v>0</v>
      </c>
      <c r="E442" s="131">
        <f t="shared" si="30"/>
        <v>0</v>
      </c>
      <c r="F442" s="127">
        <f t="shared" si="34"/>
        <v>0</v>
      </c>
      <c r="G442" s="130">
        <f t="shared" si="31"/>
        <v>0</v>
      </c>
      <c r="H442" s="133">
        <f t="shared" si="32"/>
        <v>0</v>
      </c>
      <c r="I442" s="134">
        <v>0</v>
      </c>
      <c r="J442" s="129">
        <f t="shared" si="33"/>
        <v>0</v>
      </c>
    </row>
    <row r="443" spans="1:10">
      <c r="A443" s="122">
        <v>436</v>
      </c>
      <c r="D443" s="130">
        <v>0</v>
      </c>
      <c r="E443" s="131">
        <f t="shared" si="30"/>
        <v>0</v>
      </c>
      <c r="F443" s="127">
        <f t="shared" si="34"/>
        <v>0</v>
      </c>
      <c r="G443" s="130">
        <f t="shared" si="31"/>
        <v>0</v>
      </c>
      <c r="H443" s="133">
        <f t="shared" si="32"/>
        <v>0</v>
      </c>
      <c r="I443" s="134">
        <v>0</v>
      </c>
      <c r="J443" s="129">
        <f t="shared" si="33"/>
        <v>0</v>
      </c>
    </row>
    <row r="444" spans="1:10">
      <c r="A444" s="122">
        <v>437</v>
      </c>
      <c r="D444" s="130">
        <v>0</v>
      </c>
      <c r="E444" s="131">
        <f t="shared" si="30"/>
        <v>0</v>
      </c>
      <c r="F444" s="127">
        <f t="shared" si="34"/>
        <v>0</v>
      </c>
      <c r="G444" s="130">
        <f t="shared" si="31"/>
        <v>0</v>
      </c>
      <c r="H444" s="133">
        <f t="shared" si="32"/>
        <v>0</v>
      </c>
      <c r="I444" s="134">
        <v>0</v>
      </c>
      <c r="J444" s="129">
        <f t="shared" si="33"/>
        <v>0</v>
      </c>
    </row>
    <row r="445" spans="1:10">
      <c r="A445" s="122">
        <v>438</v>
      </c>
      <c r="D445" s="130">
        <v>0</v>
      </c>
      <c r="E445" s="131">
        <f t="shared" si="30"/>
        <v>0</v>
      </c>
      <c r="F445" s="127">
        <f t="shared" si="34"/>
        <v>0</v>
      </c>
      <c r="G445" s="130">
        <f t="shared" si="31"/>
        <v>0</v>
      </c>
      <c r="H445" s="133">
        <f t="shared" si="32"/>
        <v>0</v>
      </c>
      <c r="I445" s="134">
        <v>0</v>
      </c>
      <c r="J445" s="129">
        <f t="shared" si="33"/>
        <v>0</v>
      </c>
    </row>
    <row r="446" spans="1:10">
      <c r="A446" s="122">
        <v>439</v>
      </c>
      <c r="D446" s="130">
        <v>0</v>
      </c>
      <c r="E446" s="131">
        <f t="shared" si="30"/>
        <v>0</v>
      </c>
      <c r="F446" s="127">
        <f t="shared" si="34"/>
        <v>0</v>
      </c>
      <c r="G446" s="130">
        <f t="shared" si="31"/>
        <v>0</v>
      </c>
      <c r="H446" s="133">
        <f t="shared" si="32"/>
        <v>0</v>
      </c>
      <c r="I446" s="134">
        <v>0</v>
      </c>
      <c r="J446" s="129">
        <f t="shared" si="33"/>
        <v>0</v>
      </c>
    </row>
    <row r="447" spans="1:10">
      <c r="A447" s="122">
        <v>440</v>
      </c>
      <c r="D447" s="130">
        <v>0</v>
      </c>
      <c r="E447" s="131">
        <f t="shared" si="30"/>
        <v>0</v>
      </c>
      <c r="F447" s="127">
        <f t="shared" si="34"/>
        <v>0</v>
      </c>
      <c r="G447" s="130">
        <f t="shared" si="31"/>
        <v>0</v>
      </c>
      <c r="H447" s="133">
        <f t="shared" si="32"/>
        <v>0</v>
      </c>
      <c r="I447" s="134">
        <v>0</v>
      </c>
      <c r="J447" s="129">
        <f t="shared" si="33"/>
        <v>0</v>
      </c>
    </row>
    <row r="448" spans="1:10">
      <c r="A448" s="122">
        <v>441</v>
      </c>
      <c r="D448" s="130">
        <v>0</v>
      </c>
      <c r="E448" s="131">
        <f t="shared" si="30"/>
        <v>0</v>
      </c>
      <c r="F448" s="127">
        <f t="shared" si="34"/>
        <v>0</v>
      </c>
      <c r="G448" s="130">
        <f t="shared" si="31"/>
        <v>0</v>
      </c>
      <c r="H448" s="133">
        <f t="shared" si="32"/>
        <v>0</v>
      </c>
      <c r="I448" s="134">
        <v>0</v>
      </c>
      <c r="J448" s="129">
        <f t="shared" si="33"/>
        <v>0</v>
      </c>
    </row>
    <row r="449" spans="1:10">
      <c r="A449" s="122">
        <v>442</v>
      </c>
      <c r="D449" s="130">
        <v>0</v>
      </c>
      <c r="E449" s="131">
        <f t="shared" si="30"/>
        <v>0</v>
      </c>
      <c r="F449" s="127">
        <f t="shared" si="34"/>
        <v>0</v>
      </c>
      <c r="G449" s="130">
        <f t="shared" si="31"/>
        <v>0</v>
      </c>
      <c r="H449" s="133">
        <f t="shared" si="32"/>
        <v>0</v>
      </c>
      <c r="I449" s="134">
        <v>0</v>
      </c>
      <c r="J449" s="129">
        <f t="shared" si="33"/>
        <v>0</v>
      </c>
    </row>
    <row r="450" spans="1:10">
      <c r="A450" s="122">
        <v>443</v>
      </c>
      <c r="D450" s="130">
        <v>0</v>
      </c>
      <c r="E450" s="131">
        <f t="shared" si="30"/>
        <v>0</v>
      </c>
      <c r="F450" s="127">
        <f t="shared" si="34"/>
        <v>0</v>
      </c>
      <c r="G450" s="130">
        <f t="shared" si="31"/>
        <v>0</v>
      </c>
      <c r="H450" s="133">
        <f t="shared" si="32"/>
        <v>0</v>
      </c>
      <c r="I450" s="134">
        <v>0</v>
      </c>
      <c r="J450" s="129">
        <f t="shared" si="33"/>
        <v>0</v>
      </c>
    </row>
    <row r="451" spans="1:10">
      <c r="A451" s="122">
        <v>444</v>
      </c>
      <c r="D451" s="130">
        <v>0</v>
      </c>
      <c r="E451" s="131">
        <f t="shared" si="30"/>
        <v>0</v>
      </c>
      <c r="F451" s="127">
        <f t="shared" si="34"/>
        <v>0</v>
      </c>
      <c r="G451" s="130">
        <f t="shared" si="31"/>
        <v>0</v>
      </c>
      <c r="H451" s="133">
        <f t="shared" si="32"/>
        <v>0</v>
      </c>
      <c r="I451" s="134">
        <v>0</v>
      </c>
      <c r="J451" s="129">
        <f t="shared" si="33"/>
        <v>0</v>
      </c>
    </row>
    <row r="452" spans="1:10">
      <c r="A452" s="122">
        <v>445</v>
      </c>
      <c r="D452" s="130">
        <v>0</v>
      </c>
      <c r="E452" s="131">
        <f t="shared" si="30"/>
        <v>0</v>
      </c>
      <c r="F452" s="127">
        <f t="shared" si="34"/>
        <v>0</v>
      </c>
      <c r="G452" s="130">
        <f t="shared" si="31"/>
        <v>0</v>
      </c>
      <c r="H452" s="133">
        <f t="shared" si="32"/>
        <v>0</v>
      </c>
      <c r="I452" s="134">
        <v>0</v>
      </c>
      <c r="J452" s="129">
        <f t="shared" si="33"/>
        <v>0</v>
      </c>
    </row>
    <row r="453" spans="1:10">
      <c r="A453" s="122">
        <v>446</v>
      </c>
      <c r="D453" s="130">
        <v>0</v>
      </c>
      <c r="E453" s="131">
        <f t="shared" si="30"/>
        <v>0</v>
      </c>
      <c r="F453" s="127">
        <f t="shared" si="34"/>
        <v>0</v>
      </c>
      <c r="G453" s="130">
        <f t="shared" si="31"/>
        <v>0</v>
      </c>
      <c r="H453" s="133">
        <f t="shared" si="32"/>
        <v>0</v>
      </c>
      <c r="I453" s="134">
        <v>0</v>
      </c>
      <c r="J453" s="129">
        <f t="shared" si="33"/>
        <v>0</v>
      </c>
    </row>
    <row r="454" spans="1:10">
      <c r="A454" s="122">
        <v>447</v>
      </c>
      <c r="D454" s="130">
        <v>0</v>
      </c>
      <c r="E454" s="131">
        <f t="shared" si="30"/>
        <v>0</v>
      </c>
      <c r="F454" s="127">
        <f t="shared" si="34"/>
        <v>0</v>
      </c>
      <c r="G454" s="130">
        <f t="shared" si="31"/>
        <v>0</v>
      </c>
      <c r="H454" s="133">
        <f t="shared" si="32"/>
        <v>0</v>
      </c>
      <c r="I454" s="134">
        <v>0</v>
      </c>
      <c r="J454" s="129">
        <f t="shared" si="33"/>
        <v>0</v>
      </c>
    </row>
    <row r="455" spans="1:10">
      <c r="A455" s="122">
        <v>448</v>
      </c>
      <c r="D455" s="130">
        <v>0</v>
      </c>
      <c r="E455" s="131">
        <f t="shared" si="30"/>
        <v>0</v>
      </c>
      <c r="F455" s="127">
        <f t="shared" si="34"/>
        <v>0</v>
      </c>
      <c r="G455" s="130">
        <f t="shared" si="31"/>
        <v>0</v>
      </c>
      <c r="H455" s="133">
        <f t="shared" si="32"/>
        <v>0</v>
      </c>
      <c r="I455" s="134">
        <v>0</v>
      </c>
      <c r="J455" s="129">
        <f t="shared" si="33"/>
        <v>0</v>
      </c>
    </row>
    <row r="456" spans="1:10">
      <c r="A456" s="122">
        <v>449</v>
      </c>
      <c r="D456" s="130">
        <v>0</v>
      </c>
      <c r="E456" s="131">
        <f t="shared" ref="E456:E519" si="35">IF(D456&lt;=300000,0,IF(D456&gt;=20000000,(D456*0.21),(D456*0.2)+200000))</f>
        <v>0</v>
      </c>
      <c r="F456" s="127">
        <f t="shared" si="34"/>
        <v>0</v>
      </c>
      <c r="G456" s="130">
        <f t="shared" ref="G456:G519" si="36">IF(E456=0,(D456*0.01),IF(F456&lt;=0,0.01*D456,IF(AND(F456&gt;0,F456&lt;=300000),F456*7%,IF(AND(F456&gt;=300000,F456&lt;600000),21000+(F456-300000)*11%,IF(AND(F456&gt;=600000,F456&lt;1100000),54000+(F456-600000)*15%,IF(AND(F456&gt;=1100000,F456&lt;1600000),129000+(F456-1100000)*19%,IF(AND(F456&gt;=1600000,F456&lt;3200000),224000+(F456-1600000)*21%,560000+(F456-3200000)*24%)))))))</f>
        <v>0</v>
      </c>
      <c r="H456" s="133">
        <f t="shared" ref="H456:H519" si="37">G456/12</f>
        <v>0</v>
      </c>
      <c r="I456" s="134">
        <v>0</v>
      </c>
      <c r="J456" s="129">
        <f t="shared" ref="J456:J519" si="38">+H456*I456</f>
        <v>0</v>
      </c>
    </row>
    <row r="457" spans="1:10">
      <c r="A457" s="122">
        <v>450</v>
      </c>
      <c r="D457" s="130">
        <v>0</v>
      </c>
      <c r="E457" s="131">
        <f t="shared" si="35"/>
        <v>0</v>
      </c>
      <c r="F457" s="127">
        <f t="shared" ref="F457:F520" si="39">+D457-E457</f>
        <v>0</v>
      </c>
      <c r="G457" s="130">
        <f t="shared" si="36"/>
        <v>0</v>
      </c>
      <c r="H457" s="133">
        <f t="shared" si="37"/>
        <v>0</v>
      </c>
      <c r="I457" s="134">
        <v>0</v>
      </c>
      <c r="J457" s="129">
        <f t="shared" si="38"/>
        <v>0</v>
      </c>
    </row>
    <row r="458" spans="1:10">
      <c r="A458" s="122">
        <v>451</v>
      </c>
      <c r="D458" s="130">
        <v>0</v>
      </c>
      <c r="E458" s="131">
        <f t="shared" si="35"/>
        <v>0</v>
      </c>
      <c r="F458" s="127">
        <f t="shared" si="39"/>
        <v>0</v>
      </c>
      <c r="G458" s="130">
        <f t="shared" si="36"/>
        <v>0</v>
      </c>
      <c r="H458" s="133">
        <f t="shared" si="37"/>
        <v>0</v>
      </c>
      <c r="I458" s="134">
        <v>0</v>
      </c>
      <c r="J458" s="129">
        <f t="shared" si="38"/>
        <v>0</v>
      </c>
    </row>
    <row r="459" spans="1:10">
      <c r="A459" s="122">
        <v>452</v>
      </c>
      <c r="D459" s="130">
        <v>0</v>
      </c>
      <c r="E459" s="131">
        <f t="shared" si="35"/>
        <v>0</v>
      </c>
      <c r="F459" s="127">
        <f t="shared" si="39"/>
        <v>0</v>
      </c>
      <c r="G459" s="130">
        <f t="shared" si="36"/>
        <v>0</v>
      </c>
      <c r="H459" s="133">
        <f t="shared" si="37"/>
        <v>0</v>
      </c>
      <c r="I459" s="134">
        <v>0</v>
      </c>
      <c r="J459" s="129">
        <f t="shared" si="38"/>
        <v>0</v>
      </c>
    </row>
    <row r="460" spans="1:10">
      <c r="A460" s="122">
        <v>453</v>
      </c>
      <c r="D460" s="130">
        <v>0</v>
      </c>
      <c r="E460" s="131">
        <f t="shared" si="35"/>
        <v>0</v>
      </c>
      <c r="F460" s="127">
        <f t="shared" si="39"/>
        <v>0</v>
      </c>
      <c r="G460" s="130">
        <f t="shared" si="36"/>
        <v>0</v>
      </c>
      <c r="H460" s="133">
        <f t="shared" si="37"/>
        <v>0</v>
      </c>
      <c r="I460" s="134">
        <v>0</v>
      </c>
      <c r="J460" s="129">
        <f t="shared" si="38"/>
        <v>0</v>
      </c>
    </row>
    <row r="461" spans="1:10">
      <c r="A461" s="122">
        <v>454</v>
      </c>
      <c r="D461" s="130">
        <v>0</v>
      </c>
      <c r="E461" s="131">
        <f t="shared" si="35"/>
        <v>0</v>
      </c>
      <c r="F461" s="127">
        <f t="shared" si="39"/>
        <v>0</v>
      </c>
      <c r="G461" s="130">
        <f t="shared" si="36"/>
        <v>0</v>
      </c>
      <c r="H461" s="133">
        <f t="shared" si="37"/>
        <v>0</v>
      </c>
      <c r="I461" s="134">
        <v>0</v>
      </c>
      <c r="J461" s="129">
        <f t="shared" si="38"/>
        <v>0</v>
      </c>
    </row>
    <row r="462" spans="1:10">
      <c r="A462" s="122">
        <v>455</v>
      </c>
      <c r="D462" s="130">
        <v>0</v>
      </c>
      <c r="E462" s="131">
        <f t="shared" si="35"/>
        <v>0</v>
      </c>
      <c r="F462" s="127">
        <f t="shared" si="39"/>
        <v>0</v>
      </c>
      <c r="G462" s="130">
        <f t="shared" si="36"/>
        <v>0</v>
      </c>
      <c r="H462" s="133">
        <f t="shared" si="37"/>
        <v>0</v>
      </c>
      <c r="I462" s="134">
        <v>0</v>
      </c>
      <c r="J462" s="129">
        <f t="shared" si="38"/>
        <v>0</v>
      </c>
    </row>
    <row r="463" spans="1:10">
      <c r="A463" s="122">
        <v>456</v>
      </c>
      <c r="D463" s="130">
        <v>0</v>
      </c>
      <c r="E463" s="131">
        <f t="shared" si="35"/>
        <v>0</v>
      </c>
      <c r="F463" s="127">
        <f t="shared" si="39"/>
        <v>0</v>
      </c>
      <c r="G463" s="130">
        <f t="shared" si="36"/>
        <v>0</v>
      </c>
      <c r="H463" s="133">
        <f t="shared" si="37"/>
        <v>0</v>
      </c>
      <c r="I463" s="134">
        <v>0</v>
      </c>
      <c r="J463" s="129">
        <f t="shared" si="38"/>
        <v>0</v>
      </c>
    </row>
    <row r="464" spans="1:10">
      <c r="A464" s="122">
        <v>457</v>
      </c>
      <c r="D464" s="130">
        <v>0</v>
      </c>
      <c r="E464" s="131">
        <f t="shared" si="35"/>
        <v>0</v>
      </c>
      <c r="F464" s="127">
        <f t="shared" si="39"/>
        <v>0</v>
      </c>
      <c r="G464" s="130">
        <f t="shared" si="36"/>
        <v>0</v>
      </c>
      <c r="H464" s="133">
        <f t="shared" si="37"/>
        <v>0</v>
      </c>
      <c r="I464" s="134">
        <v>0</v>
      </c>
      <c r="J464" s="129">
        <f t="shared" si="38"/>
        <v>0</v>
      </c>
    </row>
    <row r="465" spans="1:10">
      <c r="A465" s="122">
        <v>458</v>
      </c>
      <c r="D465" s="130">
        <v>0</v>
      </c>
      <c r="E465" s="131">
        <f t="shared" si="35"/>
        <v>0</v>
      </c>
      <c r="F465" s="127">
        <f t="shared" si="39"/>
        <v>0</v>
      </c>
      <c r="G465" s="130">
        <f t="shared" si="36"/>
        <v>0</v>
      </c>
      <c r="H465" s="133">
        <f t="shared" si="37"/>
        <v>0</v>
      </c>
      <c r="I465" s="134">
        <v>0</v>
      </c>
      <c r="J465" s="129">
        <f t="shared" si="38"/>
        <v>0</v>
      </c>
    </row>
    <row r="466" spans="1:10">
      <c r="A466" s="122">
        <v>459</v>
      </c>
      <c r="D466" s="130">
        <v>0</v>
      </c>
      <c r="E466" s="131">
        <f t="shared" si="35"/>
        <v>0</v>
      </c>
      <c r="F466" s="127">
        <f t="shared" si="39"/>
        <v>0</v>
      </c>
      <c r="G466" s="130">
        <f t="shared" si="36"/>
        <v>0</v>
      </c>
      <c r="H466" s="133">
        <f t="shared" si="37"/>
        <v>0</v>
      </c>
      <c r="I466" s="134">
        <v>0</v>
      </c>
      <c r="J466" s="129">
        <f t="shared" si="38"/>
        <v>0</v>
      </c>
    </row>
    <row r="467" spans="1:10">
      <c r="A467" s="122">
        <v>460</v>
      </c>
      <c r="D467" s="130">
        <v>0</v>
      </c>
      <c r="E467" s="131">
        <f t="shared" si="35"/>
        <v>0</v>
      </c>
      <c r="F467" s="127">
        <f t="shared" si="39"/>
        <v>0</v>
      </c>
      <c r="G467" s="130">
        <f t="shared" si="36"/>
        <v>0</v>
      </c>
      <c r="H467" s="133">
        <f t="shared" si="37"/>
        <v>0</v>
      </c>
      <c r="I467" s="134">
        <v>0</v>
      </c>
      <c r="J467" s="129">
        <f t="shared" si="38"/>
        <v>0</v>
      </c>
    </row>
    <row r="468" spans="1:10">
      <c r="A468" s="122">
        <v>461</v>
      </c>
      <c r="D468" s="130">
        <v>0</v>
      </c>
      <c r="E468" s="131">
        <f t="shared" si="35"/>
        <v>0</v>
      </c>
      <c r="F468" s="127">
        <f t="shared" si="39"/>
        <v>0</v>
      </c>
      <c r="G468" s="130">
        <f t="shared" si="36"/>
        <v>0</v>
      </c>
      <c r="H468" s="133">
        <f t="shared" si="37"/>
        <v>0</v>
      </c>
      <c r="I468" s="134">
        <v>0</v>
      </c>
      <c r="J468" s="129">
        <f t="shared" si="38"/>
        <v>0</v>
      </c>
    </row>
    <row r="469" spans="1:10">
      <c r="A469" s="122">
        <v>462</v>
      </c>
      <c r="D469" s="130">
        <v>0</v>
      </c>
      <c r="E469" s="131">
        <f t="shared" si="35"/>
        <v>0</v>
      </c>
      <c r="F469" s="127">
        <f t="shared" si="39"/>
        <v>0</v>
      </c>
      <c r="G469" s="130">
        <f t="shared" si="36"/>
        <v>0</v>
      </c>
      <c r="H469" s="133">
        <f t="shared" si="37"/>
        <v>0</v>
      </c>
      <c r="I469" s="134">
        <v>0</v>
      </c>
      <c r="J469" s="129">
        <f t="shared" si="38"/>
        <v>0</v>
      </c>
    </row>
    <row r="470" spans="1:10">
      <c r="A470" s="122">
        <v>463</v>
      </c>
      <c r="D470" s="130">
        <v>0</v>
      </c>
      <c r="E470" s="131">
        <f t="shared" si="35"/>
        <v>0</v>
      </c>
      <c r="F470" s="127">
        <f t="shared" si="39"/>
        <v>0</v>
      </c>
      <c r="G470" s="130">
        <f t="shared" si="36"/>
        <v>0</v>
      </c>
      <c r="H470" s="133">
        <f t="shared" si="37"/>
        <v>0</v>
      </c>
      <c r="I470" s="134">
        <v>0</v>
      </c>
      <c r="J470" s="129">
        <f t="shared" si="38"/>
        <v>0</v>
      </c>
    </row>
    <row r="471" spans="1:10">
      <c r="A471" s="122">
        <v>464</v>
      </c>
      <c r="D471" s="130">
        <v>0</v>
      </c>
      <c r="E471" s="131">
        <f t="shared" si="35"/>
        <v>0</v>
      </c>
      <c r="F471" s="127">
        <f t="shared" si="39"/>
        <v>0</v>
      </c>
      <c r="G471" s="130">
        <f t="shared" si="36"/>
        <v>0</v>
      </c>
      <c r="H471" s="133">
        <f t="shared" si="37"/>
        <v>0</v>
      </c>
      <c r="I471" s="134">
        <v>0</v>
      </c>
      <c r="J471" s="129">
        <f t="shared" si="38"/>
        <v>0</v>
      </c>
    </row>
    <row r="472" spans="1:10">
      <c r="A472" s="122">
        <v>465</v>
      </c>
      <c r="D472" s="130">
        <v>0</v>
      </c>
      <c r="E472" s="131">
        <f t="shared" si="35"/>
        <v>0</v>
      </c>
      <c r="F472" s="127">
        <f t="shared" si="39"/>
        <v>0</v>
      </c>
      <c r="G472" s="130">
        <f t="shared" si="36"/>
        <v>0</v>
      </c>
      <c r="H472" s="133">
        <f t="shared" si="37"/>
        <v>0</v>
      </c>
      <c r="I472" s="134">
        <v>0</v>
      </c>
      <c r="J472" s="129">
        <f t="shared" si="38"/>
        <v>0</v>
      </c>
    </row>
    <row r="473" spans="1:10">
      <c r="A473" s="122">
        <v>466</v>
      </c>
      <c r="D473" s="130">
        <v>0</v>
      </c>
      <c r="E473" s="131">
        <f t="shared" si="35"/>
        <v>0</v>
      </c>
      <c r="F473" s="127">
        <f t="shared" si="39"/>
        <v>0</v>
      </c>
      <c r="G473" s="130">
        <f t="shared" si="36"/>
        <v>0</v>
      </c>
      <c r="H473" s="133">
        <f t="shared" si="37"/>
        <v>0</v>
      </c>
      <c r="I473" s="134">
        <v>0</v>
      </c>
      <c r="J473" s="129">
        <f t="shared" si="38"/>
        <v>0</v>
      </c>
    </row>
    <row r="474" spans="1:10">
      <c r="A474" s="122">
        <v>467</v>
      </c>
      <c r="D474" s="130">
        <v>0</v>
      </c>
      <c r="E474" s="131">
        <f t="shared" si="35"/>
        <v>0</v>
      </c>
      <c r="F474" s="127">
        <f t="shared" si="39"/>
        <v>0</v>
      </c>
      <c r="G474" s="130">
        <f t="shared" si="36"/>
        <v>0</v>
      </c>
      <c r="H474" s="133">
        <f t="shared" si="37"/>
        <v>0</v>
      </c>
      <c r="I474" s="134">
        <v>0</v>
      </c>
      <c r="J474" s="129">
        <f t="shared" si="38"/>
        <v>0</v>
      </c>
    </row>
    <row r="475" spans="1:10">
      <c r="A475" s="122">
        <v>468</v>
      </c>
      <c r="D475" s="130">
        <v>0</v>
      </c>
      <c r="E475" s="131">
        <f t="shared" si="35"/>
        <v>0</v>
      </c>
      <c r="F475" s="127">
        <f t="shared" si="39"/>
        <v>0</v>
      </c>
      <c r="G475" s="130">
        <f t="shared" si="36"/>
        <v>0</v>
      </c>
      <c r="H475" s="133">
        <f t="shared" si="37"/>
        <v>0</v>
      </c>
      <c r="I475" s="134">
        <v>0</v>
      </c>
      <c r="J475" s="129">
        <f t="shared" si="38"/>
        <v>0</v>
      </c>
    </row>
    <row r="476" spans="1:10">
      <c r="A476" s="122">
        <v>469</v>
      </c>
      <c r="D476" s="130">
        <v>0</v>
      </c>
      <c r="E476" s="131">
        <f t="shared" si="35"/>
        <v>0</v>
      </c>
      <c r="F476" s="127">
        <f t="shared" si="39"/>
        <v>0</v>
      </c>
      <c r="G476" s="130">
        <f t="shared" si="36"/>
        <v>0</v>
      </c>
      <c r="H476" s="133">
        <f t="shared" si="37"/>
        <v>0</v>
      </c>
      <c r="I476" s="134">
        <v>0</v>
      </c>
      <c r="J476" s="129">
        <f t="shared" si="38"/>
        <v>0</v>
      </c>
    </row>
    <row r="477" spans="1:10">
      <c r="A477" s="122">
        <v>470</v>
      </c>
      <c r="D477" s="130">
        <v>0</v>
      </c>
      <c r="E477" s="131">
        <f t="shared" si="35"/>
        <v>0</v>
      </c>
      <c r="F477" s="127">
        <f t="shared" si="39"/>
        <v>0</v>
      </c>
      <c r="G477" s="130">
        <f t="shared" si="36"/>
        <v>0</v>
      </c>
      <c r="H477" s="133">
        <f t="shared" si="37"/>
        <v>0</v>
      </c>
      <c r="I477" s="134">
        <v>0</v>
      </c>
      <c r="J477" s="129">
        <f t="shared" si="38"/>
        <v>0</v>
      </c>
    </row>
    <row r="478" spans="1:10">
      <c r="A478" s="122">
        <v>471</v>
      </c>
      <c r="D478" s="130">
        <v>0</v>
      </c>
      <c r="E478" s="131">
        <f t="shared" si="35"/>
        <v>0</v>
      </c>
      <c r="F478" s="127">
        <f t="shared" si="39"/>
        <v>0</v>
      </c>
      <c r="G478" s="130">
        <f t="shared" si="36"/>
        <v>0</v>
      </c>
      <c r="H478" s="133">
        <f t="shared" si="37"/>
        <v>0</v>
      </c>
      <c r="I478" s="134">
        <v>0</v>
      </c>
      <c r="J478" s="129">
        <f t="shared" si="38"/>
        <v>0</v>
      </c>
    </row>
    <row r="479" spans="1:10">
      <c r="A479" s="122">
        <v>472</v>
      </c>
      <c r="D479" s="130">
        <v>0</v>
      </c>
      <c r="E479" s="131">
        <f t="shared" si="35"/>
        <v>0</v>
      </c>
      <c r="F479" s="127">
        <f t="shared" si="39"/>
        <v>0</v>
      </c>
      <c r="G479" s="130">
        <f t="shared" si="36"/>
        <v>0</v>
      </c>
      <c r="H479" s="133">
        <f t="shared" si="37"/>
        <v>0</v>
      </c>
      <c r="I479" s="134">
        <v>0</v>
      </c>
      <c r="J479" s="129">
        <f t="shared" si="38"/>
        <v>0</v>
      </c>
    </row>
    <row r="480" spans="1:10">
      <c r="A480" s="122">
        <v>473</v>
      </c>
      <c r="D480" s="130">
        <v>0</v>
      </c>
      <c r="E480" s="131">
        <f t="shared" si="35"/>
        <v>0</v>
      </c>
      <c r="F480" s="127">
        <f t="shared" si="39"/>
        <v>0</v>
      </c>
      <c r="G480" s="130">
        <f t="shared" si="36"/>
        <v>0</v>
      </c>
      <c r="H480" s="133">
        <f t="shared" si="37"/>
        <v>0</v>
      </c>
      <c r="I480" s="134">
        <v>0</v>
      </c>
      <c r="J480" s="129">
        <f t="shared" si="38"/>
        <v>0</v>
      </c>
    </row>
    <row r="481" spans="1:10">
      <c r="A481" s="122">
        <v>474</v>
      </c>
      <c r="D481" s="130">
        <v>0</v>
      </c>
      <c r="E481" s="131">
        <f t="shared" si="35"/>
        <v>0</v>
      </c>
      <c r="F481" s="127">
        <f t="shared" si="39"/>
        <v>0</v>
      </c>
      <c r="G481" s="130">
        <f t="shared" si="36"/>
        <v>0</v>
      </c>
      <c r="H481" s="133">
        <f t="shared" si="37"/>
        <v>0</v>
      </c>
      <c r="I481" s="134">
        <v>0</v>
      </c>
      <c r="J481" s="129">
        <f t="shared" si="38"/>
        <v>0</v>
      </c>
    </row>
    <row r="482" spans="1:10">
      <c r="A482" s="122">
        <v>475</v>
      </c>
      <c r="D482" s="130">
        <v>0</v>
      </c>
      <c r="E482" s="131">
        <f t="shared" si="35"/>
        <v>0</v>
      </c>
      <c r="F482" s="127">
        <f t="shared" si="39"/>
        <v>0</v>
      </c>
      <c r="G482" s="130">
        <f t="shared" si="36"/>
        <v>0</v>
      </c>
      <c r="H482" s="133">
        <f t="shared" si="37"/>
        <v>0</v>
      </c>
      <c r="I482" s="134">
        <v>0</v>
      </c>
      <c r="J482" s="129">
        <f t="shared" si="38"/>
        <v>0</v>
      </c>
    </row>
    <row r="483" spans="1:10">
      <c r="A483" s="122">
        <v>476</v>
      </c>
      <c r="D483" s="130">
        <v>0</v>
      </c>
      <c r="E483" s="131">
        <f t="shared" si="35"/>
        <v>0</v>
      </c>
      <c r="F483" s="127">
        <f t="shared" si="39"/>
        <v>0</v>
      </c>
      <c r="G483" s="130">
        <f t="shared" si="36"/>
        <v>0</v>
      </c>
      <c r="H483" s="133">
        <f t="shared" si="37"/>
        <v>0</v>
      </c>
      <c r="I483" s="134">
        <v>0</v>
      </c>
      <c r="J483" s="129">
        <f t="shared" si="38"/>
        <v>0</v>
      </c>
    </row>
    <row r="484" spans="1:10">
      <c r="A484" s="122">
        <v>477</v>
      </c>
      <c r="D484" s="130">
        <v>0</v>
      </c>
      <c r="E484" s="131">
        <f t="shared" si="35"/>
        <v>0</v>
      </c>
      <c r="F484" s="127">
        <f t="shared" si="39"/>
        <v>0</v>
      </c>
      <c r="G484" s="130">
        <f t="shared" si="36"/>
        <v>0</v>
      </c>
      <c r="H484" s="133">
        <f t="shared" si="37"/>
        <v>0</v>
      </c>
      <c r="I484" s="134">
        <v>0</v>
      </c>
      <c r="J484" s="129">
        <f t="shared" si="38"/>
        <v>0</v>
      </c>
    </row>
    <row r="485" spans="1:10">
      <c r="A485" s="122">
        <v>478</v>
      </c>
      <c r="D485" s="130">
        <v>0</v>
      </c>
      <c r="E485" s="131">
        <f t="shared" si="35"/>
        <v>0</v>
      </c>
      <c r="F485" s="127">
        <f t="shared" si="39"/>
        <v>0</v>
      </c>
      <c r="G485" s="130">
        <f t="shared" si="36"/>
        <v>0</v>
      </c>
      <c r="H485" s="133">
        <f t="shared" si="37"/>
        <v>0</v>
      </c>
      <c r="I485" s="134">
        <v>0</v>
      </c>
      <c r="J485" s="129">
        <f t="shared" si="38"/>
        <v>0</v>
      </c>
    </row>
    <row r="486" spans="1:10">
      <c r="A486" s="122">
        <v>479</v>
      </c>
      <c r="D486" s="130">
        <v>0</v>
      </c>
      <c r="E486" s="131">
        <f t="shared" si="35"/>
        <v>0</v>
      </c>
      <c r="F486" s="127">
        <f t="shared" si="39"/>
        <v>0</v>
      </c>
      <c r="G486" s="130">
        <f t="shared" si="36"/>
        <v>0</v>
      </c>
      <c r="H486" s="133">
        <f t="shared" si="37"/>
        <v>0</v>
      </c>
      <c r="I486" s="134">
        <v>0</v>
      </c>
      <c r="J486" s="129">
        <f t="shared" si="38"/>
        <v>0</v>
      </c>
    </row>
    <row r="487" spans="1:10">
      <c r="A487" s="122">
        <v>480</v>
      </c>
      <c r="D487" s="130">
        <v>0</v>
      </c>
      <c r="E487" s="131">
        <f t="shared" si="35"/>
        <v>0</v>
      </c>
      <c r="F487" s="127">
        <f t="shared" si="39"/>
        <v>0</v>
      </c>
      <c r="G487" s="130">
        <f t="shared" si="36"/>
        <v>0</v>
      </c>
      <c r="H487" s="133">
        <f t="shared" si="37"/>
        <v>0</v>
      </c>
      <c r="I487" s="134">
        <v>0</v>
      </c>
      <c r="J487" s="129">
        <f t="shared" si="38"/>
        <v>0</v>
      </c>
    </row>
    <row r="488" spans="1:10">
      <c r="A488" s="122">
        <v>481</v>
      </c>
      <c r="D488" s="130">
        <v>0</v>
      </c>
      <c r="E488" s="131">
        <f t="shared" si="35"/>
        <v>0</v>
      </c>
      <c r="F488" s="127">
        <f t="shared" si="39"/>
        <v>0</v>
      </c>
      <c r="G488" s="130">
        <f t="shared" si="36"/>
        <v>0</v>
      </c>
      <c r="H488" s="133">
        <f t="shared" si="37"/>
        <v>0</v>
      </c>
      <c r="I488" s="134">
        <v>0</v>
      </c>
      <c r="J488" s="129">
        <f t="shared" si="38"/>
        <v>0</v>
      </c>
    </row>
    <row r="489" spans="1:10">
      <c r="A489" s="122">
        <v>482</v>
      </c>
      <c r="D489" s="130">
        <v>0</v>
      </c>
      <c r="E489" s="131">
        <f t="shared" si="35"/>
        <v>0</v>
      </c>
      <c r="F489" s="127">
        <f t="shared" si="39"/>
        <v>0</v>
      </c>
      <c r="G489" s="130">
        <f t="shared" si="36"/>
        <v>0</v>
      </c>
      <c r="H489" s="133">
        <f t="shared" si="37"/>
        <v>0</v>
      </c>
      <c r="I489" s="134">
        <v>0</v>
      </c>
      <c r="J489" s="129">
        <f t="shared" si="38"/>
        <v>0</v>
      </c>
    </row>
    <row r="490" spans="1:10">
      <c r="A490" s="122">
        <v>483</v>
      </c>
      <c r="D490" s="130">
        <v>0</v>
      </c>
      <c r="E490" s="131">
        <f t="shared" si="35"/>
        <v>0</v>
      </c>
      <c r="F490" s="127">
        <f t="shared" si="39"/>
        <v>0</v>
      </c>
      <c r="G490" s="130">
        <f t="shared" si="36"/>
        <v>0</v>
      </c>
      <c r="H490" s="133">
        <f t="shared" si="37"/>
        <v>0</v>
      </c>
      <c r="I490" s="134">
        <v>0</v>
      </c>
      <c r="J490" s="129">
        <f t="shared" si="38"/>
        <v>0</v>
      </c>
    </row>
    <row r="491" spans="1:10">
      <c r="A491" s="122">
        <v>484</v>
      </c>
      <c r="D491" s="130">
        <v>0</v>
      </c>
      <c r="E491" s="131">
        <f t="shared" si="35"/>
        <v>0</v>
      </c>
      <c r="F491" s="127">
        <f t="shared" si="39"/>
        <v>0</v>
      </c>
      <c r="G491" s="130">
        <f t="shared" si="36"/>
        <v>0</v>
      </c>
      <c r="H491" s="133">
        <f t="shared" si="37"/>
        <v>0</v>
      </c>
      <c r="I491" s="134">
        <v>0</v>
      </c>
      <c r="J491" s="129">
        <f t="shared" si="38"/>
        <v>0</v>
      </c>
    </row>
    <row r="492" spans="1:10">
      <c r="A492" s="122">
        <v>485</v>
      </c>
      <c r="D492" s="130">
        <v>0</v>
      </c>
      <c r="E492" s="131">
        <f t="shared" si="35"/>
        <v>0</v>
      </c>
      <c r="F492" s="127">
        <f t="shared" si="39"/>
        <v>0</v>
      </c>
      <c r="G492" s="130">
        <f t="shared" si="36"/>
        <v>0</v>
      </c>
      <c r="H492" s="133">
        <f t="shared" si="37"/>
        <v>0</v>
      </c>
      <c r="I492" s="134">
        <v>0</v>
      </c>
      <c r="J492" s="129">
        <f t="shared" si="38"/>
        <v>0</v>
      </c>
    </row>
    <row r="493" spans="1:10">
      <c r="A493" s="122">
        <v>486</v>
      </c>
      <c r="D493" s="130">
        <v>0</v>
      </c>
      <c r="E493" s="131">
        <f t="shared" si="35"/>
        <v>0</v>
      </c>
      <c r="F493" s="127">
        <f t="shared" si="39"/>
        <v>0</v>
      </c>
      <c r="G493" s="130">
        <f t="shared" si="36"/>
        <v>0</v>
      </c>
      <c r="H493" s="133">
        <f t="shared" si="37"/>
        <v>0</v>
      </c>
      <c r="I493" s="134">
        <v>0</v>
      </c>
      <c r="J493" s="129">
        <f t="shared" si="38"/>
        <v>0</v>
      </c>
    </row>
    <row r="494" spans="1:10">
      <c r="A494" s="122">
        <v>487</v>
      </c>
      <c r="D494" s="130">
        <v>0</v>
      </c>
      <c r="E494" s="131">
        <f t="shared" si="35"/>
        <v>0</v>
      </c>
      <c r="F494" s="127">
        <f t="shared" si="39"/>
        <v>0</v>
      </c>
      <c r="G494" s="130">
        <f t="shared" si="36"/>
        <v>0</v>
      </c>
      <c r="H494" s="133">
        <f t="shared" si="37"/>
        <v>0</v>
      </c>
      <c r="I494" s="134">
        <v>0</v>
      </c>
      <c r="J494" s="129">
        <f t="shared" si="38"/>
        <v>0</v>
      </c>
    </row>
    <row r="495" spans="1:10">
      <c r="A495" s="122">
        <v>488</v>
      </c>
      <c r="D495" s="130">
        <v>0</v>
      </c>
      <c r="E495" s="131">
        <f t="shared" si="35"/>
        <v>0</v>
      </c>
      <c r="F495" s="127">
        <f t="shared" si="39"/>
        <v>0</v>
      </c>
      <c r="G495" s="130">
        <f t="shared" si="36"/>
        <v>0</v>
      </c>
      <c r="H495" s="133">
        <f t="shared" si="37"/>
        <v>0</v>
      </c>
      <c r="I495" s="134">
        <v>0</v>
      </c>
      <c r="J495" s="129">
        <f t="shared" si="38"/>
        <v>0</v>
      </c>
    </row>
    <row r="496" spans="1:10">
      <c r="A496" s="122">
        <v>489</v>
      </c>
      <c r="D496" s="130">
        <v>0</v>
      </c>
      <c r="E496" s="131">
        <f t="shared" si="35"/>
        <v>0</v>
      </c>
      <c r="F496" s="127">
        <f t="shared" si="39"/>
        <v>0</v>
      </c>
      <c r="G496" s="130">
        <f t="shared" si="36"/>
        <v>0</v>
      </c>
      <c r="H496" s="133">
        <f t="shared" si="37"/>
        <v>0</v>
      </c>
      <c r="I496" s="134">
        <v>0</v>
      </c>
      <c r="J496" s="129">
        <f t="shared" si="38"/>
        <v>0</v>
      </c>
    </row>
    <row r="497" spans="1:10">
      <c r="A497" s="122">
        <v>490</v>
      </c>
      <c r="D497" s="130">
        <v>0</v>
      </c>
      <c r="E497" s="131">
        <f t="shared" si="35"/>
        <v>0</v>
      </c>
      <c r="F497" s="127">
        <f t="shared" si="39"/>
        <v>0</v>
      </c>
      <c r="G497" s="130">
        <f t="shared" si="36"/>
        <v>0</v>
      </c>
      <c r="H497" s="133">
        <f t="shared" si="37"/>
        <v>0</v>
      </c>
      <c r="I497" s="134">
        <v>0</v>
      </c>
      <c r="J497" s="129">
        <f t="shared" si="38"/>
        <v>0</v>
      </c>
    </row>
    <row r="498" spans="1:10">
      <c r="A498" s="122">
        <v>491</v>
      </c>
      <c r="D498" s="130">
        <v>0</v>
      </c>
      <c r="E498" s="131">
        <f t="shared" si="35"/>
        <v>0</v>
      </c>
      <c r="F498" s="127">
        <f t="shared" si="39"/>
        <v>0</v>
      </c>
      <c r="G498" s="130">
        <f t="shared" si="36"/>
        <v>0</v>
      </c>
      <c r="H498" s="133">
        <f t="shared" si="37"/>
        <v>0</v>
      </c>
      <c r="I498" s="134">
        <v>0</v>
      </c>
      <c r="J498" s="129">
        <f t="shared" si="38"/>
        <v>0</v>
      </c>
    </row>
    <row r="499" spans="1:10">
      <c r="A499" s="122">
        <v>492</v>
      </c>
      <c r="D499" s="130">
        <v>0</v>
      </c>
      <c r="E499" s="131">
        <f t="shared" si="35"/>
        <v>0</v>
      </c>
      <c r="F499" s="127">
        <f t="shared" si="39"/>
        <v>0</v>
      </c>
      <c r="G499" s="130">
        <f t="shared" si="36"/>
        <v>0</v>
      </c>
      <c r="H499" s="133">
        <f t="shared" si="37"/>
        <v>0</v>
      </c>
      <c r="I499" s="134">
        <v>0</v>
      </c>
      <c r="J499" s="129">
        <f t="shared" si="38"/>
        <v>0</v>
      </c>
    </row>
    <row r="500" spans="1:10">
      <c r="A500" s="122">
        <v>493</v>
      </c>
      <c r="D500" s="130">
        <v>0</v>
      </c>
      <c r="E500" s="131">
        <f t="shared" si="35"/>
        <v>0</v>
      </c>
      <c r="F500" s="127">
        <f t="shared" si="39"/>
        <v>0</v>
      </c>
      <c r="G500" s="130">
        <f t="shared" si="36"/>
        <v>0</v>
      </c>
      <c r="H500" s="133">
        <f t="shared" si="37"/>
        <v>0</v>
      </c>
      <c r="I500" s="134">
        <v>0</v>
      </c>
      <c r="J500" s="129">
        <f t="shared" si="38"/>
        <v>0</v>
      </c>
    </row>
    <row r="501" spans="1:10">
      <c r="A501" s="122">
        <v>494</v>
      </c>
      <c r="D501" s="130">
        <v>0</v>
      </c>
      <c r="E501" s="131">
        <f t="shared" si="35"/>
        <v>0</v>
      </c>
      <c r="F501" s="127">
        <f t="shared" si="39"/>
        <v>0</v>
      </c>
      <c r="G501" s="130">
        <f t="shared" si="36"/>
        <v>0</v>
      </c>
      <c r="H501" s="133">
        <f t="shared" si="37"/>
        <v>0</v>
      </c>
      <c r="I501" s="134">
        <v>0</v>
      </c>
      <c r="J501" s="129">
        <f t="shared" si="38"/>
        <v>0</v>
      </c>
    </row>
    <row r="502" spans="1:10">
      <c r="A502" s="122">
        <v>495</v>
      </c>
      <c r="D502" s="130">
        <v>0</v>
      </c>
      <c r="E502" s="131">
        <f t="shared" si="35"/>
        <v>0</v>
      </c>
      <c r="F502" s="127">
        <f t="shared" si="39"/>
        <v>0</v>
      </c>
      <c r="G502" s="130">
        <f t="shared" si="36"/>
        <v>0</v>
      </c>
      <c r="H502" s="133">
        <f t="shared" si="37"/>
        <v>0</v>
      </c>
      <c r="I502" s="134">
        <v>0</v>
      </c>
      <c r="J502" s="129">
        <f t="shared" si="38"/>
        <v>0</v>
      </c>
    </row>
    <row r="503" spans="1:10">
      <c r="A503" s="122">
        <v>496</v>
      </c>
      <c r="D503" s="130">
        <v>0</v>
      </c>
      <c r="E503" s="131">
        <f t="shared" si="35"/>
        <v>0</v>
      </c>
      <c r="F503" s="127">
        <f t="shared" si="39"/>
        <v>0</v>
      </c>
      <c r="G503" s="130">
        <f t="shared" si="36"/>
        <v>0</v>
      </c>
      <c r="H503" s="133">
        <f t="shared" si="37"/>
        <v>0</v>
      </c>
      <c r="I503" s="134">
        <v>0</v>
      </c>
      <c r="J503" s="129">
        <f t="shared" si="38"/>
        <v>0</v>
      </c>
    </row>
    <row r="504" spans="1:10">
      <c r="A504" s="122">
        <v>497</v>
      </c>
      <c r="D504" s="130">
        <v>0</v>
      </c>
      <c r="E504" s="131">
        <f t="shared" si="35"/>
        <v>0</v>
      </c>
      <c r="F504" s="127">
        <f t="shared" si="39"/>
        <v>0</v>
      </c>
      <c r="G504" s="130">
        <f t="shared" si="36"/>
        <v>0</v>
      </c>
      <c r="H504" s="133">
        <f t="shared" si="37"/>
        <v>0</v>
      </c>
      <c r="I504" s="134">
        <v>0</v>
      </c>
      <c r="J504" s="129">
        <f t="shared" si="38"/>
        <v>0</v>
      </c>
    </row>
    <row r="505" spans="1:10">
      <c r="A505" s="122">
        <v>498</v>
      </c>
      <c r="D505" s="130">
        <v>0</v>
      </c>
      <c r="E505" s="131">
        <f t="shared" si="35"/>
        <v>0</v>
      </c>
      <c r="F505" s="127">
        <f t="shared" si="39"/>
        <v>0</v>
      </c>
      <c r="G505" s="130">
        <f t="shared" si="36"/>
        <v>0</v>
      </c>
      <c r="H505" s="133">
        <f t="shared" si="37"/>
        <v>0</v>
      </c>
      <c r="I505" s="134">
        <v>0</v>
      </c>
      <c r="J505" s="129">
        <f t="shared" si="38"/>
        <v>0</v>
      </c>
    </row>
    <row r="506" spans="1:10">
      <c r="A506" s="122">
        <v>499</v>
      </c>
      <c r="D506" s="130">
        <v>0</v>
      </c>
      <c r="E506" s="131">
        <f t="shared" si="35"/>
        <v>0</v>
      </c>
      <c r="F506" s="127">
        <f t="shared" si="39"/>
        <v>0</v>
      </c>
      <c r="G506" s="130">
        <f t="shared" si="36"/>
        <v>0</v>
      </c>
      <c r="H506" s="133">
        <f t="shared" si="37"/>
        <v>0</v>
      </c>
      <c r="I506" s="134">
        <v>0</v>
      </c>
      <c r="J506" s="129">
        <f t="shared" si="38"/>
        <v>0</v>
      </c>
    </row>
    <row r="507" spans="1:10">
      <c r="A507" s="122">
        <v>500</v>
      </c>
      <c r="D507" s="130">
        <v>0</v>
      </c>
      <c r="E507" s="131">
        <f t="shared" si="35"/>
        <v>0</v>
      </c>
      <c r="F507" s="127">
        <f t="shared" si="39"/>
        <v>0</v>
      </c>
      <c r="G507" s="130">
        <f t="shared" si="36"/>
        <v>0</v>
      </c>
      <c r="H507" s="133">
        <f t="shared" si="37"/>
        <v>0</v>
      </c>
      <c r="I507" s="134">
        <v>0</v>
      </c>
      <c r="J507" s="129">
        <f t="shared" si="38"/>
        <v>0</v>
      </c>
    </row>
    <row r="508" spans="1:10">
      <c r="A508" s="122">
        <v>501</v>
      </c>
      <c r="D508" s="130">
        <v>0</v>
      </c>
      <c r="E508" s="131">
        <f t="shared" si="35"/>
        <v>0</v>
      </c>
      <c r="F508" s="127">
        <f t="shared" si="39"/>
        <v>0</v>
      </c>
      <c r="G508" s="130">
        <f t="shared" si="36"/>
        <v>0</v>
      </c>
      <c r="H508" s="133">
        <f t="shared" si="37"/>
        <v>0</v>
      </c>
      <c r="I508" s="134">
        <v>0</v>
      </c>
      <c r="J508" s="129">
        <f t="shared" si="38"/>
        <v>0</v>
      </c>
    </row>
    <row r="509" spans="1:10">
      <c r="A509" s="122">
        <v>502</v>
      </c>
      <c r="D509" s="130">
        <v>0</v>
      </c>
      <c r="E509" s="131">
        <f t="shared" si="35"/>
        <v>0</v>
      </c>
      <c r="F509" s="127">
        <f t="shared" si="39"/>
        <v>0</v>
      </c>
      <c r="G509" s="130">
        <f t="shared" si="36"/>
        <v>0</v>
      </c>
      <c r="H509" s="133">
        <f t="shared" si="37"/>
        <v>0</v>
      </c>
      <c r="I509" s="134">
        <v>0</v>
      </c>
      <c r="J509" s="129">
        <f t="shared" si="38"/>
        <v>0</v>
      </c>
    </row>
    <row r="510" spans="1:10">
      <c r="A510" s="122">
        <v>503</v>
      </c>
      <c r="D510" s="130">
        <v>0</v>
      </c>
      <c r="E510" s="131">
        <f t="shared" si="35"/>
        <v>0</v>
      </c>
      <c r="F510" s="127">
        <f t="shared" si="39"/>
        <v>0</v>
      </c>
      <c r="G510" s="130">
        <f t="shared" si="36"/>
        <v>0</v>
      </c>
      <c r="H510" s="133">
        <f t="shared" si="37"/>
        <v>0</v>
      </c>
      <c r="I510" s="134">
        <v>0</v>
      </c>
      <c r="J510" s="129">
        <f t="shared" si="38"/>
        <v>0</v>
      </c>
    </row>
    <row r="511" spans="1:10">
      <c r="A511" s="122">
        <v>504</v>
      </c>
      <c r="D511" s="130">
        <v>0</v>
      </c>
      <c r="E511" s="131">
        <f t="shared" si="35"/>
        <v>0</v>
      </c>
      <c r="F511" s="127">
        <f t="shared" si="39"/>
        <v>0</v>
      </c>
      <c r="G511" s="130">
        <f t="shared" si="36"/>
        <v>0</v>
      </c>
      <c r="H511" s="133">
        <f t="shared" si="37"/>
        <v>0</v>
      </c>
      <c r="I511" s="134">
        <v>0</v>
      </c>
      <c r="J511" s="129">
        <f t="shared" si="38"/>
        <v>0</v>
      </c>
    </row>
    <row r="512" spans="1:10">
      <c r="A512" s="122">
        <v>505</v>
      </c>
      <c r="D512" s="130">
        <v>0</v>
      </c>
      <c r="E512" s="131">
        <f t="shared" si="35"/>
        <v>0</v>
      </c>
      <c r="F512" s="127">
        <f t="shared" si="39"/>
        <v>0</v>
      </c>
      <c r="G512" s="130">
        <f t="shared" si="36"/>
        <v>0</v>
      </c>
      <c r="H512" s="133">
        <f t="shared" si="37"/>
        <v>0</v>
      </c>
      <c r="I512" s="134">
        <v>0</v>
      </c>
      <c r="J512" s="129">
        <f t="shared" si="38"/>
        <v>0</v>
      </c>
    </row>
    <row r="513" spans="1:10">
      <c r="A513" s="122">
        <v>506</v>
      </c>
      <c r="D513" s="130">
        <v>0</v>
      </c>
      <c r="E513" s="131">
        <f t="shared" si="35"/>
        <v>0</v>
      </c>
      <c r="F513" s="127">
        <f t="shared" si="39"/>
        <v>0</v>
      </c>
      <c r="G513" s="130">
        <f t="shared" si="36"/>
        <v>0</v>
      </c>
      <c r="H513" s="133">
        <f t="shared" si="37"/>
        <v>0</v>
      </c>
      <c r="I513" s="134">
        <v>0</v>
      </c>
      <c r="J513" s="129">
        <f t="shared" si="38"/>
        <v>0</v>
      </c>
    </row>
    <row r="514" spans="1:10">
      <c r="A514" s="122">
        <v>507</v>
      </c>
      <c r="D514" s="130">
        <v>0</v>
      </c>
      <c r="E514" s="131">
        <f t="shared" si="35"/>
        <v>0</v>
      </c>
      <c r="F514" s="127">
        <f t="shared" si="39"/>
        <v>0</v>
      </c>
      <c r="G514" s="130">
        <f t="shared" si="36"/>
        <v>0</v>
      </c>
      <c r="H514" s="133">
        <f t="shared" si="37"/>
        <v>0</v>
      </c>
      <c r="I514" s="134">
        <v>0</v>
      </c>
      <c r="J514" s="129">
        <f t="shared" si="38"/>
        <v>0</v>
      </c>
    </row>
    <row r="515" spans="1:10">
      <c r="A515" s="122">
        <v>508</v>
      </c>
      <c r="D515" s="130">
        <v>0</v>
      </c>
      <c r="E515" s="131">
        <f t="shared" si="35"/>
        <v>0</v>
      </c>
      <c r="F515" s="127">
        <f t="shared" si="39"/>
        <v>0</v>
      </c>
      <c r="G515" s="130">
        <f t="shared" si="36"/>
        <v>0</v>
      </c>
      <c r="H515" s="133">
        <f t="shared" si="37"/>
        <v>0</v>
      </c>
      <c r="I515" s="134">
        <v>0</v>
      </c>
      <c r="J515" s="129">
        <f t="shared" si="38"/>
        <v>0</v>
      </c>
    </row>
    <row r="516" spans="1:10">
      <c r="A516" s="122">
        <v>509</v>
      </c>
      <c r="D516" s="130">
        <v>0</v>
      </c>
      <c r="E516" s="131">
        <f t="shared" si="35"/>
        <v>0</v>
      </c>
      <c r="F516" s="127">
        <f t="shared" si="39"/>
        <v>0</v>
      </c>
      <c r="G516" s="130">
        <f t="shared" si="36"/>
        <v>0</v>
      </c>
      <c r="H516" s="133">
        <f t="shared" si="37"/>
        <v>0</v>
      </c>
      <c r="I516" s="134">
        <v>0</v>
      </c>
      <c r="J516" s="129">
        <f t="shared" si="38"/>
        <v>0</v>
      </c>
    </row>
    <row r="517" spans="1:10">
      <c r="A517" s="122">
        <v>510</v>
      </c>
      <c r="D517" s="130">
        <v>0</v>
      </c>
      <c r="E517" s="131">
        <f t="shared" si="35"/>
        <v>0</v>
      </c>
      <c r="F517" s="127">
        <f t="shared" si="39"/>
        <v>0</v>
      </c>
      <c r="G517" s="130">
        <f t="shared" si="36"/>
        <v>0</v>
      </c>
      <c r="H517" s="133">
        <f t="shared" si="37"/>
        <v>0</v>
      </c>
      <c r="I517" s="134">
        <v>0</v>
      </c>
      <c r="J517" s="129">
        <f t="shared" si="38"/>
        <v>0</v>
      </c>
    </row>
    <row r="518" spans="1:10">
      <c r="A518" s="122">
        <v>511</v>
      </c>
      <c r="D518" s="130">
        <v>0</v>
      </c>
      <c r="E518" s="131">
        <f t="shared" si="35"/>
        <v>0</v>
      </c>
      <c r="F518" s="127">
        <f t="shared" si="39"/>
        <v>0</v>
      </c>
      <c r="G518" s="130">
        <f t="shared" si="36"/>
        <v>0</v>
      </c>
      <c r="H518" s="133">
        <f t="shared" si="37"/>
        <v>0</v>
      </c>
      <c r="I518" s="134">
        <v>0</v>
      </c>
      <c r="J518" s="129">
        <f t="shared" si="38"/>
        <v>0</v>
      </c>
    </row>
    <row r="519" spans="1:10">
      <c r="A519" s="122">
        <v>512</v>
      </c>
      <c r="D519" s="130">
        <v>0</v>
      </c>
      <c r="E519" s="131">
        <f t="shared" si="35"/>
        <v>0</v>
      </c>
      <c r="F519" s="127">
        <f t="shared" si="39"/>
        <v>0</v>
      </c>
      <c r="G519" s="130">
        <f t="shared" si="36"/>
        <v>0</v>
      </c>
      <c r="H519" s="133">
        <f t="shared" si="37"/>
        <v>0</v>
      </c>
      <c r="I519" s="134">
        <v>0</v>
      </c>
      <c r="J519" s="129">
        <f t="shared" si="38"/>
        <v>0</v>
      </c>
    </row>
    <row r="520" spans="1:10">
      <c r="A520" s="122">
        <v>513</v>
      </c>
      <c r="D520" s="130">
        <v>0</v>
      </c>
      <c r="E520" s="131">
        <f t="shared" ref="E520:E583" si="40">IF(D520&lt;=300000,0,IF(D520&gt;=20000000,(D520*0.21),(D520*0.2)+200000))</f>
        <v>0</v>
      </c>
      <c r="F520" s="127">
        <f t="shared" si="39"/>
        <v>0</v>
      </c>
      <c r="G520" s="130">
        <f t="shared" ref="G520:G583" si="41">IF(E520=0,(D520*0.01),IF(F520&lt;=0,0.01*D520,IF(AND(F520&gt;0,F520&lt;=300000),F520*7%,IF(AND(F520&gt;=300000,F520&lt;600000),21000+(F520-300000)*11%,IF(AND(F520&gt;=600000,F520&lt;1100000),54000+(F520-600000)*15%,IF(AND(F520&gt;=1100000,F520&lt;1600000),129000+(F520-1100000)*19%,IF(AND(F520&gt;=1600000,F520&lt;3200000),224000+(F520-1600000)*21%,560000+(F520-3200000)*24%)))))))</f>
        <v>0</v>
      </c>
      <c r="H520" s="133">
        <f t="shared" ref="H520:H583" si="42">G520/12</f>
        <v>0</v>
      </c>
      <c r="I520" s="134">
        <v>0</v>
      </c>
      <c r="J520" s="129">
        <f t="shared" ref="J520:J583" si="43">+H520*I520</f>
        <v>0</v>
      </c>
    </row>
    <row r="521" spans="1:10">
      <c r="A521" s="122">
        <v>514</v>
      </c>
      <c r="D521" s="130">
        <v>0</v>
      </c>
      <c r="E521" s="131">
        <f t="shared" si="40"/>
        <v>0</v>
      </c>
      <c r="F521" s="127">
        <f t="shared" ref="F521:F584" si="44">+D521-E521</f>
        <v>0</v>
      </c>
      <c r="G521" s="130">
        <f t="shared" si="41"/>
        <v>0</v>
      </c>
      <c r="H521" s="133">
        <f t="shared" si="42"/>
        <v>0</v>
      </c>
      <c r="I521" s="134">
        <v>0</v>
      </c>
      <c r="J521" s="129">
        <f t="shared" si="43"/>
        <v>0</v>
      </c>
    </row>
    <row r="522" spans="1:10">
      <c r="A522" s="122">
        <v>515</v>
      </c>
      <c r="D522" s="130">
        <v>0</v>
      </c>
      <c r="E522" s="131">
        <f t="shared" si="40"/>
        <v>0</v>
      </c>
      <c r="F522" s="127">
        <f t="shared" si="44"/>
        <v>0</v>
      </c>
      <c r="G522" s="130">
        <f t="shared" si="41"/>
        <v>0</v>
      </c>
      <c r="H522" s="133">
        <f t="shared" si="42"/>
        <v>0</v>
      </c>
      <c r="I522" s="134">
        <v>0</v>
      </c>
      <c r="J522" s="129">
        <f t="shared" si="43"/>
        <v>0</v>
      </c>
    </row>
    <row r="523" spans="1:10">
      <c r="A523" s="122">
        <v>516</v>
      </c>
      <c r="D523" s="130">
        <v>0</v>
      </c>
      <c r="E523" s="131">
        <f t="shared" si="40"/>
        <v>0</v>
      </c>
      <c r="F523" s="127">
        <f t="shared" si="44"/>
        <v>0</v>
      </c>
      <c r="G523" s="130">
        <f t="shared" si="41"/>
        <v>0</v>
      </c>
      <c r="H523" s="133">
        <f t="shared" si="42"/>
        <v>0</v>
      </c>
      <c r="I523" s="134">
        <v>0</v>
      </c>
      <c r="J523" s="129">
        <f t="shared" si="43"/>
        <v>0</v>
      </c>
    </row>
    <row r="524" spans="1:10">
      <c r="A524" s="122">
        <v>517</v>
      </c>
      <c r="D524" s="130">
        <v>0</v>
      </c>
      <c r="E524" s="131">
        <f t="shared" si="40"/>
        <v>0</v>
      </c>
      <c r="F524" s="127">
        <f t="shared" si="44"/>
        <v>0</v>
      </c>
      <c r="G524" s="130">
        <f t="shared" si="41"/>
        <v>0</v>
      </c>
      <c r="H524" s="133">
        <f t="shared" si="42"/>
        <v>0</v>
      </c>
      <c r="I524" s="134">
        <v>0</v>
      </c>
      <c r="J524" s="129">
        <f t="shared" si="43"/>
        <v>0</v>
      </c>
    </row>
    <row r="525" spans="1:10">
      <c r="A525" s="122">
        <v>518</v>
      </c>
      <c r="D525" s="130">
        <v>0</v>
      </c>
      <c r="E525" s="131">
        <f t="shared" si="40"/>
        <v>0</v>
      </c>
      <c r="F525" s="127">
        <f t="shared" si="44"/>
        <v>0</v>
      </c>
      <c r="G525" s="130">
        <f t="shared" si="41"/>
        <v>0</v>
      </c>
      <c r="H525" s="133">
        <f t="shared" si="42"/>
        <v>0</v>
      </c>
      <c r="I525" s="134">
        <v>0</v>
      </c>
      <c r="J525" s="129">
        <f t="shared" si="43"/>
        <v>0</v>
      </c>
    </row>
    <row r="526" spans="1:10">
      <c r="A526" s="122">
        <v>519</v>
      </c>
      <c r="D526" s="130">
        <v>0</v>
      </c>
      <c r="E526" s="131">
        <f t="shared" si="40"/>
        <v>0</v>
      </c>
      <c r="F526" s="127">
        <f t="shared" si="44"/>
        <v>0</v>
      </c>
      <c r="G526" s="130">
        <f t="shared" si="41"/>
        <v>0</v>
      </c>
      <c r="H526" s="133">
        <f t="shared" si="42"/>
        <v>0</v>
      </c>
      <c r="I526" s="134">
        <v>0</v>
      </c>
      <c r="J526" s="129">
        <f t="shared" si="43"/>
        <v>0</v>
      </c>
    </row>
    <row r="527" spans="1:10">
      <c r="A527" s="122">
        <v>520</v>
      </c>
      <c r="D527" s="130">
        <v>0</v>
      </c>
      <c r="E527" s="131">
        <f t="shared" si="40"/>
        <v>0</v>
      </c>
      <c r="F527" s="127">
        <f t="shared" si="44"/>
        <v>0</v>
      </c>
      <c r="G527" s="130">
        <f t="shared" si="41"/>
        <v>0</v>
      </c>
      <c r="H527" s="133">
        <f t="shared" si="42"/>
        <v>0</v>
      </c>
      <c r="I527" s="134">
        <v>0</v>
      </c>
      <c r="J527" s="129">
        <f t="shared" si="43"/>
        <v>0</v>
      </c>
    </row>
    <row r="528" spans="1:10">
      <c r="A528" s="122">
        <v>521</v>
      </c>
      <c r="D528" s="130">
        <v>0</v>
      </c>
      <c r="E528" s="131">
        <f t="shared" si="40"/>
        <v>0</v>
      </c>
      <c r="F528" s="127">
        <f t="shared" si="44"/>
        <v>0</v>
      </c>
      <c r="G528" s="130">
        <f t="shared" si="41"/>
        <v>0</v>
      </c>
      <c r="H528" s="133">
        <f t="shared" si="42"/>
        <v>0</v>
      </c>
      <c r="I528" s="134">
        <v>0</v>
      </c>
      <c r="J528" s="129">
        <f t="shared" si="43"/>
        <v>0</v>
      </c>
    </row>
    <row r="529" spans="1:10">
      <c r="A529" s="122">
        <v>522</v>
      </c>
      <c r="D529" s="130">
        <v>0</v>
      </c>
      <c r="E529" s="131">
        <f t="shared" si="40"/>
        <v>0</v>
      </c>
      <c r="F529" s="127">
        <f t="shared" si="44"/>
        <v>0</v>
      </c>
      <c r="G529" s="130">
        <f t="shared" si="41"/>
        <v>0</v>
      </c>
      <c r="H529" s="133">
        <f t="shared" si="42"/>
        <v>0</v>
      </c>
      <c r="I529" s="134">
        <v>0</v>
      </c>
      <c r="J529" s="129">
        <f t="shared" si="43"/>
        <v>0</v>
      </c>
    </row>
    <row r="530" spans="1:10">
      <c r="A530" s="122">
        <v>523</v>
      </c>
      <c r="D530" s="130">
        <v>0</v>
      </c>
      <c r="E530" s="131">
        <f t="shared" si="40"/>
        <v>0</v>
      </c>
      <c r="F530" s="127">
        <f t="shared" si="44"/>
        <v>0</v>
      </c>
      <c r="G530" s="130">
        <f t="shared" si="41"/>
        <v>0</v>
      </c>
      <c r="H530" s="133">
        <f t="shared" si="42"/>
        <v>0</v>
      </c>
      <c r="I530" s="134">
        <v>0</v>
      </c>
      <c r="J530" s="129">
        <f t="shared" si="43"/>
        <v>0</v>
      </c>
    </row>
    <row r="531" spans="1:10">
      <c r="A531" s="122">
        <v>524</v>
      </c>
      <c r="D531" s="130">
        <v>0</v>
      </c>
      <c r="E531" s="131">
        <f t="shared" si="40"/>
        <v>0</v>
      </c>
      <c r="F531" s="127">
        <f t="shared" si="44"/>
        <v>0</v>
      </c>
      <c r="G531" s="130">
        <f t="shared" si="41"/>
        <v>0</v>
      </c>
      <c r="H531" s="133">
        <f t="shared" si="42"/>
        <v>0</v>
      </c>
      <c r="I531" s="134">
        <v>0</v>
      </c>
      <c r="J531" s="129">
        <f t="shared" si="43"/>
        <v>0</v>
      </c>
    </row>
    <row r="532" spans="1:10">
      <c r="A532" s="122">
        <v>525</v>
      </c>
      <c r="D532" s="130">
        <v>0</v>
      </c>
      <c r="E532" s="131">
        <f t="shared" si="40"/>
        <v>0</v>
      </c>
      <c r="F532" s="127">
        <f t="shared" si="44"/>
        <v>0</v>
      </c>
      <c r="G532" s="130">
        <f t="shared" si="41"/>
        <v>0</v>
      </c>
      <c r="H532" s="133">
        <f t="shared" si="42"/>
        <v>0</v>
      </c>
      <c r="I532" s="134">
        <v>0</v>
      </c>
      <c r="J532" s="129">
        <f t="shared" si="43"/>
        <v>0</v>
      </c>
    </row>
    <row r="533" spans="1:10">
      <c r="A533" s="122">
        <v>526</v>
      </c>
      <c r="D533" s="130">
        <v>0</v>
      </c>
      <c r="E533" s="131">
        <f t="shared" si="40"/>
        <v>0</v>
      </c>
      <c r="F533" s="127">
        <f t="shared" si="44"/>
        <v>0</v>
      </c>
      <c r="G533" s="130">
        <f t="shared" si="41"/>
        <v>0</v>
      </c>
      <c r="H533" s="133">
        <f t="shared" si="42"/>
        <v>0</v>
      </c>
      <c r="I533" s="134">
        <v>0</v>
      </c>
      <c r="J533" s="129">
        <f t="shared" si="43"/>
        <v>0</v>
      </c>
    </row>
    <row r="534" spans="1:10">
      <c r="A534" s="122">
        <v>527</v>
      </c>
      <c r="D534" s="130">
        <v>0</v>
      </c>
      <c r="E534" s="131">
        <f t="shared" si="40"/>
        <v>0</v>
      </c>
      <c r="F534" s="127">
        <f t="shared" si="44"/>
        <v>0</v>
      </c>
      <c r="G534" s="130">
        <f t="shared" si="41"/>
        <v>0</v>
      </c>
      <c r="H534" s="133">
        <f t="shared" si="42"/>
        <v>0</v>
      </c>
      <c r="I534" s="134">
        <v>0</v>
      </c>
      <c r="J534" s="129">
        <f t="shared" si="43"/>
        <v>0</v>
      </c>
    </row>
    <row r="535" spans="1:10">
      <c r="A535" s="122">
        <v>528</v>
      </c>
      <c r="D535" s="130">
        <v>0</v>
      </c>
      <c r="E535" s="131">
        <f t="shared" si="40"/>
        <v>0</v>
      </c>
      <c r="F535" s="127">
        <f t="shared" si="44"/>
        <v>0</v>
      </c>
      <c r="G535" s="130">
        <f t="shared" si="41"/>
        <v>0</v>
      </c>
      <c r="H535" s="133">
        <f t="shared" si="42"/>
        <v>0</v>
      </c>
      <c r="I535" s="134">
        <v>0</v>
      </c>
      <c r="J535" s="129">
        <f t="shared" si="43"/>
        <v>0</v>
      </c>
    </row>
    <row r="536" spans="1:10">
      <c r="A536" s="122">
        <v>529</v>
      </c>
      <c r="D536" s="130">
        <v>0</v>
      </c>
      <c r="E536" s="131">
        <f t="shared" si="40"/>
        <v>0</v>
      </c>
      <c r="F536" s="127">
        <f t="shared" si="44"/>
        <v>0</v>
      </c>
      <c r="G536" s="130">
        <f t="shared" si="41"/>
        <v>0</v>
      </c>
      <c r="H536" s="133">
        <f t="shared" si="42"/>
        <v>0</v>
      </c>
      <c r="I536" s="134">
        <v>0</v>
      </c>
      <c r="J536" s="129">
        <f t="shared" si="43"/>
        <v>0</v>
      </c>
    </row>
    <row r="537" spans="1:10">
      <c r="A537" s="122">
        <v>530</v>
      </c>
      <c r="D537" s="130">
        <v>0</v>
      </c>
      <c r="E537" s="131">
        <f t="shared" si="40"/>
        <v>0</v>
      </c>
      <c r="F537" s="127">
        <f t="shared" si="44"/>
        <v>0</v>
      </c>
      <c r="G537" s="130">
        <f t="shared" si="41"/>
        <v>0</v>
      </c>
      <c r="H537" s="133">
        <f t="shared" si="42"/>
        <v>0</v>
      </c>
      <c r="I537" s="134">
        <v>0</v>
      </c>
      <c r="J537" s="129">
        <f t="shared" si="43"/>
        <v>0</v>
      </c>
    </row>
    <row r="538" spans="1:10">
      <c r="A538" s="122">
        <v>531</v>
      </c>
      <c r="D538" s="130">
        <v>0</v>
      </c>
      <c r="E538" s="131">
        <f t="shared" si="40"/>
        <v>0</v>
      </c>
      <c r="F538" s="127">
        <f t="shared" si="44"/>
        <v>0</v>
      </c>
      <c r="G538" s="130">
        <f t="shared" si="41"/>
        <v>0</v>
      </c>
      <c r="H538" s="133">
        <f t="shared" si="42"/>
        <v>0</v>
      </c>
      <c r="I538" s="134">
        <v>0</v>
      </c>
      <c r="J538" s="129">
        <f t="shared" si="43"/>
        <v>0</v>
      </c>
    </row>
    <row r="539" spans="1:10">
      <c r="A539" s="122">
        <v>532</v>
      </c>
      <c r="D539" s="130">
        <v>0</v>
      </c>
      <c r="E539" s="131">
        <f t="shared" si="40"/>
        <v>0</v>
      </c>
      <c r="F539" s="127">
        <f t="shared" si="44"/>
        <v>0</v>
      </c>
      <c r="G539" s="130">
        <f t="shared" si="41"/>
        <v>0</v>
      </c>
      <c r="H539" s="133">
        <f t="shared" si="42"/>
        <v>0</v>
      </c>
      <c r="I539" s="134">
        <v>0</v>
      </c>
      <c r="J539" s="129">
        <f t="shared" si="43"/>
        <v>0</v>
      </c>
    </row>
    <row r="540" spans="1:10">
      <c r="A540" s="122">
        <v>533</v>
      </c>
      <c r="D540" s="130">
        <v>0</v>
      </c>
      <c r="E540" s="131">
        <f t="shared" si="40"/>
        <v>0</v>
      </c>
      <c r="F540" s="127">
        <f t="shared" si="44"/>
        <v>0</v>
      </c>
      <c r="G540" s="130">
        <f t="shared" si="41"/>
        <v>0</v>
      </c>
      <c r="H540" s="133">
        <f t="shared" si="42"/>
        <v>0</v>
      </c>
      <c r="I540" s="134">
        <v>0</v>
      </c>
      <c r="J540" s="129">
        <f t="shared" si="43"/>
        <v>0</v>
      </c>
    </row>
    <row r="541" spans="1:10">
      <c r="A541" s="122">
        <v>534</v>
      </c>
      <c r="D541" s="130">
        <v>0</v>
      </c>
      <c r="E541" s="131">
        <f t="shared" si="40"/>
        <v>0</v>
      </c>
      <c r="F541" s="127">
        <f t="shared" si="44"/>
        <v>0</v>
      </c>
      <c r="G541" s="130">
        <f t="shared" si="41"/>
        <v>0</v>
      </c>
      <c r="H541" s="133">
        <f t="shared" si="42"/>
        <v>0</v>
      </c>
      <c r="I541" s="134">
        <v>0</v>
      </c>
      <c r="J541" s="129">
        <f t="shared" si="43"/>
        <v>0</v>
      </c>
    </row>
    <row r="542" spans="1:10">
      <c r="A542" s="122">
        <v>535</v>
      </c>
      <c r="D542" s="130">
        <v>0</v>
      </c>
      <c r="E542" s="131">
        <f t="shared" si="40"/>
        <v>0</v>
      </c>
      <c r="F542" s="127">
        <f t="shared" si="44"/>
        <v>0</v>
      </c>
      <c r="G542" s="130">
        <f t="shared" si="41"/>
        <v>0</v>
      </c>
      <c r="H542" s="133">
        <f t="shared" si="42"/>
        <v>0</v>
      </c>
      <c r="I542" s="134">
        <v>0</v>
      </c>
      <c r="J542" s="129">
        <f t="shared" si="43"/>
        <v>0</v>
      </c>
    </row>
    <row r="543" spans="1:10">
      <c r="A543" s="122">
        <v>536</v>
      </c>
      <c r="D543" s="130">
        <v>0</v>
      </c>
      <c r="E543" s="131">
        <f t="shared" si="40"/>
        <v>0</v>
      </c>
      <c r="F543" s="127">
        <f t="shared" si="44"/>
        <v>0</v>
      </c>
      <c r="G543" s="130">
        <f t="shared" si="41"/>
        <v>0</v>
      </c>
      <c r="H543" s="133">
        <f t="shared" si="42"/>
        <v>0</v>
      </c>
      <c r="I543" s="134">
        <v>0</v>
      </c>
      <c r="J543" s="129">
        <f t="shared" si="43"/>
        <v>0</v>
      </c>
    </row>
    <row r="544" spans="1:10">
      <c r="A544" s="122">
        <v>537</v>
      </c>
      <c r="D544" s="130">
        <v>0</v>
      </c>
      <c r="E544" s="131">
        <f t="shared" si="40"/>
        <v>0</v>
      </c>
      <c r="F544" s="127">
        <f t="shared" si="44"/>
        <v>0</v>
      </c>
      <c r="G544" s="130">
        <f t="shared" si="41"/>
        <v>0</v>
      </c>
      <c r="H544" s="133">
        <f t="shared" si="42"/>
        <v>0</v>
      </c>
      <c r="I544" s="134">
        <v>0</v>
      </c>
      <c r="J544" s="129">
        <f t="shared" si="43"/>
        <v>0</v>
      </c>
    </row>
    <row r="545" spans="1:10">
      <c r="A545" s="122">
        <v>538</v>
      </c>
      <c r="D545" s="130">
        <v>0</v>
      </c>
      <c r="E545" s="131">
        <f t="shared" si="40"/>
        <v>0</v>
      </c>
      <c r="F545" s="127">
        <f t="shared" si="44"/>
        <v>0</v>
      </c>
      <c r="G545" s="130">
        <f t="shared" si="41"/>
        <v>0</v>
      </c>
      <c r="H545" s="133">
        <f t="shared" si="42"/>
        <v>0</v>
      </c>
      <c r="I545" s="134">
        <v>0</v>
      </c>
      <c r="J545" s="129">
        <f t="shared" si="43"/>
        <v>0</v>
      </c>
    </row>
    <row r="546" spans="1:10">
      <c r="A546" s="122">
        <v>539</v>
      </c>
      <c r="D546" s="130">
        <v>0</v>
      </c>
      <c r="E546" s="131">
        <f t="shared" si="40"/>
        <v>0</v>
      </c>
      <c r="F546" s="127">
        <f t="shared" si="44"/>
        <v>0</v>
      </c>
      <c r="G546" s="130">
        <f t="shared" si="41"/>
        <v>0</v>
      </c>
      <c r="H546" s="133">
        <f t="shared" si="42"/>
        <v>0</v>
      </c>
      <c r="I546" s="134">
        <v>0</v>
      </c>
      <c r="J546" s="129">
        <f t="shared" si="43"/>
        <v>0</v>
      </c>
    </row>
    <row r="547" spans="1:10">
      <c r="A547" s="122">
        <v>540</v>
      </c>
      <c r="D547" s="130">
        <v>0</v>
      </c>
      <c r="E547" s="131">
        <f t="shared" si="40"/>
        <v>0</v>
      </c>
      <c r="F547" s="127">
        <f t="shared" si="44"/>
        <v>0</v>
      </c>
      <c r="G547" s="130">
        <f t="shared" si="41"/>
        <v>0</v>
      </c>
      <c r="H547" s="133">
        <f t="shared" si="42"/>
        <v>0</v>
      </c>
      <c r="I547" s="134">
        <v>0</v>
      </c>
      <c r="J547" s="129">
        <f t="shared" si="43"/>
        <v>0</v>
      </c>
    </row>
    <row r="548" spans="1:10">
      <c r="A548" s="122">
        <v>541</v>
      </c>
      <c r="D548" s="130">
        <v>0</v>
      </c>
      <c r="E548" s="131">
        <f t="shared" si="40"/>
        <v>0</v>
      </c>
      <c r="F548" s="127">
        <f t="shared" si="44"/>
        <v>0</v>
      </c>
      <c r="G548" s="130">
        <f t="shared" si="41"/>
        <v>0</v>
      </c>
      <c r="H548" s="133">
        <f t="shared" si="42"/>
        <v>0</v>
      </c>
      <c r="I548" s="134">
        <v>0</v>
      </c>
      <c r="J548" s="129">
        <f t="shared" si="43"/>
        <v>0</v>
      </c>
    </row>
    <row r="549" spans="1:10">
      <c r="A549" s="122">
        <v>542</v>
      </c>
      <c r="D549" s="130">
        <v>0</v>
      </c>
      <c r="E549" s="131">
        <f t="shared" si="40"/>
        <v>0</v>
      </c>
      <c r="F549" s="127">
        <f t="shared" si="44"/>
        <v>0</v>
      </c>
      <c r="G549" s="130">
        <f t="shared" si="41"/>
        <v>0</v>
      </c>
      <c r="H549" s="133">
        <f t="shared" si="42"/>
        <v>0</v>
      </c>
      <c r="I549" s="134">
        <v>0</v>
      </c>
      <c r="J549" s="129">
        <f t="shared" si="43"/>
        <v>0</v>
      </c>
    </row>
    <row r="550" spans="1:10">
      <c r="A550" s="122">
        <v>543</v>
      </c>
      <c r="D550" s="130">
        <v>0</v>
      </c>
      <c r="E550" s="131">
        <f t="shared" si="40"/>
        <v>0</v>
      </c>
      <c r="F550" s="127">
        <f t="shared" si="44"/>
        <v>0</v>
      </c>
      <c r="G550" s="130">
        <f t="shared" si="41"/>
        <v>0</v>
      </c>
      <c r="H550" s="133">
        <f t="shared" si="42"/>
        <v>0</v>
      </c>
      <c r="I550" s="134">
        <v>0</v>
      </c>
      <c r="J550" s="129">
        <f t="shared" si="43"/>
        <v>0</v>
      </c>
    </row>
    <row r="551" spans="1:10">
      <c r="A551" s="122">
        <v>544</v>
      </c>
      <c r="D551" s="130">
        <v>0</v>
      </c>
      <c r="E551" s="131">
        <f t="shared" si="40"/>
        <v>0</v>
      </c>
      <c r="F551" s="127">
        <f t="shared" si="44"/>
        <v>0</v>
      </c>
      <c r="G551" s="130">
        <f t="shared" si="41"/>
        <v>0</v>
      </c>
      <c r="H551" s="133">
        <f t="shared" si="42"/>
        <v>0</v>
      </c>
      <c r="I551" s="134">
        <v>0</v>
      </c>
      <c r="J551" s="129">
        <f t="shared" si="43"/>
        <v>0</v>
      </c>
    </row>
    <row r="552" spans="1:10">
      <c r="A552" s="122">
        <v>545</v>
      </c>
      <c r="D552" s="130">
        <v>0</v>
      </c>
      <c r="E552" s="131">
        <f t="shared" si="40"/>
        <v>0</v>
      </c>
      <c r="F552" s="127">
        <f t="shared" si="44"/>
        <v>0</v>
      </c>
      <c r="G552" s="130">
        <f t="shared" si="41"/>
        <v>0</v>
      </c>
      <c r="H552" s="133">
        <f t="shared" si="42"/>
        <v>0</v>
      </c>
      <c r="I552" s="134">
        <v>0</v>
      </c>
      <c r="J552" s="129">
        <f t="shared" si="43"/>
        <v>0</v>
      </c>
    </row>
    <row r="553" spans="1:10">
      <c r="A553" s="122">
        <v>546</v>
      </c>
      <c r="D553" s="130">
        <v>0</v>
      </c>
      <c r="E553" s="131">
        <f t="shared" si="40"/>
        <v>0</v>
      </c>
      <c r="F553" s="127">
        <f t="shared" si="44"/>
        <v>0</v>
      </c>
      <c r="G553" s="130">
        <f t="shared" si="41"/>
        <v>0</v>
      </c>
      <c r="H553" s="133">
        <f t="shared" si="42"/>
        <v>0</v>
      </c>
      <c r="I553" s="134">
        <v>0</v>
      </c>
      <c r="J553" s="129">
        <f t="shared" si="43"/>
        <v>0</v>
      </c>
    </row>
    <row r="554" spans="1:10">
      <c r="A554" s="122">
        <v>547</v>
      </c>
      <c r="D554" s="130">
        <v>0</v>
      </c>
      <c r="E554" s="131">
        <f t="shared" si="40"/>
        <v>0</v>
      </c>
      <c r="F554" s="127">
        <f t="shared" si="44"/>
        <v>0</v>
      </c>
      <c r="G554" s="130">
        <f t="shared" si="41"/>
        <v>0</v>
      </c>
      <c r="H554" s="133">
        <f t="shared" si="42"/>
        <v>0</v>
      </c>
      <c r="I554" s="134">
        <v>0</v>
      </c>
      <c r="J554" s="129">
        <f t="shared" si="43"/>
        <v>0</v>
      </c>
    </row>
    <row r="555" spans="1:10">
      <c r="A555" s="122">
        <v>548</v>
      </c>
      <c r="D555" s="130">
        <v>0</v>
      </c>
      <c r="E555" s="131">
        <f t="shared" si="40"/>
        <v>0</v>
      </c>
      <c r="F555" s="127">
        <f t="shared" si="44"/>
        <v>0</v>
      </c>
      <c r="G555" s="130">
        <f t="shared" si="41"/>
        <v>0</v>
      </c>
      <c r="H555" s="133">
        <f t="shared" si="42"/>
        <v>0</v>
      </c>
      <c r="I555" s="134">
        <v>0</v>
      </c>
      <c r="J555" s="129">
        <f t="shared" si="43"/>
        <v>0</v>
      </c>
    </row>
    <row r="556" spans="1:10">
      <c r="A556" s="122">
        <v>549</v>
      </c>
      <c r="D556" s="130">
        <v>0</v>
      </c>
      <c r="E556" s="131">
        <f t="shared" si="40"/>
        <v>0</v>
      </c>
      <c r="F556" s="127">
        <f t="shared" si="44"/>
        <v>0</v>
      </c>
      <c r="G556" s="130">
        <f t="shared" si="41"/>
        <v>0</v>
      </c>
      <c r="H556" s="133">
        <f t="shared" si="42"/>
        <v>0</v>
      </c>
      <c r="I556" s="134">
        <v>0</v>
      </c>
      <c r="J556" s="129">
        <f t="shared" si="43"/>
        <v>0</v>
      </c>
    </row>
    <row r="557" spans="1:10">
      <c r="A557" s="122">
        <v>550</v>
      </c>
      <c r="D557" s="130">
        <v>0</v>
      </c>
      <c r="E557" s="131">
        <f t="shared" si="40"/>
        <v>0</v>
      </c>
      <c r="F557" s="127">
        <f t="shared" si="44"/>
        <v>0</v>
      </c>
      <c r="G557" s="130">
        <f t="shared" si="41"/>
        <v>0</v>
      </c>
      <c r="H557" s="133">
        <f t="shared" si="42"/>
        <v>0</v>
      </c>
      <c r="I557" s="134">
        <v>0</v>
      </c>
      <c r="J557" s="129">
        <f t="shared" si="43"/>
        <v>0</v>
      </c>
    </row>
    <row r="558" spans="1:10">
      <c r="A558" s="122">
        <v>551</v>
      </c>
      <c r="D558" s="130">
        <v>0</v>
      </c>
      <c r="E558" s="131">
        <f t="shared" si="40"/>
        <v>0</v>
      </c>
      <c r="F558" s="127">
        <f t="shared" si="44"/>
        <v>0</v>
      </c>
      <c r="G558" s="130">
        <f t="shared" si="41"/>
        <v>0</v>
      </c>
      <c r="H558" s="133">
        <f t="shared" si="42"/>
        <v>0</v>
      </c>
      <c r="I558" s="134">
        <v>0</v>
      </c>
      <c r="J558" s="129">
        <f t="shared" si="43"/>
        <v>0</v>
      </c>
    </row>
    <row r="559" spans="1:10">
      <c r="A559" s="122">
        <v>552</v>
      </c>
      <c r="D559" s="130">
        <v>0</v>
      </c>
      <c r="E559" s="131">
        <f t="shared" si="40"/>
        <v>0</v>
      </c>
      <c r="F559" s="127">
        <f t="shared" si="44"/>
        <v>0</v>
      </c>
      <c r="G559" s="130">
        <f t="shared" si="41"/>
        <v>0</v>
      </c>
      <c r="H559" s="133">
        <f t="shared" si="42"/>
        <v>0</v>
      </c>
      <c r="I559" s="134">
        <v>0</v>
      </c>
      <c r="J559" s="129">
        <f t="shared" si="43"/>
        <v>0</v>
      </c>
    </row>
    <row r="560" spans="1:10">
      <c r="A560" s="122">
        <v>553</v>
      </c>
      <c r="D560" s="130">
        <v>0</v>
      </c>
      <c r="E560" s="131">
        <f t="shared" si="40"/>
        <v>0</v>
      </c>
      <c r="F560" s="127">
        <f t="shared" si="44"/>
        <v>0</v>
      </c>
      <c r="G560" s="130">
        <f t="shared" si="41"/>
        <v>0</v>
      </c>
      <c r="H560" s="133">
        <f t="shared" si="42"/>
        <v>0</v>
      </c>
      <c r="I560" s="134">
        <v>0</v>
      </c>
      <c r="J560" s="129">
        <f t="shared" si="43"/>
        <v>0</v>
      </c>
    </row>
    <row r="561" spans="1:10">
      <c r="A561" s="122">
        <v>554</v>
      </c>
      <c r="D561" s="130">
        <v>0</v>
      </c>
      <c r="E561" s="131">
        <f t="shared" si="40"/>
        <v>0</v>
      </c>
      <c r="F561" s="127">
        <f t="shared" si="44"/>
        <v>0</v>
      </c>
      <c r="G561" s="130">
        <f t="shared" si="41"/>
        <v>0</v>
      </c>
      <c r="H561" s="133">
        <f t="shared" si="42"/>
        <v>0</v>
      </c>
      <c r="I561" s="134">
        <v>0</v>
      </c>
      <c r="J561" s="129">
        <f t="shared" si="43"/>
        <v>0</v>
      </c>
    </row>
    <row r="562" spans="1:10">
      <c r="A562" s="122">
        <v>555</v>
      </c>
      <c r="D562" s="130">
        <v>0</v>
      </c>
      <c r="E562" s="131">
        <f t="shared" si="40"/>
        <v>0</v>
      </c>
      <c r="F562" s="127">
        <f t="shared" si="44"/>
        <v>0</v>
      </c>
      <c r="G562" s="130">
        <f t="shared" si="41"/>
        <v>0</v>
      </c>
      <c r="H562" s="133">
        <f t="shared" si="42"/>
        <v>0</v>
      </c>
      <c r="I562" s="134">
        <v>0</v>
      </c>
      <c r="J562" s="129">
        <f t="shared" si="43"/>
        <v>0</v>
      </c>
    </row>
    <row r="563" spans="1:10">
      <c r="A563" s="122">
        <v>556</v>
      </c>
      <c r="D563" s="130">
        <v>0</v>
      </c>
      <c r="E563" s="131">
        <f t="shared" si="40"/>
        <v>0</v>
      </c>
      <c r="F563" s="127">
        <f t="shared" si="44"/>
        <v>0</v>
      </c>
      <c r="G563" s="130">
        <f t="shared" si="41"/>
        <v>0</v>
      </c>
      <c r="H563" s="133">
        <f t="shared" si="42"/>
        <v>0</v>
      </c>
      <c r="I563" s="134">
        <v>0</v>
      </c>
      <c r="J563" s="129">
        <f t="shared" si="43"/>
        <v>0</v>
      </c>
    </row>
    <row r="564" spans="1:10">
      <c r="A564" s="122">
        <v>557</v>
      </c>
      <c r="D564" s="130">
        <v>0</v>
      </c>
      <c r="E564" s="131">
        <f t="shared" si="40"/>
        <v>0</v>
      </c>
      <c r="F564" s="127">
        <f t="shared" si="44"/>
        <v>0</v>
      </c>
      <c r="G564" s="130">
        <f t="shared" si="41"/>
        <v>0</v>
      </c>
      <c r="H564" s="133">
        <f t="shared" si="42"/>
        <v>0</v>
      </c>
      <c r="I564" s="134">
        <v>0</v>
      </c>
      <c r="J564" s="129">
        <f t="shared" si="43"/>
        <v>0</v>
      </c>
    </row>
    <row r="565" spans="1:10">
      <c r="A565" s="122">
        <v>558</v>
      </c>
      <c r="D565" s="130">
        <v>0</v>
      </c>
      <c r="E565" s="131">
        <f t="shared" si="40"/>
        <v>0</v>
      </c>
      <c r="F565" s="127">
        <f t="shared" si="44"/>
        <v>0</v>
      </c>
      <c r="G565" s="130">
        <f t="shared" si="41"/>
        <v>0</v>
      </c>
      <c r="H565" s="133">
        <f t="shared" si="42"/>
        <v>0</v>
      </c>
      <c r="I565" s="134">
        <v>0</v>
      </c>
      <c r="J565" s="129">
        <f t="shared" si="43"/>
        <v>0</v>
      </c>
    </row>
    <row r="566" spans="1:10">
      <c r="A566" s="122">
        <v>559</v>
      </c>
      <c r="D566" s="130">
        <v>0</v>
      </c>
      <c r="E566" s="131">
        <f t="shared" si="40"/>
        <v>0</v>
      </c>
      <c r="F566" s="127">
        <f t="shared" si="44"/>
        <v>0</v>
      </c>
      <c r="G566" s="130">
        <f t="shared" si="41"/>
        <v>0</v>
      </c>
      <c r="H566" s="133">
        <f t="shared" si="42"/>
        <v>0</v>
      </c>
      <c r="I566" s="134">
        <v>0</v>
      </c>
      <c r="J566" s="129">
        <f t="shared" si="43"/>
        <v>0</v>
      </c>
    </row>
    <row r="567" spans="1:10">
      <c r="A567" s="122">
        <v>560</v>
      </c>
      <c r="D567" s="130">
        <v>0</v>
      </c>
      <c r="E567" s="131">
        <f t="shared" si="40"/>
        <v>0</v>
      </c>
      <c r="F567" s="127">
        <f t="shared" si="44"/>
        <v>0</v>
      </c>
      <c r="G567" s="130">
        <f t="shared" si="41"/>
        <v>0</v>
      </c>
      <c r="H567" s="133">
        <f t="shared" si="42"/>
        <v>0</v>
      </c>
      <c r="I567" s="134">
        <v>0</v>
      </c>
      <c r="J567" s="129">
        <f t="shared" si="43"/>
        <v>0</v>
      </c>
    </row>
    <row r="568" spans="1:10">
      <c r="A568" s="122">
        <v>561</v>
      </c>
      <c r="D568" s="130">
        <v>0</v>
      </c>
      <c r="E568" s="131">
        <f t="shared" si="40"/>
        <v>0</v>
      </c>
      <c r="F568" s="127">
        <f t="shared" si="44"/>
        <v>0</v>
      </c>
      <c r="G568" s="130">
        <f t="shared" si="41"/>
        <v>0</v>
      </c>
      <c r="H568" s="133">
        <f t="shared" si="42"/>
        <v>0</v>
      </c>
      <c r="I568" s="134">
        <v>0</v>
      </c>
      <c r="J568" s="129">
        <f t="shared" si="43"/>
        <v>0</v>
      </c>
    </row>
    <row r="569" spans="1:10">
      <c r="A569" s="122">
        <v>562</v>
      </c>
      <c r="D569" s="130">
        <v>0</v>
      </c>
      <c r="E569" s="131">
        <f t="shared" si="40"/>
        <v>0</v>
      </c>
      <c r="F569" s="127">
        <f t="shared" si="44"/>
        <v>0</v>
      </c>
      <c r="G569" s="130">
        <f t="shared" si="41"/>
        <v>0</v>
      </c>
      <c r="H569" s="133">
        <f t="shared" si="42"/>
        <v>0</v>
      </c>
      <c r="I569" s="134">
        <v>0</v>
      </c>
      <c r="J569" s="129">
        <f t="shared" si="43"/>
        <v>0</v>
      </c>
    </row>
    <row r="570" spans="1:10">
      <c r="A570" s="122">
        <v>563</v>
      </c>
      <c r="D570" s="130">
        <v>0</v>
      </c>
      <c r="E570" s="131">
        <f t="shared" si="40"/>
        <v>0</v>
      </c>
      <c r="F570" s="127">
        <f t="shared" si="44"/>
        <v>0</v>
      </c>
      <c r="G570" s="130">
        <f t="shared" si="41"/>
        <v>0</v>
      </c>
      <c r="H570" s="133">
        <f t="shared" si="42"/>
        <v>0</v>
      </c>
      <c r="I570" s="134">
        <v>0</v>
      </c>
      <c r="J570" s="129">
        <f t="shared" si="43"/>
        <v>0</v>
      </c>
    </row>
    <row r="571" spans="1:10">
      <c r="A571" s="122">
        <v>564</v>
      </c>
      <c r="D571" s="130">
        <v>0</v>
      </c>
      <c r="E571" s="131">
        <f t="shared" si="40"/>
        <v>0</v>
      </c>
      <c r="F571" s="127">
        <f t="shared" si="44"/>
        <v>0</v>
      </c>
      <c r="G571" s="130">
        <f t="shared" si="41"/>
        <v>0</v>
      </c>
      <c r="H571" s="133">
        <f t="shared" si="42"/>
        <v>0</v>
      </c>
      <c r="I571" s="134">
        <v>0</v>
      </c>
      <c r="J571" s="129">
        <f t="shared" si="43"/>
        <v>0</v>
      </c>
    </row>
    <row r="572" spans="1:10">
      <c r="A572" s="122">
        <v>565</v>
      </c>
      <c r="D572" s="130">
        <v>0</v>
      </c>
      <c r="E572" s="131">
        <f t="shared" si="40"/>
        <v>0</v>
      </c>
      <c r="F572" s="127">
        <f t="shared" si="44"/>
        <v>0</v>
      </c>
      <c r="G572" s="130">
        <f t="shared" si="41"/>
        <v>0</v>
      </c>
      <c r="H572" s="133">
        <f t="shared" si="42"/>
        <v>0</v>
      </c>
      <c r="I572" s="134">
        <v>0</v>
      </c>
      <c r="J572" s="129">
        <f t="shared" si="43"/>
        <v>0</v>
      </c>
    </row>
    <row r="573" spans="1:10">
      <c r="A573" s="122">
        <v>566</v>
      </c>
      <c r="D573" s="130">
        <v>0</v>
      </c>
      <c r="E573" s="131">
        <f t="shared" si="40"/>
        <v>0</v>
      </c>
      <c r="F573" s="127">
        <f t="shared" si="44"/>
        <v>0</v>
      </c>
      <c r="G573" s="130">
        <f t="shared" si="41"/>
        <v>0</v>
      </c>
      <c r="H573" s="133">
        <f t="shared" si="42"/>
        <v>0</v>
      </c>
      <c r="I573" s="134">
        <v>0</v>
      </c>
      <c r="J573" s="129">
        <f t="shared" si="43"/>
        <v>0</v>
      </c>
    </row>
    <row r="574" spans="1:10">
      <c r="A574" s="122">
        <v>567</v>
      </c>
      <c r="D574" s="130">
        <v>0</v>
      </c>
      <c r="E574" s="131">
        <f t="shared" si="40"/>
        <v>0</v>
      </c>
      <c r="F574" s="127">
        <f t="shared" si="44"/>
        <v>0</v>
      </c>
      <c r="G574" s="130">
        <f t="shared" si="41"/>
        <v>0</v>
      </c>
      <c r="H574" s="133">
        <f t="shared" si="42"/>
        <v>0</v>
      </c>
      <c r="I574" s="134">
        <v>0</v>
      </c>
      <c r="J574" s="129">
        <f t="shared" si="43"/>
        <v>0</v>
      </c>
    </row>
    <row r="575" spans="1:10">
      <c r="A575" s="122">
        <v>568</v>
      </c>
      <c r="D575" s="130">
        <v>0</v>
      </c>
      <c r="E575" s="131">
        <f t="shared" si="40"/>
        <v>0</v>
      </c>
      <c r="F575" s="127">
        <f t="shared" si="44"/>
        <v>0</v>
      </c>
      <c r="G575" s="130">
        <f t="shared" si="41"/>
        <v>0</v>
      </c>
      <c r="H575" s="133">
        <f t="shared" si="42"/>
        <v>0</v>
      </c>
      <c r="I575" s="134">
        <v>0</v>
      </c>
      <c r="J575" s="129">
        <f t="shared" si="43"/>
        <v>0</v>
      </c>
    </row>
    <row r="576" spans="1:10">
      <c r="A576" s="122">
        <v>569</v>
      </c>
      <c r="D576" s="130">
        <v>0</v>
      </c>
      <c r="E576" s="131">
        <f t="shared" si="40"/>
        <v>0</v>
      </c>
      <c r="F576" s="127">
        <f t="shared" si="44"/>
        <v>0</v>
      </c>
      <c r="G576" s="130">
        <f t="shared" si="41"/>
        <v>0</v>
      </c>
      <c r="H576" s="133">
        <f t="shared" si="42"/>
        <v>0</v>
      </c>
      <c r="I576" s="134">
        <v>0</v>
      </c>
      <c r="J576" s="129">
        <f t="shared" si="43"/>
        <v>0</v>
      </c>
    </row>
    <row r="577" spans="1:10">
      <c r="A577" s="122">
        <v>570</v>
      </c>
      <c r="D577" s="130">
        <v>0</v>
      </c>
      <c r="E577" s="131">
        <f t="shared" si="40"/>
        <v>0</v>
      </c>
      <c r="F577" s="127">
        <f t="shared" si="44"/>
        <v>0</v>
      </c>
      <c r="G577" s="130">
        <f t="shared" si="41"/>
        <v>0</v>
      </c>
      <c r="H577" s="133">
        <f t="shared" si="42"/>
        <v>0</v>
      </c>
      <c r="I577" s="134">
        <v>0</v>
      </c>
      <c r="J577" s="129">
        <f t="shared" si="43"/>
        <v>0</v>
      </c>
    </row>
    <row r="578" spans="1:10">
      <c r="A578" s="122">
        <v>571</v>
      </c>
      <c r="D578" s="130">
        <v>0</v>
      </c>
      <c r="E578" s="131">
        <f t="shared" si="40"/>
        <v>0</v>
      </c>
      <c r="F578" s="127">
        <f t="shared" si="44"/>
        <v>0</v>
      </c>
      <c r="G578" s="130">
        <f t="shared" si="41"/>
        <v>0</v>
      </c>
      <c r="H578" s="133">
        <f t="shared" si="42"/>
        <v>0</v>
      </c>
      <c r="I578" s="134">
        <v>0</v>
      </c>
      <c r="J578" s="129">
        <f t="shared" si="43"/>
        <v>0</v>
      </c>
    </row>
    <row r="579" spans="1:10">
      <c r="A579" s="122">
        <v>572</v>
      </c>
      <c r="D579" s="130">
        <v>0</v>
      </c>
      <c r="E579" s="131">
        <f t="shared" si="40"/>
        <v>0</v>
      </c>
      <c r="F579" s="127">
        <f t="shared" si="44"/>
        <v>0</v>
      </c>
      <c r="G579" s="130">
        <f t="shared" si="41"/>
        <v>0</v>
      </c>
      <c r="H579" s="133">
        <f t="shared" si="42"/>
        <v>0</v>
      </c>
      <c r="I579" s="134">
        <v>0</v>
      </c>
      <c r="J579" s="129">
        <f t="shared" si="43"/>
        <v>0</v>
      </c>
    </row>
    <row r="580" spans="1:10">
      <c r="A580" s="122">
        <v>573</v>
      </c>
      <c r="D580" s="130">
        <v>0</v>
      </c>
      <c r="E580" s="131">
        <f t="shared" si="40"/>
        <v>0</v>
      </c>
      <c r="F580" s="127">
        <f t="shared" si="44"/>
        <v>0</v>
      </c>
      <c r="G580" s="130">
        <f t="shared" si="41"/>
        <v>0</v>
      </c>
      <c r="H580" s="133">
        <f t="shared" si="42"/>
        <v>0</v>
      </c>
      <c r="I580" s="134">
        <v>0</v>
      </c>
      <c r="J580" s="129">
        <f t="shared" si="43"/>
        <v>0</v>
      </c>
    </row>
    <row r="581" spans="1:10">
      <c r="A581" s="122">
        <v>574</v>
      </c>
      <c r="D581" s="130">
        <v>0</v>
      </c>
      <c r="E581" s="131">
        <f t="shared" si="40"/>
        <v>0</v>
      </c>
      <c r="F581" s="127">
        <f t="shared" si="44"/>
        <v>0</v>
      </c>
      <c r="G581" s="130">
        <f t="shared" si="41"/>
        <v>0</v>
      </c>
      <c r="H581" s="133">
        <f t="shared" si="42"/>
        <v>0</v>
      </c>
      <c r="I581" s="134">
        <v>0</v>
      </c>
      <c r="J581" s="129">
        <f t="shared" si="43"/>
        <v>0</v>
      </c>
    </row>
    <row r="582" spans="1:10">
      <c r="A582" s="122">
        <v>575</v>
      </c>
      <c r="D582" s="130">
        <v>0</v>
      </c>
      <c r="E582" s="131">
        <f t="shared" si="40"/>
        <v>0</v>
      </c>
      <c r="F582" s="127">
        <f t="shared" si="44"/>
        <v>0</v>
      </c>
      <c r="G582" s="130">
        <f t="shared" si="41"/>
        <v>0</v>
      </c>
      <c r="H582" s="133">
        <f t="shared" si="42"/>
        <v>0</v>
      </c>
      <c r="I582" s="134">
        <v>0</v>
      </c>
      <c r="J582" s="129">
        <f t="shared" si="43"/>
        <v>0</v>
      </c>
    </row>
    <row r="583" spans="1:10">
      <c r="A583" s="122">
        <v>576</v>
      </c>
      <c r="D583" s="130">
        <v>0</v>
      </c>
      <c r="E583" s="131">
        <f t="shared" si="40"/>
        <v>0</v>
      </c>
      <c r="F583" s="127">
        <f t="shared" si="44"/>
        <v>0</v>
      </c>
      <c r="G583" s="130">
        <f t="shared" si="41"/>
        <v>0</v>
      </c>
      <c r="H583" s="133">
        <f t="shared" si="42"/>
        <v>0</v>
      </c>
      <c r="I583" s="134">
        <v>0</v>
      </c>
      <c r="J583" s="129">
        <f t="shared" si="43"/>
        <v>0</v>
      </c>
    </row>
    <row r="584" spans="1:10">
      <c r="A584" s="122">
        <v>577</v>
      </c>
      <c r="D584" s="130">
        <v>0</v>
      </c>
      <c r="E584" s="131">
        <f t="shared" ref="E584:E647" si="45">IF(D584&lt;=300000,0,IF(D584&gt;=20000000,(D584*0.21),(D584*0.2)+200000))</f>
        <v>0</v>
      </c>
      <c r="F584" s="127">
        <f t="shared" si="44"/>
        <v>0</v>
      </c>
      <c r="G584" s="130">
        <f t="shared" ref="G584:G647" si="46">IF(E584=0,(D584*0.01),IF(F584&lt;=0,0.01*D584,IF(AND(F584&gt;0,F584&lt;=300000),F584*7%,IF(AND(F584&gt;=300000,F584&lt;600000),21000+(F584-300000)*11%,IF(AND(F584&gt;=600000,F584&lt;1100000),54000+(F584-600000)*15%,IF(AND(F584&gt;=1100000,F584&lt;1600000),129000+(F584-1100000)*19%,IF(AND(F584&gt;=1600000,F584&lt;3200000),224000+(F584-1600000)*21%,560000+(F584-3200000)*24%)))))))</f>
        <v>0</v>
      </c>
      <c r="H584" s="133">
        <f t="shared" ref="H584:H647" si="47">G584/12</f>
        <v>0</v>
      </c>
      <c r="I584" s="134">
        <v>0</v>
      </c>
      <c r="J584" s="129">
        <f t="shared" ref="J584:J647" si="48">+H584*I584</f>
        <v>0</v>
      </c>
    </row>
    <row r="585" spans="1:10">
      <c r="A585" s="122">
        <v>578</v>
      </c>
      <c r="D585" s="130">
        <v>0</v>
      </c>
      <c r="E585" s="131">
        <f t="shared" si="45"/>
        <v>0</v>
      </c>
      <c r="F585" s="127">
        <f t="shared" ref="F585:F648" si="49">+D585-E585</f>
        <v>0</v>
      </c>
      <c r="G585" s="130">
        <f t="shared" si="46"/>
        <v>0</v>
      </c>
      <c r="H585" s="133">
        <f t="shared" si="47"/>
        <v>0</v>
      </c>
      <c r="I585" s="134">
        <v>0</v>
      </c>
      <c r="J585" s="129">
        <f t="shared" si="48"/>
        <v>0</v>
      </c>
    </row>
    <row r="586" spans="1:10">
      <c r="A586" s="122">
        <v>579</v>
      </c>
      <c r="D586" s="130">
        <v>0</v>
      </c>
      <c r="E586" s="131">
        <f t="shared" si="45"/>
        <v>0</v>
      </c>
      <c r="F586" s="127">
        <f t="shared" si="49"/>
        <v>0</v>
      </c>
      <c r="G586" s="130">
        <f t="shared" si="46"/>
        <v>0</v>
      </c>
      <c r="H586" s="133">
        <f t="shared" si="47"/>
        <v>0</v>
      </c>
      <c r="I586" s="134">
        <v>0</v>
      </c>
      <c r="J586" s="129">
        <f t="shared" si="48"/>
        <v>0</v>
      </c>
    </row>
    <row r="587" spans="1:10">
      <c r="A587" s="122">
        <v>580</v>
      </c>
      <c r="D587" s="130">
        <v>0</v>
      </c>
      <c r="E587" s="131">
        <f t="shared" si="45"/>
        <v>0</v>
      </c>
      <c r="F587" s="127">
        <f t="shared" si="49"/>
        <v>0</v>
      </c>
      <c r="G587" s="130">
        <f t="shared" si="46"/>
        <v>0</v>
      </c>
      <c r="H587" s="133">
        <f t="shared" si="47"/>
        <v>0</v>
      </c>
      <c r="I587" s="134">
        <v>0</v>
      </c>
      <c r="J587" s="129">
        <f t="shared" si="48"/>
        <v>0</v>
      </c>
    </row>
    <row r="588" spans="1:10">
      <c r="A588" s="122">
        <v>581</v>
      </c>
      <c r="D588" s="130">
        <v>0</v>
      </c>
      <c r="E588" s="131">
        <f t="shared" si="45"/>
        <v>0</v>
      </c>
      <c r="F588" s="127">
        <f t="shared" si="49"/>
        <v>0</v>
      </c>
      <c r="G588" s="130">
        <f t="shared" si="46"/>
        <v>0</v>
      </c>
      <c r="H588" s="133">
        <f t="shared" si="47"/>
        <v>0</v>
      </c>
      <c r="I588" s="134">
        <v>0</v>
      </c>
      <c r="J588" s="129">
        <f t="shared" si="48"/>
        <v>0</v>
      </c>
    </row>
    <row r="589" spans="1:10">
      <c r="A589" s="122">
        <v>582</v>
      </c>
      <c r="D589" s="130">
        <v>0</v>
      </c>
      <c r="E589" s="131">
        <f t="shared" si="45"/>
        <v>0</v>
      </c>
      <c r="F589" s="127">
        <f t="shared" si="49"/>
        <v>0</v>
      </c>
      <c r="G589" s="130">
        <f t="shared" si="46"/>
        <v>0</v>
      </c>
      <c r="H589" s="133">
        <f t="shared" si="47"/>
        <v>0</v>
      </c>
      <c r="I589" s="134">
        <v>0</v>
      </c>
      <c r="J589" s="129">
        <f t="shared" si="48"/>
        <v>0</v>
      </c>
    </row>
    <row r="590" spans="1:10">
      <c r="A590" s="122">
        <v>583</v>
      </c>
      <c r="D590" s="130">
        <v>0</v>
      </c>
      <c r="E590" s="131">
        <f t="shared" si="45"/>
        <v>0</v>
      </c>
      <c r="F590" s="127">
        <f t="shared" si="49"/>
        <v>0</v>
      </c>
      <c r="G590" s="130">
        <f t="shared" si="46"/>
        <v>0</v>
      </c>
      <c r="H590" s="133">
        <f t="shared" si="47"/>
        <v>0</v>
      </c>
      <c r="I590" s="134">
        <v>0</v>
      </c>
      <c r="J590" s="129">
        <f t="shared" si="48"/>
        <v>0</v>
      </c>
    </row>
    <row r="591" spans="1:10">
      <c r="A591" s="122">
        <v>584</v>
      </c>
      <c r="D591" s="130">
        <v>0</v>
      </c>
      <c r="E591" s="131">
        <f t="shared" si="45"/>
        <v>0</v>
      </c>
      <c r="F591" s="127">
        <f t="shared" si="49"/>
        <v>0</v>
      </c>
      <c r="G591" s="130">
        <f t="shared" si="46"/>
        <v>0</v>
      </c>
      <c r="H591" s="133">
        <f t="shared" si="47"/>
        <v>0</v>
      </c>
      <c r="I591" s="134">
        <v>0</v>
      </c>
      <c r="J591" s="129">
        <f t="shared" si="48"/>
        <v>0</v>
      </c>
    </row>
    <row r="592" spans="1:10">
      <c r="A592" s="122">
        <v>585</v>
      </c>
      <c r="D592" s="130">
        <v>0</v>
      </c>
      <c r="E592" s="131">
        <f t="shared" si="45"/>
        <v>0</v>
      </c>
      <c r="F592" s="127">
        <f t="shared" si="49"/>
        <v>0</v>
      </c>
      <c r="G592" s="130">
        <f t="shared" si="46"/>
        <v>0</v>
      </c>
      <c r="H592" s="133">
        <f t="shared" si="47"/>
        <v>0</v>
      </c>
      <c r="I592" s="134">
        <v>0</v>
      </c>
      <c r="J592" s="129">
        <f t="shared" si="48"/>
        <v>0</v>
      </c>
    </row>
    <row r="593" spans="1:10">
      <c r="A593" s="122">
        <v>586</v>
      </c>
      <c r="D593" s="130">
        <v>0</v>
      </c>
      <c r="E593" s="131">
        <f t="shared" si="45"/>
        <v>0</v>
      </c>
      <c r="F593" s="127">
        <f t="shared" si="49"/>
        <v>0</v>
      </c>
      <c r="G593" s="130">
        <f t="shared" si="46"/>
        <v>0</v>
      </c>
      <c r="H593" s="133">
        <f t="shared" si="47"/>
        <v>0</v>
      </c>
      <c r="I593" s="134">
        <v>0</v>
      </c>
      <c r="J593" s="129">
        <f t="shared" si="48"/>
        <v>0</v>
      </c>
    </row>
    <row r="594" spans="1:10">
      <c r="A594" s="122">
        <v>587</v>
      </c>
      <c r="D594" s="130">
        <v>0</v>
      </c>
      <c r="E594" s="131">
        <f t="shared" si="45"/>
        <v>0</v>
      </c>
      <c r="F594" s="127">
        <f t="shared" si="49"/>
        <v>0</v>
      </c>
      <c r="G594" s="130">
        <f t="shared" si="46"/>
        <v>0</v>
      </c>
      <c r="H594" s="133">
        <f t="shared" si="47"/>
        <v>0</v>
      </c>
      <c r="I594" s="134">
        <v>0</v>
      </c>
      <c r="J594" s="129">
        <f t="shared" si="48"/>
        <v>0</v>
      </c>
    </row>
    <row r="595" spans="1:10">
      <c r="A595" s="122">
        <v>588</v>
      </c>
      <c r="D595" s="130">
        <v>0</v>
      </c>
      <c r="E595" s="131">
        <f t="shared" si="45"/>
        <v>0</v>
      </c>
      <c r="F595" s="127">
        <f t="shared" si="49"/>
        <v>0</v>
      </c>
      <c r="G595" s="130">
        <f t="shared" si="46"/>
        <v>0</v>
      </c>
      <c r="H595" s="133">
        <f t="shared" si="47"/>
        <v>0</v>
      </c>
      <c r="I595" s="134">
        <v>0</v>
      </c>
      <c r="J595" s="129">
        <f t="shared" si="48"/>
        <v>0</v>
      </c>
    </row>
    <row r="596" spans="1:10">
      <c r="A596" s="122">
        <v>589</v>
      </c>
      <c r="D596" s="130">
        <v>0</v>
      </c>
      <c r="E596" s="131">
        <f t="shared" si="45"/>
        <v>0</v>
      </c>
      <c r="F596" s="127">
        <f t="shared" si="49"/>
        <v>0</v>
      </c>
      <c r="G596" s="130">
        <f t="shared" si="46"/>
        <v>0</v>
      </c>
      <c r="H596" s="133">
        <f t="shared" si="47"/>
        <v>0</v>
      </c>
      <c r="I596" s="134">
        <v>0</v>
      </c>
      <c r="J596" s="129">
        <f t="shared" si="48"/>
        <v>0</v>
      </c>
    </row>
    <row r="597" spans="1:10">
      <c r="A597" s="122">
        <v>590</v>
      </c>
      <c r="D597" s="130">
        <v>0</v>
      </c>
      <c r="E597" s="131">
        <f t="shared" si="45"/>
        <v>0</v>
      </c>
      <c r="F597" s="127">
        <f t="shared" si="49"/>
        <v>0</v>
      </c>
      <c r="G597" s="130">
        <f t="shared" si="46"/>
        <v>0</v>
      </c>
      <c r="H597" s="133">
        <f t="shared" si="47"/>
        <v>0</v>
      </c>
      <c r="I597" s="134">
        <v>0</v>
      </c>
      <c r="J597" s="129">
        <f t="shared" si="48"/>
        <v>0</v>
      </c>
    </row>
    <row r="598" spans="1:10">
      <c r="A598" s="122">
        <v>591</v>
      </c>
      <c r="D598" s="130">
        <v>0</v>
      </c>
      <c r="E598" s="131">
        <f t="shared" si="45"/>
        <v>0</v>
      </c>
      <c r="F598" s="127">
        <f t="shared" si="49"/>
        <v>0</v>
      </c>
      <c r="G598" s="130">
        <f t="shared" si="46"/>
        <v>0</v>
      </c>
      <c r="H598" s="133">
        <f t="shared" si="47"/>
        <v>0</v>
      </c>
      <c r="I598" s="134">
        <v>0</v>
      </c>
      <c r="J598" s="129">
        <f t="shared" si="48"/>
        <v>0</v>
      </c>
    </row>
    <row r="599" spans="1:10">
      <c r="A599" s="122">
        <v>592</v>
      </c>
      <c r="D599" s="130">
        <v>0</v>
      </c>
      <c r="E599" s="131">
        <f t="shared" si="45"/>
        <v>0</v>
      </c>
      <c r="F599" s="127">
        <f t="shared" si="49"/>
        <v>0</v>
      </c>
      <c r="G599" s="130">
        <f t="shared" si="46"/>
        <v>0</v>
      </c>
      <c r="H599" s="133">
        <f t="shared" si="47"/>
        <v>0</v>
      </c>
      <c r="I599" s="134">
        <v>0</v>
      </c>
      <c r="J599" s="129">
        <f t="shared" si="48"/>
        <v>0</v>
      </c>
    </row>
    <row r="600" spans="1:10">
      <c r="A600" s="122">
        <v>593</v>
      </c>
      <c r="D600" s="130">
        <v>0</v>
      </c>
      <c r="E600" s="131">
        <f t="shared" si="45"/>
        <v>0</v>
      </c>
      <c r="F600" s="127">
        <f t="shared" si="49"/>
        <v>0</v>
      </c>
      <c r="G600" s="130">
        <f t="shared" si="46"/>
        <v>0</v>
      </c>
      <c r="H600" s="133">
        <f t="shared" si="47"/>
        <v>0</v>
      </c>
      <c r="I600" s="134">
        <v>0</v>
      </c>
      <c r="J600" s="129">
        <f t="shared" si="48"/>
        <v>0</v>
      </c>
    </row>
    <row r="601" spans="1:10">
      <c r="A601" s="122">
        <v>594</v>
      </c>
      <c r="D601" s="130">
        <v>0</v>
      </c>
      <c r="E601" s="131">
        <f t="shared" si="45"/>
        <v>0</v>
      </c>
      <c r="F601" s="127">
        <f t="shared" si="49"/>
        <v>0</v>
      </c>
      <c r="G601" s="130">
        <f t="shared" si="46"/>
        <v>0</v>
      </c>
      <c r="H601" s="133">
        <f t="shared" si="47"/>
        <v>0</v>
      </c>
      <c r="I601" s="134">
        <v>0</v>
      </c>
      <c r="J601" s="129">
        <f t="shared" si="48"/>
        <v>0</v>
      </c>
    </row>
    <row r="602" spans="1:10">
      <c r="A602" s="122">
        <v>595</v>
      </c>
      <c r="D602" s="130">
        <v>0</v>
      </c>
      <c r="E602" s="131">
        <f t="shared" si="45"/>
        <v>0</v>
      </c>
      <c r="F602" s="127">
        <f t="shared" si="49"/>
        <v>0</v>
      </c>
      <c r="G602" s="130">
        <f t="shared" si="46"/>
        <v>0</v>
      </c>
      <c r="H602" s="133">
        <f t="shared" si="47"/>
        <v>0</v>
      </c>
      <c r="I602" s="134">
        <v>0</v>
      </c>
      <c r="J602" s="129">
        <f t="shared" si="48"/>
        <v>0</v>
      </c>
    </row>
    <row r="603" spans="1:10">
      <c r="A603" s="122">
        <v>596</v>
      </c>
      <c r="D603" s="130">
        <v>0</v>
      </c>
      <c r="E603" s="131">
        <f t="shared" si="45"/>
        <v>0</v>
      </c>
      <c r="F603" s="127">
        <f t="shared" si="49"/>
        <v>0</v>
      </c>
      <c r="G603" s="130">
        <f t="shared" si="46"/>
        <v>0</v>
      </c>
      <c r="H603" s="133">
        <f t="shared" si="47"/>
        <v>0</v>
      </c>
      <c r="I603" s="134">
        <v>0</v>
      </c>
      <c r="J603" s="129">
        <f t="shared" si="48"/>
        <v>0</v>
      </c>
    </row>
    <row r="604" spans="1:10">
      <c r="A604" s="122">
        <v>597</v>
      </c>
      <c r="D604" s="130">
        <v>0</v>
      </c>
      <c r="E604" s="131">
        <f t="shared" si="45"/>
        <v>0</v>
      </c>
      <c r="F604" s="127">
        <f t="shared" si="49"/>
        <v>0</v>
      </c>
      <c r="G604" s="130">
        <f t="shared" si="46"/>
        <v>0</v>
      </c>
      <c r="H604" s="133">
        <f t="shared" si="47"/>
        <v>0</v>
      </c>
      <c r="I604" s="134">
        <v>0</v>
      </c>
      <c r="J604" s="129">
        <f t="shared" si="48"/>
        <v>0</v>
      </c>
    </row>
    <row r="605" spans="1:10">
      <c r="A605" s="122">
        <v>598</v>
      </c>
      <c r="D605" s="130">
        <v>0</v>
      </c>
      <c r="E605" s="131">
        <f t="shared" si="45"/>
        <v>0</v>
      </c>
      <c r="F605" s="127">
        <f t="shared" si="49"/>
        <v>0</v>
      </c>
      <c r="G605" s="130">
        <f t="shared" si="46"/>
        <v>0</v>
      </c>
      <c r="H605" s="133">
        <f t="shared" si="47"/>
        <v>0</v>
      </c>
      <c r="I605" s="134">
        <v>0</v>
      </c>
      <c r="J605" s="129">
        <f t="shared" si="48"/>
        <v>0</v>
      </c>
    </row>
    <row r="606" spans="1:10">
      <c r="A606" s="122">
        <v>599</v>
      </c>
      <c r="D606" s="130">
        <v>0</v>
      </c>
      <c r="E606" s="131">
        <f t="shared" si="45"/>
        <v>0</v>
      </c>
      <c r="F606" s="127">
        <f t="shared" si="49"/>
        <v>0</v>
      </c>
      <c r="G606" s="130">
        <f t="shared" si="46"/>
        <v>0</v>
      </c>
      <c r="H606" s="133">
        <f t="shared" si="47"/>
        <v>0</v>
      </c>
      <c r="I606" s="134">
        <v>0</v>
      </c>
      <c r="J606" s="129">
        <f t="shared" si="48"/>
        <v>0</v>
      </c>
    </row>
    <row r="607" spans="1:10">
      <c r="A607" s="122">
        <v>600</v>
      </c>
      <c r="D607" s="130">
        <v>0</v>
      </c>
      <c r="E607" s="131">
        <f t="shared" si="45"/>
        <v>0</v>
      </c>
      <c r="F607" s="127">
        <f t="shared" si="49"/>
        <v>0</v>
      </c>
      <c r="G607" s="130">
        <f t="shared" si="46"/>
        <v>0</v>
      </c>
      <c r="H607" s="133">
        <f t="shared" si="47"/>
        <v>0</v>
      </c>
      <c r="I607" s="134">
        <v>0</v>
      </c>
      <c r="J607" s="129">
        <f t="shared" si="48"/>
        <v>0</v>
      </c>
    </row>
    <row r="608" spans="1:10">
      <c r="A608" s="122">
        <v>601</v>
      </c>
      <c r="D608" s="130">
        <v>0</v>
      </c>
      <c r="E608" s="131">
        <f t="shared" si="45"/>
        <v>0</v>
      </c>
      <c r="F608" s="127">
        <f t="shared" si="49"/>
        <v>0</v>
      </c>
      <c r="G608" s="130">
        <f t="shared" si="46"/>
        <v>0</v>
      </c>
      <c r="H608" s="133">
        <f t="shared" si="47"/>
        <v>0</v>
      </c>
      <c r="I608" s="134">
        <v>0</v>
      </c>
      <c r="J608" s="129">
        <f t="shared" si="48"/>
        <v>0</v>
      </c>
    </row>
    <row r="609" spans="1:10">
      <c r="A609" s="122">
        <v>602</v>
      </c>
      <c r="D609" s="130">
        <v>0</v>
      </c>
      <c r="E609" s="131">
        <f t="shared" si="45"/>
        <v>0</v>
      </c>
      <c r="F609" s="127">
        <f t="shared" si="49"/>
        <v>0</v>
      </c>
      <c r="G609" s="130">
        <f t="shared" si="46"/>
        <v>0</v>
      </c>
      <c r="H609" s="133">
        <f t="shared" si="47"/>
        <v>0</v>
      </c>
      <c r="I609" s="134">
        <v>0</v>
      </c>
      <c r="J609" s="129">
        <f t="shared" si="48"/>
        <v>0</v>
      </c>
    </row>
    <row r="610" spans="1:10">
      <c r="A610" s="122">
        <v>603</v>
      </c>
      <c r="D610" s="130">
        <v>0</v>
      </c>
      <c r="E610" s="131">
        <f t="shared" si="45"/>
        <v>0</v>
      </c>
      <c r="F610" s="127">
        <f t="shared" si="49"/>
        <v>0</v>
      </c>
      <c r="G610" s="130">
        <f t="shared" si="46"/>
        <v>0</v>
      </c>
      <c r="H610" s="133">
        <f t="shared" si="47"/>
        <v>0</v>
      </c>
      <c r="I610" s="134">
        <v>0</v>
      </c>
      <c r="J610" s="129">
        <f t="shared" si="48"/>
        <v>0</v>
      </c>
    </row>
    <row r="611" spans="1:10">
      <c r="A611" s="122">
        <v>604</v>
      </c>
      <c r="D611" s="130">
        <v>0</v>
      </c>
      <c r="E611" s="131">
        <f t="shared" si="45"/>
        <v>0</v>
      </c>
      <c r="F611" s="127">
        <f t="shared" si="49"/>
        <v>0</v>
      </c>
      <c r="G611" s="130">
        <f t="shared" si="46"/>
        <v>0</v>
      </c>
      <c r="H611" s="133">
        <f t="shared" si="47"/>
        <v>0</v>
      </c>
      <c r="I611" s="134">
        <v>0</v>
      </c>
      <c r="J611" s="129">
        <f t="shared" si="48"/>
        <v>0</v>
      </c>
    </row>
    <row r="612" spans="1:10">
      <c r="A612" s="122">
        <v>605</v>
      </c>
      <c r="D612" s="130">
        <v>0</v>
      </c>
      <c r="E612" s="131">
        <f t="shared" si="45"/>
        <v>0</v>
      </c>
      <c r="F612" s="127">
        <f t="shared" si="49"/>
        <v>0</v>
      </c>
      <c r="G612" s="130">
        <f t="shared" si="46"/>
        <v>0</v>
      </c>
      <c r="H612" s="133">
        <f t="shared" si="47"/>
        <v>0</v>
      </c>
      <c r="I612" s="134">
        <v>0</v>
      </c>
      <c r="J612" s="129">
        <f t="shared" si="48"/>
        <v>0</v>
      </c>
    </row>
    <row r="613" spans="1:10">
      <c r="A613" s="122">
        <v>606</v>
      </c>
      <c r="D613" s="130">
        <v>0</v>
      </c>
      <c r="E613" s="131">
        <f t="shared" si="45"/>
        <v>0</v>
      </c>
      <c r="F613" s="127">
        <f t="shared" si="49"/>
        <v>0</v>
      </c>
      <c r="G613" s="130">
        <f t="shared" si="46"/>
        <v>0</v>
      </c>
      <c r="H613" s="133">
        <f t="shared" si="47"/>
        <v>0</v>
      </c>
      <c r="I613" s="134">
        <v>0</v>
      </c>
      <c r="J613" s="129">
        <f t="shared" si="48"/>
        <v>0</v>
      </c>
    </row>
    <row r="614" spans="1:10">
      <c r="A614" s="122">
        <v>607</v>
      </c>
      <c r="D614" s="130">
        <v>0</v>
      </c>
      <c r="E614" s="131">
        <f t="shared" si="45"/>
        <v>0</v>
      </c>
      <c r="F614" s="127">
        <f t="shared" si="49"/>
        <v>0</v>
      </c>
      <c r="G614" s="130">
        <f t="shared" si="46"/>
        <v>0</v>
      </c>
      <c r="H614" s="133">
        <f t="shared" si="47"/>
        <v>0</v>
      </c>
      <c r="I614" s="134">
        <v>0</v>
      </c>
      <c r="J614" s="129">
        <f t="shared" si="48"/>
        <v>0</v>
      </c>
    </row>
    <row r="615" spans="1:10">
      <c r="A615" s="122">
        <v>608</v>
      </c>
      <c r="D615" s="130">
        <v>0</v>
      </c>
      <c r="E615" s="131">
        <f t="shared" si="45"/>
        <v>0</v>
      </c>
      <c r="F615" s="127">
        <f t="shared" si="49"/>
        <v>0</v>
      </c>
      <c r="G615" s="130">
        <f t="shared" si="46"/>
        <v>0</v>
      </c>
      <c r="H615" s="133">
        <f t="shared" si="47"/>
        <v>0</v>
      </c>
      <c r="I615" s="134">
        <v>0</v>
      </c>
      <c r="J615" s="129">
        <f t="shared" si="48"/>
        <v>0</v>
      </c>
    </row>
    <row r="616" spans="1:10">
      <c r="A616" s="122">
        <v>609</v>
      </c>
      <c r="D616" s="130">
        <v>0</v>
      </c>
      <c r="E616" s="131">
        <f t="shared" si="45"/>
        <v>0</v>
      </c>
      <c r="F616" s="127">
        <f t="shared" si="49"/>
        <v>0</v>
      </c>
      <c r="G616" s="130">
        <f t="shared" si="46"/>
        <v>0</v>
      </c>
      <c r="H616" s="133">
        <f t="shared" si="47"/>
        <v>0</v>
      </c>
      <c r="I616" s="134">
        <v>0</v>
      </c>
      <c r="J616" s="129">
        <f t="shared" si="48"/>
        <v>0</v>
      </c>
    </row>
    <row r="617" spans="1:10">
      <c r="A617" s="122">
        <v>610</v>
      </c>
      <c r="D617" s="130">
        <v>0</v>
      </c>
      <c r="E617" s="131">
        <f t="shared" si="45"/>
        <v>0</v>
      </c>
      <c r="F617" s="127">
        <f t="shared" si="49"/>
        <v>0</v>
      </c>
      <c r="G617" s="130">
        <f t="shared" si="46"/>
        <v>0</v>
      </c>
      <c r="H617" s="133">
        <f t="shared" si="47"/>
        <v>0</v>
      </c>
      <c r="I617" s="134">
        <v>0</v>
      </c>
      <c r="J617" s="129">
        <f t="shared" si="48"/>
        <v>0</v>
      </c>
    </row>
    <row r="618" spans="1:10">
      <c r="A618" s="122">
        <v>611</v>
      </c>
      <c r="D618" s="130">
        <v>0</v>
      </c>
      <c r="E618" s="131">
        <f t="shared" si="45"/>
        <v>0</v>
      </c>
      <c r="F618" s="127">
        <f t="shared" si="49"/>
        <v>0</v>
      </c>
      <c r="G618" s="130">
        <f t="shared" si="46"/>
        <v>0</v>
      </c>
      <c r="H618" s="133">
        <f t="shared" si="47"/>
        <v>0</v>
      </c>
      <c r="I618" s="134">
        <v>0</v>
      </c>
      <c r="J618" s="129">
        <f t="shared" si="48"/>
        <v>0</v>
      </c>
    </row>
    <row r="619" spans="1:10">
      <c r="A619" s="122">
        <v>612</v>
      </c>
      <c r="D619" s="130">
        <v>0</v>
      </c>
      <c r="E619" s="131">
        <f t="shared" si="45"/>
        <v>0</v>
      </c>
      <c r="F619" s="127">
        <f t="shared" si="49"/>
        <v>0</v>
      </c>
      <c r="G619" s="130">
        <f t="shared" si="46"/>
        <v>0</v>
      </c>
      <c r="H619" s="133">
        <f t="shared" si="47"/>
        <v>0</v>
      </c>
      <c r="I619" s="134">
        <v>0</v>
      </c>
      <c r="J619" s="129">
        <f t="shared" si="48"/>
        <v>0</v>
      </c>
    </row>
    <row r="620" spans="1:10">
      <c r="A620" s="122">
        <v>613</v>
      </c>
      <c r="D620" s="130">
        <v>0</v>
      </c>
      <c r="E620" s="131">
        <f t="shared" si="45"/>
        <v>0</v>
      </c>
      <c r="F620" s="127">
        <f t="shared" si="49"/>
        <v>0</v>
      </c>
      <c r="G620" s="130">
        <f t="shared" si="46"/>
        <v>0</v>
      </c>
      <c r="H620" s="133">
        <f t="shared" si="47"/>
        <v>0</v>
      </c>
      <c r="I620" s="134">
        <v>0</v>
      </c>
      <c r="J620" s="129">
        <f t="shared" si="48"/>
        <v>0</v>
      </c>
    </row>
    <row r="621" spans="1:10">
      <c r="A621" s="122">
        <v>614</v>
      </c>
      <c r="D621" s="130">
        <v>0</v>
      </c>
      <c r="E621" s="131">
        <f t="shared" si="45"/>
        <v>0</v>
      </c>
      <c r="F621" s="127">
        <f t="shared" si="49"/>
        <v>0</v>
      </c>
      <c r="G621" s="130">
        <f t="shared" si="46"/>
        <v>0</v>
      </c>
      <c r="H621" s="133">
        <f t="shared" si="47"/>
        <v>0</v>
      </c>
      <c r="I621" s="134">
        <v>0</v>
      </c>
      <c r="J621" s="129">
        <f t="shared" si="48"/>
        <v>0</v>
      </c>
    </row>
    <row r="622" spans="1:10">
      <c r="A622" s="122">
        <v>615</v>
      </c>
      <c r="D622" s="130">
        <v>0</v>
      </c>
      <c r="E622" s="131">
        <f t="shared" si="45"/>
        <v>0</v>
      </c>
      <c r="F622" s="127">
        <f t="shared" si="49"/>
        <v>0</v>
      </c>
      <c r="G622" s="130">
        <f t="shared" si="46"/>
        <v>0</v>
      </c>
      <c r="H622" s="133">
        <f t="shared" si="47"/>
        <v>0</v>
      </c>
      <c r="I622" s="134">
        <v>0</v>
      </c>
      <c r="J622" s="129">
        <f t="shared" si="48"/>
        <v>0</v>
      </c>
    </row>
    <row r="623" spans="1:10">
      <c r="A623" s="122">
        <v>616</v>
      </c>
      <c r="D623" s="130">
        <v>0</v>
      </c>
      <c r="E623" s="131">
        <f t="shared" si="45"/>
        <v>0</v>
      </c>
      <c r="F623" s="127">
        <f t="shared" si="49"/>
        <v>0</v>
      </c>
      <c r="G623" s="130">
        <f t="shared" si="46"/>
        <v>0</v>
      </c>
      <c r="H623" s="133">
        <f t="shared" si="47"/>
        <v>0</v>
      </c>
      <c r="I623" s="134">
        <v>0</v>
      </c>
      <c r="J623" s="129">
        <f t="shared" si="48"/>
        <v>0</v>
      </c>
    </row>
    <row r="624" spans="1:10">
      <c r="A624" s="122">
        <v>617</v>
      </c>
      <c r="D624" s="130">
        <v>0</v>
      </c>
      <c r="E624" s="131">
        <f t="shared" si="45"/>
        <v>0</v>
      </c>
      <c r="F624" s="127">
        <f t="shared" si="49"/>
        <v>0</v>
      </c>
      <c r="G624" s="130">
        <f t="shared" si="46"/>
        <v>0</v>
      </c>
      <c r="H624" s="133">
        <f t="shared" si="47"/>
        <v>0</v>
      </c>
      <c r="I624" s="134">
        <v>0</v>
      </c>
      <c r="J624" s="129">
        <f t="shared" si="48"/>
        <v>0</v>
      </c>
    </row>
    <row r="625" spans="1:10">
      <c r="A625" s="122">
        <v>618</v>
      </c>
      <c r="D625" s="130">
        <v>0</v>
      </c>
      <c r="E625" s="131">
        <f t="shared" si="45"/>
        <v>0</v>
      </c>
      <c r="F625" s="127">
        <f t="shared" si="49"/>
        <v>0</v>
      </c>
      <c r="G625" s="130">
        <f t="shared" si="46"/>
        <v>0</v>
      </c>
      <c r="H625" s="133">
        <f t="shared" si="47"/>
        <v>0</v>
      </c>
      <c r="I625" s="134">
        <v>0</v>
      </c>
      <c r="J625" s="129">
        <f t="shared" si="48"/>
        <v>0</v>
      </c>
    </row>
    <row r="626" spans="1:10">
      <c r="A626" s="122">
        <v>619</v>
      </c>
      <c r="D626" s="130">
        <v>0</v>
      </c>
      <c r="E626" s="131">
        <f t="shared" si="45"/>
        <v>0</v>
      </c>
      <c r="F626" s="127">
        <f t="shared" si="49"/>
        <v>0</v>
      </c>
      <c r="G626" s="130">
        <f t="shared" si="46"/>
        <v>0</v>
      </c>
      <c r="H626" s="133">
        <f t="shared" si="47"/>
        <v>0</v>
      </c>
      <c r="I626" s="134">
        <v>0</v>
      </c>
      <c r="J626" s="129">
        <f t="shared" si="48"/>
        <v>0</v>
      </c>
    </row>
    <row r="627" spans="1:10">
      <c r="A627" s="122">
        <v>620</v>
      </c>
      <c r="D627" s="130">
        <v>0</v>
      </c>
      <c r="E627" s="131">
        <f t="shared" si="45"/>
        <v>0</v>
      </c>
      <c r="F627" s="127">
        <f t="shared" si="49"/>
        <v>0</v>
      </c>
      <c r="G627" s="130">
        <f t="shared" si="46"/>
        <v>0</v>
      </c>
      <c r="H627" s="133">
        <f t="shared" si="47"/>
        <v>0</v>
      </c>
      <c r="I627" s="134">
        <v>0</v>
      </c>
      <c r="J627" s="129">
        <f t="shared" si="48"/>
        <v>0</v>
      </c>
    </row>
    <row r="628" spans="1:10">
      <c r="A628" s="122">
        <v>621</v>
      </c>
      <c r="D628" s="130">
        <v>0</v>
      </c>
      <c r="E628" s="131">
        <f t="shared" si="45"/>
        <v>0</v>
      </c>
      <c r="F628" s="127">
        <f t="shared" si="49"/>
        <v>0</v>
      </c>
      <c r="G628" s="130">
        <f t="shared" si="46"/>
        <v>0</v>
      </c>
      <c r="H628" s="133">
        <f t="shared" si="47"/>
        <v>0</v>
      </c>
      <c r="I628" s="134">
        <v>0</v>
      </c>
      <c r="J628" s="129">
        <f t="shared" si="48"/>
        <v>0</v>
      </c>
    </row>
    <row r="629" spans="1:10">
      <c r="A629" s="122">
        <v>622</v>
      </c>
      <c r="D629" s="130">
        <v>0</v>
      </c>
      <c r="E629" s="131">
        <f t="shared" si="45"/>
        <v>0</v>
      </c>
      <c r="F629" s="127">
        <f t="shared" si="49"/>
        <v>0</v>
      </c>
      <c r="G629" s="130">
        <f t="shared" si="46"/>
        <v>0</v>
      </c>
      <c r="H629" s="133">
        <f t="shared" si="47"/>
        <v>0</v>
      </c>
      <c r="I629" s="134">
        <v>0</v>
      </c>
      <c r="J629" s="129">
        <f t="shared" si="48"/>
        <v>0</v>
      </c>
    </row>
    <row r="630" spans="1:10">
      <c r="A630" s="122">
        <v>623</v>
      </c>
      <c r="D630" s="130">
        <v>0</v>
      </c>
      <c r="E630" s="131">
        <f t="shared" si="45"/>
        <v>0</v>
      </c>
      <c r="F630" s="127">
        <f t="shared" si="49"/>
        <v>0</v>
      </c>
      <c r="G630" s="130">
        <f t="shared" si="46"/>
        <v>0</v>
      </c>
      <c r="H630" s="133">
        <f t="shared" si="47"/>
        <v>0</v>
      </c>
      <c r="I630" s="134">
        <v>0</v>
      </c>
      <c r="J630" s="129">
        <f t="shared" si="48"/>
        <v>0</v>
      </c>
    </row>
    <row r="631" spans="1:10">
      <c r="A631" s="122">
        <v>624</v>
      </c>
      <c r="D631" s="130">
        <v>0</v>
      </c>
      <c r="E631" s="131">
        <f t="shared" si="45"/>
        <v>0</v>
      </c>
      <c r="F631" s="127">
        <f t="shared" si="49"/>
        <v>0</v>
      </c>
      <c r="G631" s="130">
        <f t="shared" si="46"/>
        <v>0</v>
      </c>
      <c r="H631" s="133">
        <f t="shared" si="47"/>
        <v>0</v>
      </c>
      <c r="I631" s="134">
        <v>0</v>
      </c>
      <c r="J631" s="129">
        <f t="shared" si="48"/>
        <v>0</v>
      </c>
    </row>
    <row r="632" spans="1:10">
      <c r="A632" s="122">
        <v>625</v>
      </c>
      <c r="D632" s="130">
        <v>0</v>
      </c>
      <c r="E632" s="131">
        <f t="shared" si="45"/>
        <v>0</v>
      </c>
      <c r="F632" s="127">
        <f t="shared" si="49"/>
        <v>0</v>
      </c>
      <c r="G632" s="130">
        <f t="shared" si="46"/>
        <v>0</v>
      </c>
      <c r="H632" s="133">
        <f t="shared" si="47"/>
        <v>0</v>
      </c>
      <c r="I632" s="134">
        <v>0</v>
      </c>
      <c r="J632" s="129">
        <f t="shared" si="48"/>
        <v>0</v>
      </c>
    </row>
    <row r="633" spans="1:10">
      <c r="A633" s="122">
        <v>626</v>
      </c>
      <c r="D633" s="130">
        <v>0</v>
      </c>
      <c r="E633" s="131">
        <f t="shared" si="45"/>
        <v>0</v>
      </c>
      <c r="F633" s="127">
        <f t="shared" si="49"/>
        <v>0</v>
      </c>
      <c r="G633" s="130">
        <f t="shared" si="46"/>
        <v>0</v>
      </c>
      <c r="H633" s="133">
        <f t="shared" si="47"/>
        <v>0</v>
      </c>
      <c r="I633" s="134">
        <v>0</v>
      </c>
      <c r="J633" s="129">
        <f t="shared" si="48"/>
        <v>0</v>
      </c>
    </row>
    <row r="634" spans="1:10">
      <c r="A634" s="122">
        <v>627</v>
      </c>
      <c r="D634" s="130">
        <v>0</v>
      </c>
      <c r="E634" s="131">
        <f t="shared" si="45"/>
        <v>0</v>
      </c>
      <c r="F634" s="127">
        <f t="shared" si="49"/>
        <v>0</v>
      </c>
      <c r="G634" s="130">
        <f t="shared" si="46"/>
        <v>0</v>
      </c>
      <c r="H634" s="133">
        <f t="shared" si="47"/>
        <v>0</v>
      </c>
      <c r="I634" s="134">
        <v>0</v>
      </c>
      <c r="J634" s="129">
        <f t="shared" si="48"/>
        <v>0</v>
      </c>
    </row>
    <row r="635" spans="1:10">
      <c r="A635" s="122">
        <v>628</v>
      </c>
      <c r="D635" s="130">
        <v>0</v>
      </c>
      <c r="E635" s="131">
        <f t="shared" si="45"/>
        <v>0</v>
      </c>
      <c r="F635" s="127">
        <f t="shared" si="49"/>
        <v>0</v>
      </c>
      <c r="G635" s="130">
        <f t="shared" si="46"/>
        <v>0</v>
      </c>
      <c r="H635" s="133">
        <f t="shared" si="47"/>
        <v>0</v>
      </c>
      <c r="I635" s="134">
        <v>0</v>
      </c>
      <c r="J635" s="129">
        <f t="shared" si="48"/>
        <v>0</v>
      </c>
    </row>
    <row r="636" spans="1:10">
      <c r="A636" s="122">
        <v>629</v>
      </c>
      <c r="D636" s="130">
        <v>0</v>
      </c>
      <c r="E636" s="131">
        <f t="shared" si="45"/>
        <v>0</v>
      </c>
      <c r="F636" s="127">
        <f t="shared" si="49"/>
        <v>0</v>
      </c>
      <c r="G636" s="130">
        <f t="shared" si="46"/>
        <v>0</v>
      </c>
      <c r="H636" s="133">
        <f t="shared" si="47"/>
        <v>0</v>
      </c>
      <c r="I636" s="134">
        <v>0</v>
      </c>
      <c r="J636" s="129">
        <f t="shared" si="48"/>
        <v>0</v>
      </c>
    </row>
    <row r="637" spans="1:10">
      <c r="A637" s="122">
        <v>630</v>
      </c>
      <c r="D637" s="130">
        <v>0</v>
      </c>
      <c r="E637" s="131">
        <f t="shared" si="45"/>
        <v>0</v>
      </c>
      <c r="F637" s="127">
        <f t="shared" si="49"/>
        <v>0</v>
      </c>
      <c r="G637" s="130">
        <f t="shared" si="46"/>
        <v>0</v>
      </c>
      <c r="H637" s="133">
        <f t="shared" si="47"/>
        <v>0</v>
      </c>
      <c r="I637" s="134">
        <v>0</v>
      </c>
      <c r="J637" s="129">
        <f t="shared" si="48"/>
        <v>0</v>
      </c>
    </row>
    <row r="638" spans="1:10">
      <c r="A638" s="122">
        <v>631</v>
      </c>
      <c r="D638" s="130">
        <v>0</v>
      </c>
      <c r="E638" s="131">
        <f t="shared" si="45"/>
        <v>0</v>
      </c>
      <c r="F638" s="127">
        <f t="shared" si="49"/>
        <v>0</v>
      </c>
      <c r="G638" s="130">
        <f t="shared" si="46"/>
        <v>0</v>
      </c>
      <c r="H638" s="133">
        <f t="shared" si="47"/>
        <v>0</v>
      </c>
      <c r="I638" s="134">
        <v>0</v>
      </c>
      <c r="J638" s="129">
        <f t="shared" si="48"/>
        <v>0</v>
      </c>
    </row>
    <row r="639" spans="1:10">
      <c r="A639" s="122">
        <v>632</v>
      </c>
      <c r="D639" s="130">
        <v>0</v>
      </c>
      <c r="E639" s="131">
        <f t="shared" si="45"/>
        <v>0</v>
      </c>
      <c r="F639" s="127">
        <f t="shared" si="49"/>
        <v>0</v>
      </c>
      <c r="G639" s="130">
        <f t="shared" si="46"/>
        <v>0</v>
      </c>
      <c r="H639" s="133">
        <f t="shared" si="47"/>
        <v>0</v>
      </c>
      <c r="I639" s="134">
        <v>0</v>
      </c>
      <c r="J639" s="129">
        <f t="shared" si="48"/>
        <v>0</v>
      </c>
    </row>
    <row r="640" spans="1:10">
      <c r="A640" s="122">
        <v>633</v>
      </c>
      <c r="D640" s="130">
        <v>0</v>
      </c>
      <c r="E640" s="131">
        <f t="shared" si="45"/>
        <v>0</v>
      </c>
      <c r="F640" s="127">
        <f t="shared" si="49"/>
        <v>0</v>
      </c>
      <c r="G640" s="130">
        <f t="shared" si="46"/>
        <v>0</v>
      </c>
      <c r="H640" s="133">
        <f t="shared" si="47"/>
        <v>0</v>
      </c>
      <c r="I640" s="134">
        <v>0</v>
      </c>
      <c r="J640" s="129">
        <f t="shared" si="48"/>
        <v>0</v>
      </c>
    </row>
    <row r="641" spans="1:10">
      <c r="A641" s="122">
        <v>634</v>
      </c>
      <c r="D641" s="130">
        <v>0</v>
      </c>
      <c r="E641" s="131">
        <f t="shared" si="45"/>
        <v>0</v>
      </c>
      <c r="F641" s="127">
        <f t="shared" si="49"/>
        <v>0</v>
      </c>
      <c r="G641" s="130">
        <f t="shared" si="46"/>
        <v>0</v>
      </c>
      <c r="H641" s="133">
        <f t="shared" si="47"/>
        <v>0</v>
      </c>
      <c r="I641" s="134">
        <v>0</v>
      </c>
      <c r="J641" s="129">
        <f t="shared" si="48"/>
        <v>0</v>
      </c>
    </row>
    <row r="642" spans="1:10">
      <c r="A642" s="122">
        <v>635</v>
      </c>
      <c r="D642" s="130">
        <v>0</v>
      </c>
      <c r="E642" s="131">
        <f t="shared" si="45"/>
        <v>0</v>
      </c>
      <c r="F642" s="127">
        <f t="shared" si="49"/>
        <v>0</v>
      </c>
      <c r="G642" s="130">
        <f t="shared" si="46"/>
        <v>0</v>
      </c>
      <c r="H642" s="133">
        <f t="shared" si="47"/>
        <v>0</v>
      </c>
      <c r="I642" s="134">
        <v>0</v>
      </c>
      <c r="J642" s="129">
        <f t="shared" si="48"/>
        <v>0</v>
      </c>
    </row>
    <row r="643" spans="1:10">
      <c r="A643" s="122">
        <v>636</v>
      </c>
      <c r="D643" s="130">
        <v>0</v>
      </c>
      <c r="E643" s="131">
        <f t="shared" si="45"/>
        <v>0</v>
      </c>
      <c r="F643" s="127">
        <f t="shared" si="49"/>
        <v>0</v>
      </c>
      <c r="G643" s="130">
        <f t="shared" si="46"/>
        <v>0</v>
      </c>
      <c r="H643" s="133">
        <f t="shared" si="47"/>
        <v>0</v>
      </c>
      <c r="I643" s="134">
        <v>0</v>
      </c>
      <c r="J643" s="129">
        <f t="shared" si="48"/>
        <v>0</v>
      </c>
    </row>
    <row r="644" spans="1:10">
      <c r="A644" s="122">
        <v>637</v>
      </c>
      <c r="D644" s="130">
        <v>0</v>
      </c>
      <c r="E644" s="131">
        <f t="shared" si="45"/>
        <v>0</v>
      </c>
      <c r="F644" s="127">
        <f t="shared" si="49"/>
        <v>0</v>
      </c>
      <c r="G644" s="130">
        <f t="shared" si="46"/>
        <v>0</v>
      </c>
      <c r="H644" s="133">
        <f t="shared" si="47"/>
        <v>0</v>
      </c>
      <c r="I644" s="134">
        <v>0</v>
      </c>
      <c r="J644" s="129">
        <f t="shared" si="48"/>
        <v>0</v>
      </c>
    </row>
    <row r="645" spans="1:10">
      <c r="A645" s="122">
        <v>638</v>
      </c>
      <c r="D645" s="130">
        <v>0</v>
      </c>
      <c r="E645" s="131">
        <f t="shared" si="45"/>
        <v>0</v>
      </c>
      <c r="F645" s="127">
        <f t="shared" si="49"/>
        <v>0</v>
      </c>
      <c r="G645" s="130">
        <f t="shared" si="46"/>
        <v>0</v>
      </c>
      <c r="H645" s="133">
        <f t="shared" si="47"/>
        <v>0</v>
      </c>
      <c r="I645" s="134">
        <v>0</v>
      </c>
      <c r="J645" s="129">
        <f t="shared" si="48"/>
        <v>0</v>
      </c>
    </row>
    <row r="646" spans="1:10">
      <c r="A646" s="122">
        <v>639</v>
      </c>
      <c r="D646" s="130">
        <v>0</v>
      </c>
      <c r="E646" s="131">
        <f t="shared" si="45"/>
        <v>0</v>
      </c>
      <c r="F646" s="127">
        <f t="shared" si="49"/>
        <v>0</v>
      </c>
      <c r="G646" s="130">
        <f t="shared" si="46"/>
        <v>0</v>
      </c>
      <c r="H646" s="133">
        <f t="shared" si="47"/>
        <v>0</v>
      </c>
      <c r="I646" s="134">
        <v>0</v>
      </c>
      <c r="J646" s="129">
        <f t="shared" si="48"/>
        <v>0</v>
      </c>
    </row>
    <row r="647" spans="1:10">
      <c r="A647" s="122">
        <v>640</v>
      </c>
      <c r="D647" s="130">
        <v>0</v>
      </c>
      <c r="E647" s="131">
        <f t="shared" si="45"/>
        <v>0</v>
      </c>
      <c r="F647" s="127">
        <f t="shared" si="49"/>
        <v>0</v>
      </c>
      <c r="G647" s="130">
        <f t="shared" si="46"/>
        <v>0</v>
      </c>
      <c r="H647" s="133">
        <f t="shared" si="47"/>
        <v>0</v>
      </c>
      <c r="I647" s="134">
        <v>0</v>
      </c>
      <c r="J647" s="129">
        <f t="shared" si="48"/>
        <v>0</v>
      </c>
    </row>
    <row r="648" spans="1:10">
      <c r="A648" s="122">
        <v>641</v>
      </c>
      <c r="D648" s="130">
        <v>0</v>
      </c>
      <c r="E648" s="131">
        <f t="shared" ref="E648:E683" si="50">IF(D648&lt;=300000,0,IF(D648&gt;=20000000,(D648*0.21),(D648*0.2)+200000))</f>
        <v>0</v>
      </c>
      <c r="F648" s="127">
        <f t="shared" si="49"/>
        <v>0</v>
      </c>
      <c r="G648" s="130">
        <f t="shared" ref="G648:G683" si="51">IF(E648=0,(D648*0.01),IF(F648&lt;=0,0.01*D648,IF(AND(F648&gt;0,F648&lt;=300000),F648*7%,IF(AND(F648&gt;=300000,F648&lt;600000),21000+(F648-300000)*11%,IF(AND(F648&gt;=600000,F648&lt;1100000),54000+(F648-600000)*15%,IF(AND(F648&gt;=1100000,F648&lt;1600000),129000+(F648-1100000)*19%,IF(AND(F648&gt;=1600000,F648&lt;3200000),224000+(F648-1600000)*21%,560000+(F648-3200000)*24%)))))))</f>
        <v>0</v>
      </c>
      <c r="H648" s="133">
        <f t="shared" ref="H648:H683" si="52">G648/12</f>
        <v>0</v>
      </c>
      <c r="I648" s="134">
        <v>0</v>
      </c>
      <c r="J648" s="129">
        <f t="shared" ref="J648:J683" si="53">+H648*I648</f>
        <v>0</v>
      </c>
    </row>
    <row r="649" spans="1:10">
      <c r="A649" s="122">
        <v>642</v>
      </c>
      <c r="D649" s="130">
        <v>0</v>
      </c>
      <c r="E649" s="131">
        <f t="shared" si="50"/>
        <v>0</v>
      </c>
      <c r="F649" s="127">
        <f t="shared" ref="F649:F683" si="54">+D649-E649</f>
        <v>0</v>
      </c>
      <c r="G649" s="130">
        <f t="shared" si="51"/>
        <v>0</v>
      </c>
      <c r="H649" s="133">
        <f t="shared" si="52"/>
        <v>0</v>
      </c>
      <c r="I649" s="134">
        <v>0</v>
      </c>
      <c r="J649" s="129">
        <f t="shared" si="53"/>
        <v>0</v>
      </c>
    </row>
    <row r="650" spans="1:10">
      <c r="A650" s="122">
        <v>643</v>
      </c>
      <c r="D650" s="130">
        <v>0</v>
      </c>
      <c r="E650" s="131">
        <f t="shared" si="50"/>
        <v>0</v>
      </c>
      <c r="F650" s="127">
        <f t="shared" si="54"/>
        <v>0</v>
      </c>
      <c r="G650" s="130">
        <f t="shared" si="51"/>
        <v>0</v>
      </c>
      <c r="H650" s="133">
        <f t="shared" si="52"/>
        <v>0</v>
      </c>
      <c r="I650" s="134">
        <v>0</v>
      </c>
      <c r="J650" s="129">
        <f t="shared" si="53"/>
        <v>0</v>
      </c>
    </row>
    <row r="651" spans="1:10">
      <c r="A651" s="122">
        <v>644</v>
      </c>
      <c r="D651" s="130">
        <v>0</v>
      </c>
      <c r="E651" s="131">
        <f t="shared" si="50"/>
        <v>0</v>
      </c>
      <c r="F651" s="127">
        <f t="shared" si="54"/>
        <v>0</v>
      </c>
      <c r="G651" s="130">
        <f t="shared" si="51"/>
        <v>0</v>
      </c>
      <c r="H651" s="133">
        <f t="shared" si="52"/>
        <v>0</v>
      </c>
      <c r="I651" s="134">
        <v>0</v>
      </c>
      <c r="J651" s="129">
        <f t="shared" si="53"/>
        <v>0</v>
      </c>
    </row>
    <row r="652" spans="1:10">
      <c r="A652" s="122">
        <v>645</v>
      </c>
      <c r="D652" s="130">
        <v>0</v>
      </c>
      <c r="E652" s="131">
        <f t="shared" si="50"/>
        <v>0</v>
      </c>
      <c r="F652" s="127">
        <f t="shared" si="54"/>
        <v>0</v>
      </c>
      <c r="G652" s="130">
        <f t="shared" si="51"/>
        <v>0</v>
      </c>
      <c r="H652" s="133">
        <f t="shared" si="52"/>
        <v>0</v>
      </c>
      <c r="I652" s="134">
        <v>0</v>
      </c>
      <c r="J652" s="129">
        <f t="shared" si="53"/>
        <v>0</v>
      </c>
    </row>
    <row r="653" spans="1:10">
      <c r="A653" s="122">
        <v>646</v>
      </c>
      <c r="D653" s="130">
        <v>0</v>
      </c>
      <c r="E653" s="131">
        <f t="shared" si="50"/>
        <v>0</v>
      </c>
      <c r="F653" s="127">
        <f t="shared" si="54"/>
        <v>0</v>
      </c>
      <c r="G653" s="130">
        <f t="shared" si="51"/>
        <v>0</v>
      </c>
      <c r="H653" s="133">
        <f t="shared" si="52"/>
        <v>0</v>
      </c>
      <c r="I653" s="134">
        <v>0</v>
      </c>
      <c r="J653" s="129">
        <f t="shared" si="53"/>
        <v>0</v>
      </c>
    </row>
    <row r="654" spans="1:10">
      <c r="A654" s="122">
        <v>647</v>
      </c>
      <c r="D654" s="130">
        <v>0</v>
      </c>
      <c r="E654" s="131">
        <f t="shared" si="50"/>
        <v>0</v>
      </c>
      <c r="F654" s="127">
        <f t="shared" si="54"/>
        <v>0</v>
      </c>
      <c r="G654" s="130">
        <f t="shared" si="51"/>
        <v>0</v>
      </c>
      <c r="H654" s="133">
        <f t="shared" si="52"/>
        <v>0</v>
      </c>
      <c r="I654" s="134">
        <v>0</v>
      </c>
      <c r="J654" s="129">
        <f t="shared" si="53"/>
        <v>0</v>
      </c>
    </row>
    <row r="655" spans="1:10">
      <c r="A655" s="122">
        <v>648</v>
      </c>
      <c r="D655" s="130">
        <v>0</v>
      </c>
      <c r="E655" s="131">
        <f t="shared" si="50"/>
        <v>0</v>
      </c>
      <c r="F655" s="127">
        <f t="shared" si="54"/>
        <v>0</v>
      </c>
      <c r="G655" s="130">
        <f t="shared" si="51"/>
        <v>0</v>
      </c>
      <c r="H655" s="133">
        <f t="shared" si="52"/>
        <v>0</v>
      </c>
      <c r="I655" s="134">
        <v>0</v>
      </c>
      <c r="J655" s="129">
        <f t="shared" si="53"/>
        <v>0</v>
      </c>
    </row>
    <row r="656" spans="1:10">
      <c r="A656" s="122">
        <v>649</v>
      </c>
      <c r="D656" s="130">
        <v>0</v>
      </c>
      <c r="E656" s="131">
        <f t="shared" si="50"/>
        <v>0</v>
      </c>
      <c r="F656" s="127">
        <f t="shared" si="54"/>
        <v>0</v>
      </c>
      <c r="G656" s="130">
        <f t="shared" si="51"/>
        <v>0</v>
      </c>
      <c r="H656" s="133">
        <f t="shared" si="52"/>
        <v>0</v>
      </c>
      <c r="I656" s="134">
        <v>0</v>
      </c>
      <c r="J656" s="129">
        <f t="shared" si="53"/>
        <v>0</v>
      </c>
    </row>
    <row r="657" spans="1:10">
      <c r="A657" s="122">
        <v>650</v>
      </c>
      <c r="D657" s="130">
        <v>0</v>
      </c>
      <c r="E657" s="131">
        <f t="shared" si="50"/>
        <v>0</v>
      </c>
      <c r="F657" s="127">
        <f t="shared" si="54"/>
        <v>0</v>
      </c>
      <c r="G657" s="130">
        <f t="shared" si="51"/>
        <v>0</v>
      </c>
      <c r="H657" s="133">
        <f t="shared" si="52"/>
        <v>0</v>
      </c>
      <c r="I657" s="134">
        <v>0</v>
      </c>
      <c r="J657" s="129">
        <f t="shared" si="53"/>
        <v>0</v>
      </c>
    </row>
    <row r="658" spans="1:10">
      <c r="A658" s="122">
        <v>651</v>
      </c>
      <c r="D658" s="130">
        <v>0</v>
      </c>
      <c r="E658" s="131">
        <f t="shared" si="50"/>
        <v>0</v>
      </c>
      <c r="F658" s="127">
        <f t="shared" si="54"/>
        <v>0</v>
      </c>
      <c r="G658" s="130">
        <f t="shared" si="51"/>
        <v>0</v>
      </c>
      <c r="H658" s="133">
        <f t="shared" si="52"/>
        <v>0</v>
      </c>
      <c r="I658" s="134">
        <v>0</v>
      </c>
      <c r="J658" s="129">
        <f t="shared" si="53"/>
        <v>0</v>
      </c>
    </row>
    <row r="659" spans="1:10">
      <c r="A659" s="122">
        <v>652</v>
      </c>
      <c r="D659" s="130">
        <v>0</v>
      </c>
      <c r="E659" s="131">
        <f t="shared" si="50"/>
        <v>0</v>
      </c>
      <c r="F659" s="127">
        <f t="shared" si="54"/>
        <v>0</v>
      </c>
      <c r="G659" s="130">
        <f t="shared" si="51"/>
        <v>0</v>
      </c>
      <c r="H659" s="133">
        <f t="shared" si="52"/>
        <v>0</v>
      </c>
      <c r="I659" s="134">
        <v>0</v>
      </c>
      <c r="J659" s="129">
        <f t="shared" si="53"/>
        <v>0</v>
      </c>
    </row>
    <row r="660" spans="1:10">
      <c r="A660" s="122">
        <v>653</v>
      </c>
      <c r="D660" s="130">
        <v>0</v>
      </c>
      <c r="E660" s="131">
        <f t="shared" si="50"/>
        <v>0</v>
      </c>
      <c r="F660" s="127">
        <f t="shared" si="54"/>
        <v>0</v>
      </c>
      <c r="G660" s="130">
        <f t="shared" si="51"/>
        <v>0</v>
      </c>
      <c r="H660" s="133">
        <f t="shared" si="52"/>
        <v>0</v>
      </c>
      <c r="I660" s="134">
        <v>0</v>
      </c>
      <c r="J660" s="129">
        <f t="shared" si="53"/>
        <v>0</v>
      </c>
    </row>
    <row r="661" spans="1:10">
      <c r="A661" s="122">
        <v>654</v>
      </c>
      <c r="D661" s="130">
        <v>0</v>
      </c>
      <c r="E661" s="131">
        <f t="shared" si="50"/>
        <v>0</v>
      </c>
      <c r="F661" s="127">
        <f t="shared" si="54"/>
        <v>0</v>
      </c>
      <c r="G661" s="130">
        <f t="shared" si="51"/>
        <v>0</v>
      </c>
      <c r="H661" s="133">
        <f t="shared" si="52"/>
        <v>0</v>
      </c>
      <c r="I661" s="134">
        <v>0</v>
      </c>
      <c r="J661" s="129">
        <f t="shared" si="53"/>
        <v>0</v>
      </c>
    </row>
    <row r="662" spans="1:10">
      <c r="A662" s="122">
        <v>655</v>
      </c>
      <c r="D662" s="130">
        <v>0</v>
      </c>
      <c r="E662" s="131">
        <f t="shared" si="50"/>
        <v>0</v>
      </c>
      <c r="F662" s="127">
        <f t="shared" si="54"/>
        <v>0</v>
      </c>
      <c r="G662" s="130">
        <f t="shared" si="51"/>
        <v>0</v>
      </c>
      <c r="H662" s="133">
        <f t="shared" si="52"/>
        <v>0</v>
      </c>
      <c r="I662" s="134">
        <v>0</v>
      </c>
      <c r="J662" s="129">
        <f t="shared" si="53"/>
        <v>0</v>
      </c>
    </row>
    <row r="663" spans="1:10">
      <c r="A663" s="122">
        <v>656</v>
      </c>
      <c r="D663" s="130">
        <v>0</v>
      </c>
      <c r="E663" s="131">
        <f t="shared" si="50"/>
        <v>0</v>
      </c>
      <c r="F663" s="127">
        <f t="shared" si="54"/>
        <v>0</v>
      </c>
      <c r="G663" s="130">
        <f t="shared" si="51"/>
        <v>0</v>
      </c>
      <c r="H663" s="133">
        <f t="shared" si="52"/>
        <v>0</v>
      </c>
      <c r="I663" s="134">
        <v>0</v>
      </c>
      <c r="J663" s="129">
        <f t="shared" si="53"/>
        <v>0</v>
      </c>
    </row>
    <row r="664" spans="1:10">
      <c r="A664" s="122">
        <v>657</v>
      </c>
      <c r="D664" s="130">
        <v>0</v>
      </c>
      <c r="E664" s="131">
        <f t="shared" si="50"/>
        <v>0</v>
      </c>
      <c r="F664" s="127">
        <f t="shared" si="54"/>
        <v>0</v>
      </c>
      <c r="G664" s="130">
        <f t="shared" si="51"/>
        <v>0</v>
      </c>
      <c r="H664" s="133">
        <f t="shared" si="52"/>
        <v>0</v>
      </c>
      <c r="I664" s="134">
        <v>0</v>
      </c>
      <c r="J664" s="129">
        <f t="shared" si="53"/>
        <v>0</v>
      </c>
    </row>
    <row r="665" spans="1:10">
      <c r="A665" s="122">
        <v>658</v>
      </c>
      <c r="D665" s="130">
        <v>0</v>
      </c>
      <c r="E665" s="131">
        <f t="shared" si="50"/>
        <v>0</v>
      </c>
      <c r="F665" s="127">
        <f t="shared" si="54"/>
        <v>0</v>
      </c>
      <c r="G665" s="130">
        <f t="shared" si="51"/>
        <v>0</v>
      </c>
      <c r="H665" s="133">
        <f t="shared" si="52"/>
        <v>0</v>
      </c>
      <c r="I665" s="134">
        <v>0</v>
      </c>
      <c r="J665" s="129">
        <f t="shared" si="53"/>
        <v>0</v>
      </c>
    </row>
    <row r="666" spans="1:10">
      <c r="A666" s="122">
        <v>659</v>
      </c>
      <c r="D666" s="130">
        <v>0</v>
      </c>
      <c r="E666" s="131">
        <f t="shared" si="50"/>
        <v>0</v>
      </c>
      <c r="F666" s="127">
        <f t="shared" si="54"/>
        <v>0</v>
      </c>
      <c r="G666" s="130">
        <f t="shared" si="51"/>
        <v>0</v>
      </c>
      <c r="H666" s="133">
        <f t="shared" si="52"/>
        <v>0</v>
      </c>
      <c r="I666" s="134">
        <v>0</v>
      </c>
      <c r="J666" s="129">
        <f t="shared" si="53"/>
        <v>0</v>
      </c>
    </row>
    <row r="667" spans="1:10">
      <c r="A667" s="122">
        <v>660</v>
      </c>
      <c r="D667" s="130">
        <v>0</v>
      </c>
      <c r="E667" s="131">
        <f t="shared" si="50"/>
        <v>0</v>
      </c>
      <c r="F667" s="127">
        <f t="shared" si="54"/>
        <v>0</v>
      </c>
      <c r="G667" s="130">
        <f t="shared" si="51"/>
        <v>0</v>
      </c>
      <c r="H667" s="133">
        <f t="shared" si="52"/>
        <v>0</v>
      </c>
      <c r="I667" s="134">
        <v>0</v>
      </c>
      <c r="J667" s="129">
        <f t="shared" si="53"/>
        <v>0</v>
      </c>
    </row>
    <row r="668" spans="1:10">
      <c r="A668" s="122">
        <v>661</v>
      </c>
      <c r="D668" s="130">
        <v>0</v>
      </c>
      <c r="E668" s="131">
        <f t="shared" si="50"/>
        <v>0</v>
      </c>
      <c r="F668" s="127">
        <f t="shared" si="54"/>
        <v>0</v>
      </c>
      <c r="G668" s="130">
        <f t="shared" si="51"/>
        <v>0</v>
      </c>
      <c r="H668" s="133">
        <f t="shared" si="52"/>
        <v>0</v>
      </c>
      <c r="I668" s="134">
        <v>0</v>
      </c>
      <c r="J668" s="129">
        <f t="shared" si="53"/>
        <v>0</v>
      </c>
    </row>
    <row r="669" spans="1:10">
      <c r="A669" s="122">
        <v>662</v>
      </c>
      <c r="D669" s="130">
        <v>0</v>
      </c>
      <c r="E669" s="131">
        <f t="shared" si="50"/>
        <v>0</v>
      </c>
      <c r="F669" s="127">
        <f t="shared" si="54"/>
        <v>0</v>
      </c>
      <c r="G669" s="130">
        <f t="shared" si="51"/>
        <v>0</v>
      </c>
      <c r="H669" s="133">
        <f t="shared" si="52"/>
        <v>0</v>
      </c>
      <c r="I669" s="134">
        <v>0</v>
      </c>
      <c r="J669" s="129">
        <f t="shared" si="53"/>
        <v>0</v>
      </c>
    </row>
    <row r="670" spans="1:10">
      <c r="A670" s="122">
        <v>663</v>
      </c>
      <c r="D670" s="130">
        <v>0</v>
      </c>
      <c r="E670" s="131">
        <f t="shared" si="50"/>
        <v>0</v>
      </c>
      <c r="F670" s="127">
        <f t="shared" si="54"/>
        <v>0</v>
      </c>
      <c r="G670" s="130">
        <f t="shared" si="51"/>
        <v>0</v>
      </c>
      <c r="H670" s="133">
        <f t="shared" si="52"/>
        <v>0</v>
      </c>
      <c r="I670" s="134">
        <v>0</v>
      </c>
      <c r="J670" s="129">
        <f t="shared" si="53"/>
        <v>0</v>
      </c>
    </row>
    <row r="671" spans="1:10">
      <c r="A671" s="122">
        <v>664</v>
      </c>
      <c r="D671" s="130">
        <v>0</v>
      </c>
      <c r="E671" s="131">
        <f t="shared" si="50"/>
        <v>0</v>
      </c>
      <c r="F671" s="127">
        <f t="shared" si="54"/>
        <v>0</v>
      </c>
      <c r="G671" s="130">
        <f t="shared" si="51"/>
        <v>0</v>
      </c>
      <c r="H671" s="133">
        <f t="shared" si="52"/>
        <v>0</v>
      </c>
      <c r="I671" s="134">
        <v>0</v>
      </c>
      <c r="J671" s="129">
        <f t="shared" si="53"/>
        <v>0</v>
      </c>
    </row>
    <row r="672" spans="1:10">
      <c r="A672" s="122">
        <v>665</v>
      </c>
      <c r="D672" s="130">
        <v>0</v>
      </c>
      <c r="E672" s="131">
        <f t="shared" si="50"/>
        <v>0</v>
      </c>
      <c r="F672" s="127">
        <f t="shared" si="54"/>
        <v>0</v>
      </c>
      <c r="G672" s="130">
        <f t="shared" si="51"/>
        <v>0</v>
      </c>
      <c r="H672" s="133">
        <f t="shared" si="52"/>
        <v>0</v>
      </c>
      <c r="I672" s="134">
        <v>0</v>
      </c>
      <c r="J672" s="129">
        <f t="shared" si="53"/>
        <v>0</v>
      </c>
    </row>
    <row r="673" spans="1:10">
      <c r="A673" s="122">
        <v>666</v>
      </c>
      <c r="D673" s="130">
        <v>0</v>
      </c>
      <c r="E673" s="131">
        <f t="shared" si="50"/>
        <v>0</v>
      </c>
      <c r="F673" s="127">
        <f t="shared" si="54"/>
        <v>0</v>
      </c>
      <c r="G673" s="130">
        <f t="shared" si="51"/>
        <v>0</v>
      </c>
      <c r="H673" s="133">
        <f t="shared" si="52"/>
        <v>0</v>
      </c>
      <c r="I673" s="134">
        <v>0</v>
      </c>
      <c r="J673" s="129">
        <f t="shared" si="53"/>
        <v>0</v>
      </c>
    </row>
    <row r="674" spans="1:10">
      <c r="A674" s="122">
        <v>667</v>
      </c>
      <c r="D674" s="130">
        <v>0</v>
      </c>
      <c r="E674" s="131">
        <f t="shared" si="50"/>
        <v>0</v>
      </c>
      <c r="F674" s="127">
        <f t="shared" si="54"/>
        <v>0</v>
      </c>
      <c r="G674" s="130">
        <f t="shared" si="51"/>
        <v>0</v>
      </c>
      <c r="H674" s="133">
        <f t="shared" si="52"/>
        <v>0</v>
      </c>
      <c r="I674" s="134">
        <v>0</v>
      </c>
      <c r="J674" s="129">
        <f t="shared" si="53"/>
        <v>0</v>
      </c>
    </row>
    <row r="675" spans="1:10">
      <c r="A675" s="122">
        <v>668</v>
      </c>
      <c r="D675" s="130">
        <v>0</v>
      </c>
      <c r="E675" s="131">
        <f t="shared" si="50"/>
        <v>0</v>
      </c>
      <c r="F675" s="127">
        <f t="shared" si="54"/>
        <v>0</v>
      </c>
      <c r="G675" s="130">
        <f t="shared" si="51"/>
        <v>0</v>
      </c>
      <c r="H675" s="133">
        <f t="shared" si="52"/>
        <v>0</v>
      </c>
      <c r="I675" s="134">
        <v>0</v>
      </c>
      <c r="J675" s="129">
        <f t="shared" si="53"/>
        <v>0</v>
      </c>
    </row>
    <row r="676" spans="1:10">
      <c r="A676" s="122">
        <v>669</v>
      </c>
      <c r="D676" s="130">
        <v>0</v>
      </c>
      <c r="E676" s="131">
        <f t="shared" si="50"/>
        <v>0</v>
      </c>
      <c r="F676" s="127">
        <f t="shared" si="54"/>
        <v>0</v>
      </c>
      <c r="G676" s="130">
        <f t="shared" si="51"/>
        <v>0</v>
      </c>
      <c r="H676" s="133">
        <f t="shared" si="52"/>
        <v>0</v>
      </c>
      <c r="I676" s="134">
        <v>0</v>
      </c>
      <c r="J676" s="129">
        <f t="shared" si="53"/>
        <v>0</v>
      </c>
    </row>
    <row r="677" spans="1:10">
      <c r="A677" s="122">
        <v>670</v>
      </c>
      <c r="D677" s="130">
        <v>0</v>
      </c>
      <c r="E677" s="131">
        <f t="shared" si="50"/>
        <v>0</v>
      </c>
      <c r="F677" s="127">
        <f t="shared" si="54"/>
        <v>0</v>
      </c>
      <c r="G677" s="130">
        <f t="shared" si="51"/>
        <v>0</v>
      </c>
      <c r="H677" s="133">
        <f t="shared" si="52"/>
        <v>0</v>
      </c>
      <c r="I677" s="134">
        <v>0</v>
      </c>
      <c r="J677" s="129">
        <f t="shared" si="53"/>
        <v>0</v>
      </c>
    </row>
    <row r="678" spans="1:10">
      <c r="A678" s="122">
        <v>671</v>
      </c>
      <c r="D678" s="130">
        <v>0</v>
      </c>
      <c r="E678" s="131">
        <f t="shared" si="50"/>
        <v>0</v>
      </c>
      <c r="F678" s="127">
        <f t="shared" si="54"/>
        <v>0</v>
      </c>
      <c r="G678" s="130">
        <f t="shared" si="51"/>
        <v>0</v>
      </c>
      <c r="H678" s="133">
        <f t="shared" si="52"/>
        <v>0</v>
      </c>
      <c r="I678" s="134">
        <v>0</v>
      </c>
      <c r="J678" s="129">
        <f t="shared" si="53"/>
        <v>0</v>
      </c>
    </row>
    <row r="679" spans="1:10">
      <c r="A679" s="122">
        <v>672</v>
      </c>
      <c r="D679" s="130">
        <v>0</v>
      </c>
      <c r="E679" s="131">
        <f t="shared" si="50"/>
        <v>0</v>
      </c>
      <c r="F679" s="127">
        <f t="shared" si="54"/>
        <v>0</v>
      </c>
      <c r="G679" s="130">
        <f t="shared" si="51"/>
        <v>0</v>
      </c>
      <c r="H679" s="133">
        <f t="shared" si="52"/>
        <v>0</v>
      </c>
      <c r="I679" s="134">
        <v>0</v>
      </c>
      <c r="J679" s="129">
        <f t="shared" si="53"/>
        <v>0</v>
      </c>
    </row>
    <row r="680" spans="1:10">
      <c r="A680" s="122">
        <v>673</v>
      </c>
      <c r="D680" s="130">
        <v>0</v>
      </c>
      <c r="E680" s="131">
        <f t="shared" si="50"/>
        <v>0</v>
      </c>
      <c r="F680" s="127">
        <f t="shared" si="54"/>
        <v>0</v>
      </c>
      <c r="G680" s="130">
        <f t="shared" si="51"/>
        <v>0</v>
      </c>
      <c r="H680" s="133">
        <f t="shared" si="52"/>
        <v>0</v>
      </c>
      <c r="I680" s="134">
        <v>0</v>
      </c>
      <c r="J680" s="129">
        <f t="shared" si="53"/>
        <v>0</v>
      </c>
    </row>
    <row r="681" spans="1:10">
      <c r="A681" s="122">
        <v>674</v>
      </c>
      <c r="D681" s="130">
        <v>0</v>
      </c>
      <c r="E681" s="131">
        <f t="shared" si="50"/>
        <v>0</v>
      </c>
      <c r="F681" s="127">
        <f t="shared" si="54"/>
        <v>0</v>
      </c>
      <c r="G681" s="130">
        <f t="shared" si="51"/>
        <v>0</v>
      </c>
      <c r="H681" s="133">
        <f t="shared" si="52"/>
        <v>0</v>
      </c>
      <c r="I681" s="134">
        <v>0</v>
      </c>
      <c r="J681" s="129">
        <f t="shared" si="53"/>
        <v>0</v>
      </c>
    </row>
    <row r="682" spans="1:10">
      <c r="A682" s="122">
        <v>675</v>
      </c>
      <c r="D682" s="130">
        <v>0</v>
      </c>
      <c r="E682" s="131">
        <f t="shared" si="50"/>
        <v>0</v>
      </c>
      <c r="F682" s="127">
        <f t="shared" si="54"/>
        <v>0</v>
      </c>
      <c r="G682" s="130">
        <f t="shared" si="51"/>
        <v>0</v>
      </c>
      <c r="H682" s="133">
        <f t="shared" si="52"/>
        <v>0</v>
      </c>
      <c r="I682" s="134">
        <v>0</v>
      </c>
      <c r="J682" s="129">
        <f t="shared" si="53"/>
        <v>0</v>
      </c>
    </row>
    <row r="683" spans="1:10">
      <c r="A683" s="122">
        <v>676</v>
      </c>
      <c r="D683" s="130">
        <v>0</v>
      </c>
      <c r="E683" s="131">
        <f t="shared" si="50"/>
        <v>0</v>
      </c>
      <c r="F683" s="127">
        <f t="shared" si="54"/>
        <v>0</v>
      </c>
      <c r="G683" s="130">
        <f t="shared" si="51"/>
        <v>0</v>
      </c>
      <c r="H683" s="133">
        <f t="shared" si="52"/>
        <v>0</v>
      </c>
      <c r="I683" s="134">
        <v>0</v>
      </c>
      <c r="J683" s="129">
        <f t="shared" si="53"/>
        <v>0</v>
      </c>
    </row>
    <row r="684" spans="1:10">
      <c r="D684" s="130"/>
      <c r="E684" s="136"/>
      <c r="F684" s="132"/>
      <c r="G684" s="130"/>
      <c r="H684" s="133"/>
      <c r="I684" s="137"/>
      <c r="J684" s="135"/>
    </row>
    <row r="685" spans="1:10" s="139" customFormat="1">
      <c r="A685" s="138"/>
      <c r="D685" s="140">
        <f>SUM(D8:D683)</f>
        <v>0</v>
      </c>
      <c r="E685" s="140">
        <f>SUM(E8:E683)</f>
        <v>0</v>
      </c>
      <c r="F685" s="140">
        <f>SUM(F8:F683)</f>
        <v>0</v>
      </c>
      <c r="G685" s="140">
        <f>SUM(G8:G683)</f>
        <v>0</v>
      </c>
      <c r="H685" s="140">
        <f>SUM(H8:H683)</f>
        <v>0</v>
      </c>
      <c r="I685" s="138"/>
      <c r="J685" s="140">
        <f>SUM(J8:J683)</f>
        <v>0</v>
      </c>
    </row>
  </sheetData>
  <printOptions gridLines="1"/>
  <pageMargins left="0.7" right="0.7" top="0.75" bottom="0.75" header="0.3" footer="0.3"/>
  <pageSetup paperSize="9" scale="71" fitToHeight="0" orientation="landscape" horizontalDpi="0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C8B3-1184-4CA7-B3A9-E2773392C041}">
  <dimension ref="B1:F37"/>
  <sheetViews>
    <sheetView workbookViewId="0">
      <selection activeCell="D59" sqref="D59"/>
    </sheetView>
  </sheetViews>
  <sheetFormatPr defaultColWidth="9.16796875" defaultRowHeight="15"/>
  <cols>
    <col min="1" max="1" width="7.55078125" style="142" customWidth="1"/>
    <col min="2" max="2" width="45.30859375" style="142" customWidth="1"/>
    <col min="3" max="3" width="29.39453125" style="142" customWidth="1"/>
    <col min="4" max="4" width="23.05859375" style="142" customWidth="1"/>
    <col min="5" max="5" width="31.1484375" style="142" customWidth="1"/>
    <col min="6" max="6" width="28.85546875" style="142" customWidth="1"/>
    <col min="7" max="7" width="15.23828125" style="142" bestFit="1" customWidth="1"/>
    <col min="8" max="16384" width="9.16796875" style="142"/>
  </cols>
  <sheetData>
    <row r="1" spans="2:5">
      <c r="B1" s="208" t="s">
        <v>811</v>
      </c>
      <c r="C1" s="172"/>
      <c r="D1" s="172"/>
      <c r="E1" s="141"/>
    </row>
    <row r="2" spans="2:5">
      <c r="B2" s="167"/>
      <c r="C2" s="167"/>
      <c r="D2" s="167"/>
      <c r="E2" s="141"/>
    </row>
    <row r="3" spans="2:5">
      <c r="B3" s="167"/>
      <c r="C3" s="143">
        <v>2023</v>
      </c>
      <c r="D3" s="143">
        <v>2024</v>
      </c>
      <c r="E3" s="144" t="s">
        <v>133</v>
      </c>
    </row>
    <row r="4" spans="2:5" ht="17.25">
      <c r="B4" s="145" t="s">
        <v>1</v>
      </c>
      <c r="C4" s="141"/>
      <c r="D4" s="141"/>
      <c r="E4" s="141"/>
    </row>
    <row r="5" spans="2:5">
      <c r="B5" s="146" t="s">
        <v>196</v>
      </c>
      <c r="C5" s="141"/>
      <c r="D5" s="141"/>
      <c r="E5" s="141"/>
    </row>
    <row r="6" spans="2:5">
      <c r="B6" s="147" t="s">
        <v>197</v>
      </c>
      <c r="C6" s="169">
        <f>+'local 23'!U127</f>
        <v>3423008</v>
      </c>
      <c r="D6" s="168">
        <f>+'local 24'!T128</f>
        <v>3378841.5999999996</v>
      </c>
      <c r="E6" s="209">
        <f>SUM(C6:D6)</f>
        <v>6801849.5999999996</v>
      </c>
    </row>
    <row r="7" spans="2:5">
      <c r="B7" s="147" t="s">
        <v>90</v>
      </c>
      <c r="C7" s="148">
        <f>+'expat 2023'!R8</f>
        <v>5632000</v>
      </c>
      <c r="D7" s="148">
        <f>+'expat 2024 '!Q8</f>
        <v>6208000</v>
      </c>
      <c r="E7" s="209">
        <f t="shared" ref="E7:E36" si="0">SUM(C7:D7)</f>
        <v>11840000</v>
      </c>
    </row>
    <row r="8" spans="2:5">
      <c r="B8" s="167" t="s">
        <v>227</v>
      </c>
      <c r="C8" s="169">
        <f>C6+C7</f>
        <v>9055008</v>
      </c>
      <c r="D8" s="169">
        <f>D6+D7</f>
        <v>9586841.5999999996</v>
      </c>
      <c r="E8" s="209">
        <f t="shared" si="0"/>
        <v>18641849.600000001</v>
      </c>
    </row>
    <row r="9" spans="2:5">
      <c r="B9" s="167"/>
      <c r="C9" s="169"/>
      <c r="D9" s="169"/>
      <c r="E9" s="209"/>
    </row>
    <row r="10" spans="2:5">
      <c r="B10" s="149" t="s">
        <v>132</v>
      </c>
      <c r="C10" s="141"/>
      <c r="D10" s="141"/>
      <c r="E10" s="209"/>
    </row>
    <row r="11" spans="2:5">
      <c r="B11" s="147" t="s">
        <v>228</v>
      </c>
      <c r="C11" s="209">
        <v>7141077</v>
      </c>
      <c r="D11" s="209">
        <v>6753847.3399999999</v>
      </c>
      <c r="E11" s="209">
        <f t="shared" si="0"/>
        <v>13894924.34</v>
      </c>
    </row>
    <row r="12" spans="2:5">
      <c r="B12" s="149" t="s">
        <v>199</v>
      </c>
      <c r="C12" s="209">
        <f>C11</f>
        <v>7141077</v>
      </c>
      <c r="D12" s="209">
        <f>D11</f>
        <v>6753847.3399999999</v>
      </c>
      <c r="E12" s="209">
        <f t="shared" si="0"/>
        <v>13894924.34</v>
      </c>
    </row>
    <row r="13" spans="2:5">
      <c r="B13" s="141"/>
      <c r="C13" s="141"/>
      <c r="D13" s="141"/>
      <c r="E13" s="209"/>
    </row>
    <row r="14" spans="2:5">
      <c r="B14" s="149" t="s">
        <v>200</v>
      </c>
      <c r="C14" s="209">
        <f>C8-C12</f>
        <v>1913931</v>
      </c>
      <c r="D14" s="209">
        <f>D8-D12</f>
        <v>2832994.26</v>
      </c>
      <c r="E14" s="209">
        <f t="shared" si="0"/>
        <v>4746925.26</v>
      </c>
    </row>
    <row r="15" spans="2:5">
      <c r="B15" s="141"/>
      <c r="C15" s="169"/>
      <c r="D15" s="169"/>
      <c r="E15" s="209"/>
    </row>
    <row r="16" spans="2:5">
      <c r="B16" s="149" t="s">
        <v>201</v>
      </c>
      <c r="C16" s="141"/>
      <c r="D16" s="141"/>
      <c r="E16" s="209"/>
    </row>
    <row r="17" spans="2:6">
      <c r="B17" s="147" t="s">
        <v>202</v>
      </c>
      <c r="C17" s="209">
        <v>0</v>
      </c>
      <c r="D17" s="209">
        <v>0</v>
      </c>
      <c r="E17" s="209">
        <f t="shared" si="0"/>
        <v>0</v>
      </c>
    </row>
    <row r="18" spans="2:6">
      <c r="B18" s="147" t="s">
        <v>44</v>
      </c>
      <c r="C18" s="209">
        <f>+'WHT SMRY 2024'!E27</f>
        <v>1120000</v>
      </c>
      <c r="D18" s="209">
        <f>+'WHT SMRY 2024'!I27</f>
        <v>2250000</v>
      </c>
      <c r="E18" s="209">
        <f t="shared" si="0"/>
        <v>3370000</v>
      </c>
    </row>
    <row r="19" spans="2:6">
      <c r="B19" s="147" t="s">
        <v>203</v>
      </c>
      <c r="C19" s="209">
        <v>0</v>
      </c>
      <c r="D19" s="209">
        <v>0</v>
      </c>
      <c r="E19" s="209">
        <f t="shared" si="0"/>
        <v>0</v>
      </c>
    </row>
    <row r="20" spans="2:6">
      <c r="B20" s="147" t="s">
        <v>204</v>
      </c>
      <c r="C20" s="209">
        <f>+'WHT SMRY 2024'!I15</f>
        <v>50000</v>
      </c>
      <c r="D20" s="209">
        <v>0</v>
      </c>
      <c r="E20" s="209">
        <f t="shared" si="0"/>
        <v>50000</v>
      </c>
    </row>
    <row r="21" spans="2:6">
      <c r="B21" s="147" t="s">
        <v>238</v>
      </c>
      <c r="C21" s="209">
        <f>+'WHT SMRY 2024'!I19</f>
        <v>100000</v>
      </c>
      <c r="D21" s="209">
        <f>+'WHT SMRY 2024'!E19</f>
        <v>150000</v>
      </c>
      <c r="E21" s="209">
        <f t="shared" si="0"/>
        <v>250000</v>
      </c>
    </row>
    <row r="22" spans="2:6">
      <c r="B22" s="147" t="s">
        <v>205</v>
      </c>
      <c r="C22" s="209"/>
      <c r="D22" s="209">
        <v>0</v>
      </c>
      <c r="E22" s="209">
        <f t="shared" si="0"/>
        <v>0</v>
      </c>
    </row>
    <row r="23" spans="2:6">
      <c r="B23" s="147" t="s">
        <v>214</v>
      </c>
      <c r="C23" s="209">
        <v>0</v>
      </c>
      <c r="D23" s="209">
        <v>0</v>
      </c>
      <c r="E23" s="209">
        <f t="shared" si="0"/>
        <v>0</v>
      </c>
    </row>
    <row r="24" spans="2:6">
      <c r="B24" s="147" t="s">
        <v>213</v>
      </c>
      <c r="C24" s="209">
        <f>'[55]WHT SMRY'!E27</f>
        <v>0</v>
      </c>
      <c r="D24" s="209">
        <f>'[55]WHT SMRY'!H27</f>
        <v>0</v>
      </c>
      <c r="E24" s="209">
        <f t="shared" si="0"/>
        <v>0</v>
      </c>
    </row>
    <row r="25" spans="2:6">
      <c r="B25" s="149" t="s">
        <v>198</v>
      </c>
      <c r="C25" s="209">
        <f>SUM(C17:C24)</f>
        <v>1270000</v>
      </c>
      <c r="D25" s="209">
        <f>SUM(D17:D24)</f>
        <v>2400000</v>
      </c>
      <c r="E25" s="209">
        <f t="shared" si="0"/>
        <v>3670000</v>
      </c>
    </row>
    <row r="26" spans="2:6">
      <c r="B26" s="147" t="s">
        <v>206</v>
      </c>
      <c r="C26" s="209">
        <f>+'WHT Remittance 2024'!C13</f>
        <v>1120000</v>
      </c>
      <c r="D26" s="209">
        <f>+'WHT Remittance 2023'!C12</f>
        <v>2250000</v>
      </c>
      <c r="E26" s="209">
        <f t="shared" si="0"/>
        <v>3370000</v>
      </c>
      <c r="F26" s="168"/>
    </row>
    <row r="27" spans="2:6">
      <c r="B27" s="149" t="s">
        <v>207</v>
      </c>
      <c r="C27" s="209">
        <f>C25-C26</f>
        <v>150000</v>
      </c>
      <c r="D27" s="209">
        <f>D25-D26</f>
        <v>150000</v>
      </c>
      <c r="E27" s="209">
        <f t="shared" si="0"/>
        <v>300000</v>
      </c>
      <c r="F27" s="168"/>
    </row>
    <row r="28" spans="2:6">
      <c r="B28" s="141"/>
      <c r="C28" s="141"/>
      <c r="D28" s="141"/>
      <c r="E28" s="209">
        <f t="shared" si="0"/>
        <v>0</v>
      </c>
    </row>
    <row r="29" spans="2:6">
      <c r="B29" s="149" t="s">
        <v>208</v>
      </c>
      <c r="C29" s="169">
        <f>C14+C27</f>
        <v>2063931</v>
      </c>
      <c r="D29" s="169">
        <f>D14+D27</f>
        <v>2982994.26</v>
      </c>
      <c r="E29" s="209">
        <f t="shared" si="0"/>
        <v>5046925.26</v>
      </c>
      <c r="F29" s="168"/>
    </row>
    <row r="30" spans="2:6">
      <c r="B30" s="147" t="s">
        <v>134</v>
      </c>
      <c r="C30" s="209">
        <v>0</v>
      </c>
      <c r="D30" s="209">
        <v>0</v>
      </c>
      <c r="E30" s="209">
        <f t="shared" si="0"/>
        <v>0</v>
      </c>
    </row>
    <row r="31" spans="2:6">
      <c r="B31" s="147" t="s">
        <v>209</v>
      </c>
      <c r="C31" s="209">
        <v>0</v>
      </c>
      <c r="D31" s="209">
        <v>0</v>
      </c>
      <c r="E31" s="209">
        <f t="shared" si="0"/>
        <v>0</v>
      </c>
    </row>
    <row r="32" spans="2:6">
      <c r="B32" s="149" t="s">
        <v>198</v>
      </c>
      <c r="C32" s="209">
        <f>SUM(C29:C31)</f>
        <v>2063931</v>
      </c>
      <c r="D32" s="209">
        <f>SUM(D29:D31)</f>
        <v>2982994.26</v>
      </c>
      <c r="E32" s="209">
        <f t="shared" si="0"/>
        <v>5046925.26</v>
      </c>
    </row>
    <row r="33" spans="2:5">
      <c r="B33" s="147" t="s">
        <v>210</v>
      </c>
      <c r="C33" s="209">
        <f>IF(C32&lt;0,0,(0.1*C32))</f>
        <v>206393.1</v>
      </c>
      <c r="D33" s="209">
        <f>IF(D32&lt;0,0,(0.1*D32))</f>
        <v>298299.42599999998</v>
      </c>
      <c r="E33" s="209">
        <f t="shared" si="0"/>
        <v>504692.52599999995</v>
      </c>
    </row>
    <row r="34" spans="2:5">
      <c r="B34" s="141"/>
      <c r="C34" s="209">
        <f>SUM(C32:C33)</f>
        <v>2270324.1</v>
      </c>
      <c r="D34" s="209">
        <f>SUM(D32:D33)</f>
        <v>3281293.6859999998</v>
      </c>
      <c r="E34" s="209">
        <f t="shared" si="0"/>
        <v>5551617.7860000003</v>
      </c>
    </row>
    <row r="35" spans="2:5">
      <c r="B35" s="141" t="s">
        <v>229</v>
      </c>
      <c r="C35" s="209">
        <f>0.12*C27</f>
        <v>18000</v>
      </c>
      <c r="D35" s="209">
        <f>0.12*D27</f>
        <v>18000</v>
      </c>
      <c r="E35" s="209">
        <f t="shared" si="0"/>
        <v>36000</v>
      </c>
    </row>
    <row r="36" spans="2:5">
      <c r="B36" s="147" t="s">
        <v>211</v>
      </c>
      <c r="C36" s="209">
        <f>0.21*(C14+C30+C31)</f>
        <v>401925.51</v>
      </c>
      <c r="D36" s="209">
        <f>0.21*(D14+D30+D31)</f>
        <v>594928.79459999991</v>
      </c>
      <c r="E36" s="209">
        <f t="shared" si="0"/>
        <v>996854.30459999992</v>
      </c>
    </row>
    <row r="37" spans="2:5" s="212" customFormat="1" ht="18.75">
      <c r="B37" s="210" t="s">
        <v>212</v>
      </c>
      <c r="C37" s="211">
        <f>SUM(C34:C36)</f>
        <v>2690249.6100000003</v>
      </c>
      <c r="D37" s="211">
        <f>SUM(D34:D36)</f>
        <v>3894222.4805999994</v>
      </c>
      <c r="E37" s="211">
        <f>SUM(C37:D37)</f>
        <v>6584472.0905999998</v>
      </c>
    </row>
  </sheetData>
  <pageMargins left="0.31496062992125984" right="0" top="0.15748031496062992" bottom="0" header="0.31496062992125984" footer="0.31496062992125984"/>
  <pageSetup scale="70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66E9C-890C-44B4-A8BA-0C4D2E6DDA93}">
  <dimension ref="A1:U127"/>
  <sheetViews>
    <sheetView tabSelected="1" topLeftCell="D118" workbookViewId="0">
      <selection activeCell="M127" sqref="M127"/>
    </sheetView>
  </sheetViews>
  <sheetFormatPr defaultColWidth="8.76171875" defaultRowHeight="15"/>
  <cols>
    <col min="1" max="1" width="12" style="223" customWidth="1"/>
    <col min="2" max="2" width="15.1015625" style="219" hidden="1" customWidth="1"/>
    <col min="3" max="3" width="13.75390625" style="219" customWidth="1"/>
    <col min="4" max="4" width="11.19140625" style="219" customWidth="1"/>
    <col min="5" max="5" width="12.80859375" style="219" customWidth="1"/>
    <col min="6" max="6" width="15.640625" style="219" customWidth="1"/>
    <col min="7" max="7" width="0" style="223" hidden="1" customWidth="1"/>
    <col min="8" max="8" width="14.5625" style="282" hidden="1" customWidth="1"/>
    <col min="9" max="9" width="11.73046875" style="219" bestFit="1" customWidth="1"/>
    <col min="10" max="10" width="8.359375" style="219" bestFit="1" customWidth="1"/>
    <col min="11" max="11" width="10.11328125" style="219" bestFit="1" customWidth="1"/>
    <col min="12" max="12" width="3.91015625" style="219" customWidth="1"/>
    <col min="13" max="13" width="15.640625" style="219" bestFit="1" customWidth="1"/>
    <col min="14" max="14" width="11.59375" style="219" bestFit="1" customWidth="1"/>
    <col min="15" max="15" width="15.640625" style="219" bestFit="1" customWidth="1"/>
    <col min="16" max="18" width="8.76171875" style="219"/>
    <col min="19" max="19" width="14.96875" style="219" bestFit="1" customWidth="1"/>
    <col min="20" max="20" width="8.76171875" style="219"/>
    <col min="21" max="21" width="14.83203125" style="219" bestFit="1" customWidth="1"/>
    <col min="22" max="16384" width="8.76171875" style="219"/>
  </cols>
  <sheetData>
    <row r="1" spans="1:21" ht="23.25">
      <c r="A1" s="213" t="s">
        <v>342</v>
      </c>
      <c r="B1" s="214"/>
      <c r="C1" s="214"/>
      <c r="D1" s="215"/>
      <c r="E1" s="215"/>
      <c r="F1" s="216"/>
      <c r="G1" s="217"/>
      <c r="H1" s="307"/>
      <c r="I1" s="216"/>
      <c r="J1" s="216"/>
      <c r="K1" s="218"/>
    </row>
    <row r="2" spans="1:21" ht="24" thickBot="1">
      <c r="A2" s="220" t="s">
        <v>343</v>
      </c>
      <c r="B2" s="221"/>
      <c r="C2" s="221"/>
      <c r="D2" s="222"/>
      <c r="E2" s="222"/>
      <c r="K2" s="224"/>
    </row>
    <row r="3" spans="1:21" ht="42" thickBot="1">
      <c r="A3" s="225" t="s">
        <v>344</v>
      </c>
      <c r="B3" s="226" t="s">
        <v>345</v>
      </c>
      <c r="C3" s="226" t="s">
        <v>346</v>
      </c>
      <c r="D3" s="226" t="s">
        <v>19</v>
      </c>
      <c r="E3" s="226" t="s">
        <v>347</v>
      </c>
      <c r="F3" s="227" t="s">
        <v>22</v>
      </c>
      <c r="G3" s="228" t="s">
        <v>348</v>
      </c>
      <c r="H3" s="308" t="s">
        <v>349</v>
      </c>
      <c r="I3" s="227" t="s">
        <v>350</v>
      </c>
      <c r="J3" s="227" t="s">
        <v>134</v>
      </c>
      <c r="K3" s="229" t="s">
        <v>351</v>
      </c>
      <c r="M3" s="121" t="s">
        <v>188</v>
      </c>
      <c r="N3" s="120" t="s">
        <v>195</v>
      </c>
      <c r="O3" s="121" t="s">
        <v>237</v>
      </c>
      <c r="P3" s="120" t="s">
        <v>189</v>
      </c>
      <c r="Q3" s="120" t="s">
        <v>190</v>
      </c>
      <c r="R3" s="120" t="s">
        <v>191</v>
      </c>
      <c r="S3" s="120" t="s">
        <v>192</v>
      </c>
      <c r="T3" s="120" t="s">
        <v>193</v>
      </c>
      <c r="U3" s="120" t="s">
        <v>194</v>
      </c>
    </row>
    <row r="4" spans="1:21">
      <c r="A4" s="230">
        <v>1</v>
      </c>
      <c r="B4" s="231" t="s">
        <v>352</v>
      </c>
      <c r="C4" s="231" t="s">
        <v>353</v>
      </c>
      <c r="D4" s="231" t="s">
        <v>354</v>
      </c>
      <c r="E4" s="232"/>
      <c r="F4" s="231" t="s">
        <v>355</v>
      </c>
      <c r="G4" s="233">
        <v>12</v>
      </c>
      <c r="H4" s="309">
        <v>540000</v>
      </c>
      <c r="I4" s="286">
        <v>188800</v>
      </c>
      <c r="J4" s="231">
        <v>100</v>
      </c>
      <c r="K4" s="286">
        <v>13216</v>
      </c>
      <c r="M4" s="123">
        <f>H4</f>
        <v>540000</v>
      </c>
      <c r="N4" s="128">
        <f t="shared" ref="N4" si="0">M4*0.08</f>
        <v>43200</v>
      </c>
      <c r="O4" s="123">
        <f>M4-N4</f>
        <v>496800</v>
      </c>
      <c r="P4" s="128">
        <f>IF(O4&lt;=300000,0,IF(O4&gt;=20000000,(O4*0.21),(O4*0.2)+200000))</f>
        <v>299360</v>
      </c>
      <c r="Q4" s="127">
        <f t="shared" ref="Q4" si="1">+M4-P4-N4</f>
        <v>197440</v>
      </c>
      <c r="R4" s="123">
        <f t="shared" ref="R4" si="2">IF(P4=0,(M4*0.01),IF(Q4&lt;=0,0.01*M4,IF(AND(Q4&gt;0,Q4&lt;=300000),Q4*7%,IF(AND(Q4&gt;=300000,Q4&lt;600000),21000+(Q4-300000)*11%,IF(AND(Q4&gt;=600000,Q4&lt;1100000),54000+(Q4-600000)*15%,IF(AND(Q4&gt;=1100000,Q4&lt;1600000),129000+(Q4-1100000)*19%,IF(AND(Q4&gt;=1600000,Q4&lt;3200000),224000+(Q4-1600000)*21%,560000+(Q4-3200000)*24%)))))))</f>
        <v>13820.800000000001</v>
      </c>
      <c r="S4" s="124">
        <f t="shared" ref="S4" si="3">R4/12</f>
        <v>1151.7333333333333</v>
      </c>
      <c r="T4" s="125">
        <f>G4</f>
        <v>12</v>
      </c>
      <c r="U4" s="129">
        <f t="shared" ref="U4" si="4">+S4*T4</f>
        <v>13820.8</v>
      </c>
    </row>
    <row r="5" spans="1:21">
      <c r="A5" s="234">
        <v>2</v>
      </c>
      <c r="B5" s="235" t="s">
        <v>356</v>
      </c>
      <c r="C5" s="235" t="s">
        <v>357</v>
      </c>
      <c r="D5" s="235" t="s">
        <v>358</v>
      </c>
      <c r="E5" s="235" t="s">
        <v>359</v>
      </c>
      <c r="F5" s="235" t="s">
        <v>360</v>
      </c>
      <c r="G5" s="236">
        <v>12</v>
      </c>
      <c r="H5" s="310">
        <v>960000</v>
      </c>
      <c r="I5" s="287">
        <v>491200</v>
      </c>
      <c r="J5" s="235">
        <v>100</v>
      </c>
      <c r="K5" s="287">
        <v>42032</v>
      </c>
      <c r="M5" s="123">
        <f t="shared" ref="M5:M68" si="5">H5</f>
        <v>960000</v>
      </c>
      <c r="N5" s="128">
        <f t="shared" ref="N5:N68" si="6">M5*0.08</f>
        <v>76800</v>
      </c>
      <c r="O5" s="123">
        <f t="shared" ref="O5:O68" si="7">M5-N5</f>
        <v>883200</v>
      </c>
      <c r="P5" s="128">
        <f t="shared" ref="P5:P68" si="8">IF(O5&lt;=300000,0,IF(O5&gt;=20000000,(O5*0.21),(O5*0.2)+200000))</f>
        <v>376640</v>
      </c>
      <c r="Q5" s="127">
        <f t="shared" ref="Q5:Q68" si="9">+M5-P5-N5</f>
        <v>506560</v>
      </c>
      <c r="R5" s="123">
        <f t="shared" ref="R5:R68" si="10">IF(P5=0,(M5*0.01),IF(Q5&lt;=0,0.01*M5,IF(AND(Q5&gt;0,Q5&lt;=300000),Q5*7%,IF(AND(Q5&gt;=300000,Q5&lt;600000),21000+(Q5-300000)*11%,IF(AND(Q5&gt;=600000,Q5&lt;1100000),54000+(Q5-600000)*15%,IF(AND(Q5&gt;=1100000,Q5&lt;1600000),129000+(Q5-1100000)*19%,IF(AND(Q5&gt;=1600000,Q5&lt;3200000),224000+(Q5-1600000)*21%,560000+(Q5-3200000)*24%)))))))</f>
        <v>43721.599999999999</v>
      </c>
      <c r="S5" s="124">
        <f t="shared" ref="S5:S68" si="11">R5/12</f>
        <v>3643.4666666666667</v>
      </c>
      <c r="T5" s="125">
        <f t="shared" ref="T5:T68" si="12">G5</f>
        <v>12</v>
      </c>
      <c r="U5" s="129">
        <f t="shared" ref="U5:U68" si="13">+S5*T5</f>
        <v>43721.599999999999</v>
      </c>
    </row>
    <row r="6" spans="1:21">
      <c r="A6" s="234">
        <v>3</v>
      </c>
      <c r="B6" s="237" t="s">
        <v>361</v>
      </c>
      <c r="C6" s="237" t="s">
        <v>362</v>
      </c>
      <c r="D6" s="237" t="s">
        <v>363</v>
      </c>
      <c r="E6" s="238"/>
      <c r="F6" s="237" t="s">
        <v>364</v>
      </c>
      <c r="G6" s="239">
        <v>12</v>
      </c>
      <c r="H6" s="311">
        <v>660000</v>
      </c>
      <c r="I6" s="288">
        <v>275200</v>
      </c>
      <c r="J6" s="237">
        <v>100</v>
      </c>
      <c r="K6" s="288">
        <v>19264</v>
      </c>
      <c r="M6" s="123">
        <f t="shared" si="5"/>
        <v>660000</v>
      </c>
      <c r="N6" s="128">
        <f t="shared" si="6"/>
        <v>52800</v>
      </c>
      <c r="O6" s="123">
        <f t="shared" si="7"/>
        <v>607200</v>
      </c>
      <c r="P6" s="128">
        <f t="shared" si="8"/>
        <v>321440</v>
      </c>
      <c r="Q6" s="127">
        <f t="shared" si="9"/>
        <v>285760</v>
      </c>
      <c r="R6" s="123">
        <f t="shared" si="10"/>
        <v>20003.2</v>
      </c>
      <c r="S6" s="124">
        <f t="shared" si="11"/>
        <v>1666.9333333333334</v>
      </c>
      <c r="T6" s="125">
        <f t="shared" si="12"/>
        <v>12</v>
      </c>
      <c r="U6" s="129">
        <f t="shared" si="13"/>
        <v>20003.2</v>
      </c>
    </row>
    <row r="7" spans="1:21" ht="39">
      <c r="A7" s="234">
        <v>4</v>
      </c>
      <c r="B7" s="235" t="s">
        <v>365</v>
      </c>
      <c r="C7" s="235" t="s">
        <v>366</v>
      </c>
      <c r="D7" s="235" t="s">
        <v>367</v>
      </c>
      <c r="E7" s="240"/>
      <c r="F7" s="235" t="s">
        <v>368</v>
      </c>
      <c r="G7" s="236">
        <v>12</v>
      </c>
      <c r="H7" s="310">
        <v>600000</v>
      </c>
      <c r="I7" s="287">
        <v>232000</v>
      </c>
      <c r="J7" s="235">
        <v>100</v>
      </c>
      <c r="K7" s="287">
        <v>16240</v>
      </c>
      <c r="M7" s="123">
        <f t="shared" si="5"/>
        <v>600000</v>
      </c>
      <c r="N7" s="128">
        <f t="shared" si="6"/>
        <v>48000</v>
      </c>
      <c r="O7" s="123">
        <f t="shared" si="7"/>
        <v>552000</v>
      </c>
      <c r="P7" s="128">
        <f t="shared" si="8"/>
        <v>310400</v>
      </c>
      <c r="Q7" s="127">
        <f t="shared" si="9"/>
        <v>241600</v>
      </c>
      <c r="R7" s="123">
        <f t="shared" si="10"/>
        <v>16912</v>
      </c>
      <c r="S7" s="124">
        <f t="shared" si="11"/>
        <v>1409.3333333333333</v>
      </c>
      <c r="T7" s="125">
        <f t="shared" si="12"/>
        <v>12</v>
      </c>
      <c r="U7" s="129">
        <f t="shared" si="13"/>
        <v>16912</v>
      </c>
    </row>
    <row r="8" spans="1:21">
      <c r="A8" s="234">
        <v>5</v>
      </c>
      <c r="B8" s="237" t="s">
        <v>369</v>
      </c>
      <c r="C8" s="237" t="s">
        <v>370</v>
      </c>
      <c r="D8" s="237" t="s">
        <v>371</v>
      </c>
      <c r="E8" s="237" t="s">
        <v>372</v>
      </c>
      <c r="F8" s="237" t="s">
        <v>373</v>
      </c>
      <c r="G8" s="239">
        <v>12</v>
      </c>
      <c r="H8" s="311">
        <v>600000</v>
      </c>
      <c r="I8" s="288">
        <v>232000</v>
      </c>
      <c r="J8" s="237">
        <v>100</v>
      </c>
      <c r="K8" s="288">
        <v>16240</v>
      </c>
      <c r="M8" s="123">
        <f t="shared" si="5"/>
        <v>600000</v>
      </c>
      <c r="N8" s="128">
        <f t="shared" si="6"/>
        <v>48000</v>
      </c>
      <c r="O8" s="123">
        <f t="shared" si="7"/>
        <v>552000</v>
      </c>
      <c r="P8" s="128">
        <f t="shared" si="8"/>
        <v>310400</v>
      </c>
      <c r="Q8" s="127">
        <f t="shared" si="9"/>
        <v>241600</v>
      </c>
      <c r="R8" s="123">
        <f t="shared" si="10"/>
        <v>16912</v>
      </c>
      <c r="S8" s="124">
        <f t="shared" si="11"/>
        <v>1409.3333333333333</v>
      </c>
      <c r="T8" s="125">
        <f t="shared" si="12"/>
        <v>12</v>
      </c>
      <c r="U8" s="129">
        <f t="shared" si="13"/>
        <v>16912</v>
      </c>
    </row>
    <row r="9" spans="1:21">
      <c r="A9" s="234">
        <v>6</v>
      </c>
      <c r="B9" s="235" t="s">
        <v>374</v>
      </c>
      <c r="C9" s="235" t="s">
        <v>375</v>
      </c>
      <c r="D9" s="235" t="s">
        <v>376</v>
      </c>
      <c r="E9" s="240"/>
      <c r="F9" s="235" t="s">
        <v>377</v>
      </c>
      <c r="G9" s="236">
        <v>12</v>
      </c>
      <c r="H9" s="310">
        <v>420000</v>
      </c>
      <c r="I9" s="287">
        <v>102400</v>
      </c>
      <c r="J9" s="235">
        <v>100</v>
      </c>
      <c r="K9" s="287">
        <v>7168</v>
      </c>
      <c r="M9" s="123">
        <f t="shared" si="5"/>
        <v>420000</v>
      </c>
      <c r="N9" s="128">
        <f t="shared" si="6"/>
        <v>33600</v>
      </c>
      <c r="O9" s="123">
        <f t="shared" si="7"/>
        <v>386400</v>
      </c>
      <c r="P9" s="128">
        <f t="shared" si="8"/>
        <v>277280</v>
      </c>
      <c r="Q9" s="127">
        <f t="shared" si="9"/>
        <v>109120</v>
      </c>
      <c r="R9" s="123">
        <f t="shared" si="10"/>
        <v>7638.4000000000005</v>
      </c>
      <c r="S9" s="124">
        <f t="shared" si="11"/>
        <v>636.53333333333342</v>
      </c>
      <c r="T9" s="125">
        <f t="shared" si="12"/>
        <v>12</v>
      </c>
      <c r="U9" s="129">
        <f t="shared" si="13"/>
        <v>7638.4000000000015</v>
      </c>
    </row>
    <row r="10" spans="1:21">
      <c r="A10" s="234">
        <v>7</v>
      </c>
      <c r="B10" s="237" t="s">
        <v>378</v>
      </c>
      <c r="C10" s="237" t="s">
        <v>379</v>
      </c>
      <c r="D10" s="237" t="s">
        <v>380</v>
      </c>
      <c r="E10" s="237" t="s">
        <v>381</v>
      </c>
      <c r="F10" s="237" t="s">
        <v>382</v>
      </c>
      <c r="G10" s="239">
        <v>12</v>
      </c>
      <c r="H10" s="311">
        <v>420000</v>
      </c>
      <c r="I10" s="288">
        <v>102400</v>
      </c>
      <c r="J10" s="237">
        <v>100</v>
      </c>
      <c r="K10" s="288">
        <v>7168</v>
      </c>
      <c r="M10" s="123">
        <f t="shared" si="5"/>
        <v>420000</v>
      </c>
      <c r="N10" s="128">
        <f t="shared" si="6"/>
        <v>33600</v>
      </c>
      <c r="O10" s="123">
        <f t="shared" si="7"/>
        <v>386400</v>
      </c>
      <c r="P10" s="128">
        <f t="shared" si="8"/>
        <v>277280</v>
      </c>
      <c r="Q10" s="127">
        <f t="shared" si="9"/>
        <v>109120</v>
      </c>
      <c r="R10" s="123">
        <f t="shared" si="10"/>
        <v>7638.4000000000005</v>
      </c>
      <c r="S10" s="124">
        <f t="shared" si="11"/>
        <v>636.53333333333342</v>
      </c>
      <c r="T10" s="125">
        <f t="shared" si="12"/>
        <v>12</v>
      </c>
      <c r="U10" s="129">
        <f t="shared" si="13"/>
        <v>7638.4000000000015</v>
      </c>
    </row>
    <row r="11" spans="1:21">
      <c r="A11" s="234">
        <v>8</v>
      </c>
      <c r="B11" s="235" t="s">
        <v>383</v>
      </c>
      <c r="C11" s="235" t="s">
        <v>384</v>
      </c>
      <c r="D11" s="235" t="s">
        <v>385</v>
      </c>
      <c r="E11" s="235" t="s">
        <v>386</v>
      </c>
      <c r="F11" s="235" t="s">
        <v>373</v>
      </c>
      <c r="G11" s="236">
        <v>12</v>
      </c>
      <c r="H11" s="310">
        <v>540000</v>
      </c>
      <c r="I11" s="287">
        <v>188800</v>
      </c>
      <c r="J11" s="235">
        <v>100</v>
      </c>
      <c r="K11" s="287">
        <v>13216</v>
      </c>
      <c r="M11" s="123">
        <f t="shared" si="5"/>
        <v>540000</v>
      </c>
      <c r="N11" s="128">
        <f t="shared" si="6"/>
        <v>43200</v>
      </c>
      <c r="O11" s="123">
        <f t="shared" si="7"/>
        <v>496800</v>
      </c>
      <c r="P11" s="128">
        <f t="shared" si="8"/>
        <v>299360</v>
      </c>
      <c r="Q11" s="127">
        <f t="shared" si="9"/>
        <v>197440</v>
      </c>
      <c r="R11" s="123">
        <f t="shared" si="10"/>
        <v>13820.800000000001</v>
      </c>
      <c r="S11" s="124">
        <f t="shared" si="11"/>
        <v>1151.7333333333333</v>
      </c>
      <c r="T11" s="125">
        <f t="shared" si="12"/>
        <v>12</v>
      </c>
      <c r="U11" s="129">
        <f t="shared" si="13"/>
        <v>13820.8</v>
      </c>
    </row>
    <row r="12" spans="1:21">
      <c r="A12" s="234">
        <v>9</v>
      </c>
      <c r="B12" s="237" t="s">
        <v>387</v>
      </c>
      <c r="C12" s="237" t="s">
        <v>388</v>
      </c>
      <c r="D12" s="237" t="s">
        <v>389</v>
      </c>
      <c r="E12" s="238"/>
      <c r="F12" s="237" t="s">
        <v>390</v>
      </c>
      <c r="G12" s="239">
        <v>12</v>
      </c>
      <c r="H12" s="311">
        <v>480000</v>
      </c>
      <c r="I12" s="288">
        <v>145600</v>
      </c>
      <c r="J12" s="237">
        <v>100</v>
      </c>
      <c r="K12" s="288">
        <v>10192</v>
      </c>
      <c r="M12" s="123">
        <f t="shared" si="5"/>
        <v>480000</v>
      </c>
      <c r="N12" s="128">
        <f t="shared" si="6"/>
        <v>38400</v>
      </c>
      <c r="O12" s="123">
        <f t="shared" si="7"/>
        <v>441600</v>
      </c>
      <c r="P12" s="128">
        <f t="shared" si="8"/>
        <v>288320</v>
      </c>
      <c r="Q12" s="127">
        <f t="shared" si="9"/>
        <v>153280</v>
      </c>
      <c r="R12" s="123">
        <f t="shared" si="10"/>
        <v>10729.6</v>
      </c>
      <c r="S12" s="124">
        <f t="shared" si="11"/>
        <v>894.13333333333333</v>
      </c>
      <c r="T12" s="125">
        <f t="shared" si="12"/>
        <v>12</v>
      </c>
      <c r="U12" s="129">
        <f t="shared" si="13"/>
        <v>10729.6</v>
      </c>
    </row>
    <row r="13" spans="1:21">
      <c r="A13" s="234">
        <v>10</v>
      </c>
      <c r="B13" s="235" t="s">
        <v>391</v>
      </c>
      <c r="C13" s="235" t="s">
        <v>392</v>
      </c>
      <c r="D13" s="235" t="s">
        <v>393</v>
      </c>
      <c r="E13" s="240"/>
      <c r="F13" s="235" t="s">
        <v>394</v>
      </c>
      <c r="G13" s="236">
        <v>12</v>
      </c>
      <c r="H13" s="310">
        <v>660000</v>
      </c>
      <c r="I13" s="287">
        <v>275200</v>
      </c>
      <c r="J13" s="235">
        <v>100</v>
      </c>
      <c r="K13" s="287">
        <v>19264</v>
      </c>
      <c r="M13" s="123">
        <f t="shared" si="5"/>
        <v>660000</v>
      </c>
      <c r="N13" s="128">
        <f t="shared" si="6"/>
        <v>52800</v>
      </c>
      <c r="O13" s="123">
        <f t="shared" si="7"/>
        <v>607200</v>
      </c>
      <c r="P13" s="128">
        <f t="shared" si="8"/>
        <v>321440</v>
      </c>
      <c r="Q13" s="127">
        <f t="shared" si="9"/>
        <v>285760</v>
      </c>
      <c r="R13" s="123">
        <f t="shared" si="10"/>
        <v>20003.2</v>
      </c>
      <c r="S13" s="124">
        <f t="shared" si="11"/>
        <v>1666.9333333333334</v>
      </c>
      <c r="T13" s="125">
        <f t="shared" si="12"/>
        <v>12</v>
      </c>
      <c r="U13" s="129">
        <f t="shared" si="13"/>
        <v>20003.2</v>
      </c>
    </row>
    <row r="14" spans="1:21">
      <c r="A14" s="234">
        <v>11</v>
      </c>
      <c r="B14" s="237" t="s">
        <v>395</v>
      </c>
      <c r="C14" s="237" t="s">
        <v>396</v>
      </c>
      <c r="D14" s="237" t="s">
        <v>397</v>
      </c>
      <c r="E14" s="238"/>
      <c r="F14" s="237" t="s">
        <v>390</v>
      </c>
      <c r="G14" s="239">
        <v>12</v>
      </c>
      <c r="H14" s="311">
        <v>480000</v>
      </c>
      <c r="I14" s="288">
        <v>145600</v>
      </c>
      <c r="J14" s="237">
        <v>100</v>
      </c>
      <c r="K14" s="288">
        <v>10192</v>
      </c>
      <c r="M14" s="123">
        <f t="shared" si="5"/>
        <v>480000</v>
      </c>
      <c r="N14" s="128">
        <f t="shared" si="6"/>
        <v>38400</v>
      </c>
      <c r="O14" s="123">
        <f t="shared" si="7"/>
        <v>441600</v>
      </c>
      <c r="P14" s="128">
        <f t="shared" si="8"/>
        <v>288320</v>
      </c>
      <c r="Q14" s="127">
        <f t="shared" si="9"/>
        <v>153280</v>
      </c>
      <c r="R14" s="123">
        <f t="shared" si="10"/>
        <v>10729.6</v>
      </c>
      <c r="S14" s="124">
        <f t="shared" si="11"/>
        <v>894.13333333333333</v>
      </c>
      <c r="T14" s="125">
        <f t="shared" si="12"/>
        <v>12</v>
      </c>
      <c r="U14" s="129">
        <f t="shared" si="13"/>
        <v>10729.6</v>
      </c>
    </row>
    <row r="15" spans="1:21">
      <c r="A15" s="234">
        <v>12</v>
      </c>
      <c r="B15" s="235" t="s">
        <v>398</v>
      </c>
      <c r="C15" s="235" t="s">
        <v>399</v>
      </c>
      <c r="D15" s="235" t="s">
        <v>389</v>
      </c>
      <c r="E15" s="240"/>
      <c r="F15" s="235" t="s">
        <v>400</v>
      </c>
      <c r="G15" s="236">
        <v>12</v>
      </c>
      <c r="H15" s="310">
        <v>540000</v>
      </c>
      <c r="I15" s="287">
        <v>188800</v>
      </c>
      <c r="J15" s="235">
        <v>100</v>
      </c>
      <c r="K15" s="287">
        <v>13216</v>
      </c>
      <c r="M15" s="123">
        <f t="shared" si="5"/>
        <v>540000</v>
      </c>
      <c r="N15" s="128">
        <f t="shared" si="6"/>
        <v>43200</v>
      </c>
      <c r="O15" s="123">
        <f t="shared" si="7"/>
        <v>496800</v>
      </c>
      <c r="P15" s="128">
        <f t="shared" si="8"/>
        <v>299360</v>
      </c>
      <c r="Q15" s="127">
        <f t="shared" si="9"/>
        <v>197440</v>
      </c>
      <c r="R15" s="123">
        <f t="shared" si="10"/>
        <v>13820.800000000001</v>
      </c>
      <c r="S15" s="124">
        <f t="shared" si="11"/>
        <v>1151.7333333333333</v>
      </c>
      <c r="T15" s="125">
        <f t="shared" si="12"/>
        <v>12</v>
      </c>
      <c r="U15" s="129">
        <f t="shared" si="13"/>
        <v>13820.8</v>
      </c>
    </row>
    <row r="16" spans="1:21">
      <c r="A16" s="234">
        <v>13</v>
      </c>
      <c r="B16" s="237" t="s">
        <v>401</v>
      </c>
      <c r="C16" s="237" t="s">
        <v>402</v>
      </c>
      <c r="D16" s="237" t="s">
        <v>403</v>
      </c>
      <c r="E16" s="237" t="s">
        <v>404</v>
      </c>
      <c r="F16" s="237" t="s">
        <v>400</v>
      </c>
      <c r="G16" s="239">
        <v>12</v>
      </c>
      <c r="H16" s="311">
        <v>540000</v>
      </c>
      <c r="I16" s="288">
        <v>188800</v>
      </c>
      <c r="J16" s="237">
        <v>100</v>
      </c>
      <c r="K16" s="288">
        <v>13216</v>
      </c>
      <c r="M16" s="123">
        <f t="shared" si="5"/>
        <v>540000</v>
      </c>
      <c r="N16" s="128">
        <f t="shared" si="6"/>
        <v>43200</v>
      </c>
      <c r="O16" s="123">
        <f t="shared" si="7"/>
        <v>496800</v>
      </c>
      <c r="P16" s="128">
        <f t="shared" si="8"/>
        <v>299360</v>
      </c>
      <c r="Q16" s="127">
        <f t="shared" si="9"/>
        <v>197440</v>
      </c>
      <c r="R16" s="123">
        <f t="shared" si="10"/>
        <v>13820.800000000001</v>
      </c>
      <c r="S16" s="124">
        <f t="shared" si="11"/>
        <v>1151.7333333333333</v>
      </c>
      <c r="T16" s="125">
        <f t="shared" si="12"/>
        <v>12</v>
      </c>
      <c r="U16" s="129">
        <f t="shared" si="13"/>
        <v>13820.8</v>
      </c>
    </row>
    <row r="17" spans="1:21">
      <c r="A17" s="234">
        <v>14</v>
      </c>
      <c r="B17" s="235" t="s">
        <v>405</v>
      </c>
      <c r="C17" s="235" t="s">
        <v>406</v>
      </c>
      <c r="D17" s="235" t="s">
        <v>407</v>
      </c>
      <c r="E17" s="240"/>
      <c r="F17" s="235" t="s">
        <v>390</v>
      </c>
      <c r="G17" s="236">
        <v>12</v>
      </c>
      <c r="H17" s="310">
        <v>480000</v>
      </c>
      <c r="I17" s="287">
        <v>145600</v>
      </c>
      <c r="J17" s="235">
        <v>100</v>
      </c>
      <c r="K17" s="287">
        <v>10192</v>
      </c>
      <c r="M17" s="123">
        <f t="shared" si="5"/>
        <v>480000</v>
      </c>
      <c r="N17" s="128">
        <f t="shared" si="6"/>
        <v>38400</v>
      </c>
      <c r="O17" s="123">
        <f t="shared" si="7"/>
        <v>441600</v>
      </c>
      <c r="P17" s="128">
        <f t="shared" si="8"/>
        <v>288320</v>
      </c>
      <c r="Q17" s="127">
        <f t="shared" si="9"/>
        <v>153280</v>
      </c>
      <c r="R17" s="123">
        <f t="shared" si="10"/>
        <v>10729.6</v>
      </c>
      <c r="S17" s="124">
        <f t="shared" si="11"/>
        <v>894.13333333333333</v>
      </c>
      <c r="T17" s="125">
        <f t="shared" si="12"/>
        <v>12</v>
      </c>
      <c r="U17" s="129">
        <f t="shared" si="13"/>
        <v>10729.6</v>
      </c>
    </row>
    <row r="18" spans="1:21">
      <c r="A18" s="234">
        <v>15</v>
      </c>
      <c r="B18" s="237" t="s">
        <v>408</v>
      </c>
      <c r="C18" s="237" t="s">
        <v>409</v>
      </c>
      <c r="D18" s="237" t="s">
        <v>410</v>
      </c>
      <c r="E18" s="237" t="s">
        <v>411</v>
      </c>
      <c r="F18" s="237" t="s">
        <v>412</v>
      </c>
      <c r="G18" s="239">
        <v>12</v>
      </c>
      <c r="H18" s="311">
        <v>420000</v>
      </c>
      <c r="I18" s="288">
        <v>102400</v>
      </c>
      <c r="J18" s="237">
        <v>100</v>
      </c>
      <c r="K18" s="288">
        <v>7168</v>
      </c>
      <c r="M18" s="123">
        <f t="shared" si="5"/>
        <v>420000</v>
      </c>
      <c r="N18" s="128">
        <f t="shared" si="6"/>
        <v>33600</v>
      </c>
      <c r="O18" s="123">
        <f t="shared" si="7"/>
        <v>386400</v>
      </c>
      <c r="P18" s="128">
        <f t="shared" si="8"/>
        <v>277280</v>
      </c>
      <c r="Q18" s="127">
        <f t="shared" si="9"/>
        <v>109120</v>
      </c>
      <c r="R18" s="123">
        <f t="shared" si="10"/>
        <v>7638.4000000000005</v>
      </c>
      <c r="S18" s="124">
        <f t="shared" si="11"/>
        <v>636.53333333333342</v>
      </c>
      <c r="T18" s="125">
        <f t="shared" si="12"/>
        <v>12</v>
      </c>
      <c r="U18" s="129">
        <f t="shared" si="13"/>
        <v>7638.4000000000015</v>
      </c>
    </row>
    <row r="19" spans="1:21">
      <c r="A19" s="234">
        <v>16</v>
      </c>
      <c r="B19" s="235" t="s">
        <v>413</v>
      </c>
      <c r="C19" s="235" t="s">
        <v>414</v>
      </c>
      <c r="D19" s="235" t="s">
        <v>415</v>
      </c>
      <c r="E19" s="235" t="s">
        <v>416</v>
      </c>
      <c r="F19" s="235" t="s">
        <v>373</v>
      </c>
      <c r="G19" s="236">
        <v>12</v>
      </c>
      <c r="H19" s="310">
        <v>540000</v>
      </c>
      <c r="I19" s="287">
        <v>188800</v>
      </c>
      <c r="J19" s="235">
        <v>100</v>
      </c>
      <c r="K19" s="287">
        <v>13216</v>
      </c>
      <c r="M19" s="123">
        <f t="shared" si="5"/>
        <v>540000</v>
      </c>
      <c r="N19" s="128">
        <f t="shared" si="6"/>
        <v>43200</v>
      </c>
      <c r="O19" s="123">
        <f t="shared" si="7"/>
        <v>496800</v>
      </c>
      <c r="P19" s="128">
        <f t="shared" si="8"/>
        <v>299360</v>
      </c>
      <c r="Q19" s="127">
        <f t="shared" si="9"/>
        <v>197440</v>
      </c>
      <c r="R19" s="123">
        <f t="shared" si="10"/>
        <v>13820.800000000001</v>
      </c>
      <c r="S19" s="124">
        <f t="shared" si="11"/>
        <v>1151.7333333333333</v>
      </c>
      <c r="T19" s="125">
        <f t="shared" si="12"/>
        <v>12</v>
      </c>
      <c r="U19" s="129">
        <f t="shared" si="13"/>
        <v>13820.8</v>
      </c>
    </row>
    <row r="20" spans="1:21">
      <c r="A20" s="234">
        <v>17</v>
      </c>
      <c r="B20" s="237" t="s">
        <v>417</v>
      </c>
      <c r="C20" s="237" t="s">
        <v>418</v>
      </c>
      <c r="D20" s="237" t="s">
        <v>419</v>
      </c>
      <c r="E20" s="237" t="s">
        <v>420</v>
      </c>
      <c r="F20" s="237" t="s">
        <v>390</v>
      </c>
      <c r="G20" s="239">
        <v>12</v>
      </c>
      <c r="H20" s="311">
        <v>480000</v>
      </c>
      <c r="I20" s="288">
        <v>145600</v>
      </c>
      <c r="J20" s="237">
        <v>100</v>
      </c>
      <c r="K20" s="288">
        <v>10192</v>
      </c>
      <c r="M20" s="123">
        <f t="shared" si="5"/>
        <v>480000</v>
      </c>
      <c r="N20" s="128">
        <f t="shared" si="6"/>
        <v>38400</v>
      </c>
      <c r="O20" s="123">
        <f t="shared" si="7"/>
        <v>441600</v>
      </c>
      <c r="P20" s="128">
        <f t="shared" si="8"/>
        <v>288320</v>
      </c>
      <c r="Q20" s="127">
        <f t="shared" si="9"/>
        <v>153280</v>
      </c>
      <c r="R20" s="123">
        <f t="shared" si="10"/>
        <v>10729.6</v>
      </c>
      <c r="S20" s="124">
        <f t="shared" si="11"/>
        <v>894.13333333333333</v>
      </c>
      <c r="T20" s="125">
        <f t="shared" si="12"/>
        <v>12</v>
      </c>
      <c r="U20" s="129">
        <f t="shared" si="13"/>
        <v>10729.6</v>
      </c>
    </row>
    <row r="21" spans="1:21">
      <c r="A21" s="234">
        <v>18</v>
      </c>
      <c r="B21" s="235" t="s">
        <v>421</v>
      </c>
      <c r="C21" s="235" t="s">
        <v>422</v>
      </c>
      <c r="D21" s="235" t="s">
        <v>423</v>
      </c>
      <c r="E21" s="240"/>
      <c r="F21" s="235" t="s">
        <v>412</v>
      </c>
      <c r="G21" s="236">
        <v>12</v>
      </c>
      <c r="H21" s="310">
        <v>420000</v>
      </c>
      <c r="I21" s="287">
        <v>102400</v>
      </c>
      <c r="J21" s="235">
        <v>100</v>
      </c>
      <c r="K21" s="287">
        <v>7168</v>
      </c>
      <c r="M21" s="123">
        <f t="shared" si="5"/>
        <v>420000</v>
      </c>
      <c r="N21" s="128">
        <f t="shared" si="6"/>
        <v>33600</v>
      </c>
      <c r="O21" s="123">
        <f t="shared" si="7"/>
        <v>386400</v>
      </c>
      <c r="P21" s="128">
        <f t="shared" si="8"/>
        <v>277280</v>
      </c>
      <c r="Q21" s="127">
        <f t="shared" si="9"/>
        <v>109120</v>
      </c>
      <c r="R21" s="123">
        <f t="shared" si="10"/>
        <v>7638.4000000000005</v>
      </c>
      <c r="S21" s="124">
        <f t="shared" si="11"/>
        <v>636.53333333333342</v>
      </c>
      <c r="T21" s="125">
        <f t="shared" si="12"/>
        <v>12</v>
      </c>
      <c r="U21" s="129">
        <f t="shared" si="13"/>
        <v>7638.4000000000015</v>
      </c>
    </row>
    <row r="22" spans="1:21">
      <c r="A22" s="234">
        <v>19</v>
      </c>
      <c r="B22" s="237" t="s">
        <v>424</v>
      </c>
      <c r="C22" s="237" t="s">
        <v>425</v>
      </c>
      <c r="D22" s="237" t="s">
        <v>426</v>
      </c>
      <c r="E22" s="237" t="s">
        <v>427</v>
      </c>
      <c r="F22" s="237" t="s">
        <v>382</v>
      </c>
      <c r="G22" s="239">
        <v>12</v>
      </c>
      <c r="H22" s="311">
        <v>420000</v>
      </c>
      <c r="I22" s="288">
        <v>102400</v>
      </c>
      <c r="J22" s="237">
        <v>100</v>
      </c>
      <c r="K22" s="288">
        <v>7168</v>
      </c>
      <c r="M22" s="123">
        <f t="shared" si="5"/>
        <v>420000</v>
      </c>
      <c r="N22" s="128">
        <f t="shared" si="6"/>
        <v>33600</v>
      </c>
      <c r="O22" s="123">
        <f t="shared" si="7"/>
        <v>386400</v>
      </c>
      <c r="P22" s="128">
        <f t="shared" si="8"/>
        <v>277280</v>
      </c>
      <c r="Q22" s="127">
        <f t="shared" si="9"/>
        <v>109120</v>
      </c>
      <c r="R22" s="123">
        <f t="shared" si="10"/>
        <v>7638.4000000000005</v>
      </c>
      <c r="S22" s="124">
        <f t="shared" si="11"/>
        <v>636.53333333333342</v>
      </c>
      <c r="T22" s="125">
        <f t="shared" si="12"/>
        <v>12</v>
      </c>
      <c r="U22" s="129">
        <f t="shared" si="13"/>
        <v>7638.4000000000015</v>
      </c>
    </row>
    <row r="23" spans="1:21">
      <c r="A23" s="234">
        <v>20</v>
      </c>
      <c r="B23" s="235" t="s">
        <v>428</v>
      </c>
      <c r="C23" s="235" t="s">
        <v>429</v>
      </c>
      <c r="D23" s="235" t="s">
        <v>430</v>
      </c>
      <c r="E23" s="240"/>
      <c r="F23" s="235" t="s">
        <v>431</v>
      </c>
      <c r="G23" s="236">
        <v>12</v>
      </c>
      <c r="H23" s="310">
        <v>480000</v>
      </c>
      <c r="I23" s="287">
        <v>145600</v>
      </c>
      <c r="J23" s="235">
        <v>100</v>
      </c>
      <c r="K23" s="287">
        <v>10192</v>
      </c>
      <c r="M23" s="123">
        <f t="shared" si="5"/>
        <v>480000</v>
      </c>
      <c r="N23" s="128">
        <f t="shared" si="6"/>
        <v>38400</v>
      </c>
      <c r="O23" s="123">
        <f t="shared" si="7"/>
        <v>441600</v>
      </c>
      <c r="P23" s="128">
        <f t="shared" si="8"/>
        <v>288320</v>
      </c>
      <c r="Q23" s="127">
        <f t="shared" si="9"/>
        <v>153280</v>
      </c>
      <c r="R23" s="123">
        <f t="shared" si="10"/>
        <v>10729.6</v>
      </c>
      <c r="S23" s="124">
        <f t="shared" si="11"/>
        <v>894.13333333333333</v>
      </c>
      <c r="T23" s="125">
        <f t="shared" si="12"/>
        <v>12</v>
      </c>
      <c r="U23" s="129">
        <f t="shared" si="13"/>
        <v>10729.6</v>
      </c>
    </row>
    <row r="24" spans="1:21" ht="26.25">
      <c r="A24" s="234">
        <v>21</v>
      </c>
      <c r="B24" s="237" t="s">
        <v>432</v>
      </c>
      <c r="C24" s="237" t="s">
        <v>433</v>
      </c>
      <c r="D24" s="237" t="s">
        <v>434</v>
      </c>
      <c r="E24" s="238"/>
      <c r="F24" s="237" t="s">
        <v>435</v>
      </c>
      <c r="G24" s="239">
        <v>12</v>
      </c>
      <c r="H24" s="311">
        <v>540000</v>
      </c>
      <c r="I24" s="288">
        <v>188800</v>
      </c>
      <c r="J24" s="237">
        <v>100</v>
      </c>
      <c r="K24" s="288">
        <v>13216</v>
      </c>
      <c r="M24" s="123">
        <f t="shared" si="5"/>
        <v>540000</v>
      </c>
      <c r="N24" s="128">
        <f t="shared" si="6"/>
        <v>43200</v>
      </c>
      <c r="O24" s="123">
        <f t="shared" si="7"/>
        <v>496800</v>
      </c>
      <c r="P24" s="128">
        <f t="shared" si="8"/>
        <v>299360</v>
      </c>
      <c r="Q24" s="127">
        <f t="shared" si="9"/>
        <v>197440</v>
      </c>
      <c r="R24" s="123">
        <f t="shared" si="10"/>
        <v>13820.800000000001</v>
      </c>
      <c r="S24" s="124">
        <f t="shared" si="11"/>
        <v>1151.7333333333333</v>
      </c>
      <c r="T24" s="125">
        <f t="shared" si="12"/>
        <v>12</v>
      </c>
      <c r="U24" s="129">
        <f t="shared" si="13"/>
        <v>13820.8</v>
      </c>
    </row>
    <row r="25" spans="1:21">
      <c r="A25" s="234">
        <v>22</v>
      </c>
      <c r="B25" s="235" t="s">
        <v>436</v>
      </c>
      <c r="C25" s="235" t="s">
        <v>437</v>
      </c>
      <c r="D25" s="235" t="s">
        <v>438</v>
      </c>
      <c r="E25" s="240"/>
      <c r="F25" s="235" t="s">
        <v>390</v>
      </c>
      <c r="G25" s="236">
        <v>12</v>
      </c>
      <c r="H25" s="310">
        <v>480000</v>
      </c>
      <c r="I25" s="287">
        <v>145600</v>
      </c>
      <c r="J25" s="235">
        <v>100</v>
      </c>
      <c r="K25" s="287">
        <v>10192</v>
      </c>
      <c r="M25" s="123">
        <f t="shared" si="5"/>
        <v>480000</v>
      </c>
      <c r="N25" s="128">
        <f t="shared" si="6"/>
        <v>38400</v>
      </c>
      <c r="O25" s="123">
        <f t="shared" si="7"/>
        <v>441600</v>
      </c>
      <c r="P25" s="128">
        <f t="shared" si="8"/>
        <v>288320</v>
      </c>
      <c r="Q25" s="127">
        <f t="shared" si="9"/>
        <v>153280</v>
      </c>
      <c r="R25" s="123">
        <f t="shared" si="10"/>
        <v>10729.6</v>
      </c>
      <c r="S25" s="124">
        <f t="shared" si="11"/>
        <v>894.13333333333333</v>
      </c>
      <c r="T25" s="125">
        <f t="shared" si="12"/>
        <v>12</v>
      </c>
      <c r="U25" s="129">
        <f t="shared" si="13"/>
        <v>10729.6</v>
      </c>
    </row>
    <row r="26" spans="1:21">
      <c r="A26" s="234">
        <v>23</v>
      </c>
      <c r="B26" s="237" t="s">
        <v>439</v>
      </c>
      <c r="C26" s="237" t="s">
        <v>440</v>
      </c>
      <c r="D26" s="237" t="s">
        <v>441</v>
      </c>
      <c r="E26" s="238"/>
      <c r="F26" s="237" t="s">
        <v>412</v>
      </c>
      <c r="G26" s="239">
        <v>12</v>
      </c>
      <c r="H26" s="311">
        <v>420000</v>
      </c>
      <c r="I26" s="288">
        <v>102400</v>
      </c>
      <c r="J26" s="237">
        <v>100</v>
      </c>
      <c r="K26" s="288">
        <v>7168</v>
      </c>
      <c r="M26" s="123">
        <f t="shared" si="5"/>
        <v>420000</v>
      </c>
      <c r="N26" s="128">
        <f t="shared" si="6"/>
        <v>33600</v>
      </c>
      <c r="O26" s="123">
        <f t="shared" si="7"/>
        <v>386400</v>
      </c>
      <c r="P26" s="128">
        <f t="shared" si="8"/>
        <v>277280</v>
      </c>
      <c r="Q26" s="127">
        <f t="shared" si="9"/>
        <v>109120</v>
      </c>
      <c r="R26" s="123">
        <f t="shared" si="10"/>
        <v>7638.4000000000005</v>
      </c>
      <c r="S26" s="124">
        <f t="shared" si="11"/>
        <v>636.53333333333342</v>
      </c>
      <c r="T26" s="125">
        <f t="shared" si="12"/>
        <v>12</v>
      </c>
      <c r="U26" s="129">
        <f t="shared" si="13"/>
        <v>7638.4000000000015</v>
      </c>
    </row>
    <row r="27" spans="1:21">
      <c r="A27" s="234">
        <v>24</v>
      </c>
      <c r="B27" s="235" t="s">
        <v>442</v>
      </c>
      <c r="C27" s="235" t="s">
        <v>443</v>
      </c>
      <c r="D27" s="235" t="s">
        <v>444</v>
      </c>
      <c r="E27" s="235" t="s">
        <v>445</v>
      </c>
      <c r="F27" s="235" t="s">
        <v>390</v>
      </c>
      <c r="G27" s="236">
        <v>12</v>
      </c>
      <c r="H27" s="310">
        <v>480000</v>
      </c>
      <c r="I27" s="287">
        <v>145600</v>
      </c>
      <c r="J27" s="235">
        <v>100</v>
      </c>
      <c r="K27" s="287">
        <v>10192</v>
      </c>
      <c r="M27" s="123">
        <f t="shared" si="5"/>
        <v>480000</v>
      </c>
      <c r="N27" s="128">
        <f t="shared" si="6"/>
        <v>38400</v>
      </c>
      <c r="O27" s="123">
        <f t="shared" si="7"/>
        <v>441600</v>
      </c>
      <c r="P27" s="128">
        <f t="shared" si="8"/>
        <v>288320</v>
      </c>
      <c r="Q27" s="127">
        <f t="shared" si="9"/>
        <v>153280</v>
      </c>
      <c r="R27" s="123">
        <f t="shared" si="10"/>
        <v>10729.6</v>
      </c>
      <c r="S27" s="124">
        <f t="shared" si="11"/>
        <v>894.13333333333333</v>
      </c>
      <c r="T27" s="125">
        <f t="shared" si="12"/>
        <v>12</v>
      </c>
      <c r="U27" s="129">
        <f t="shared" si="13"/>
        <v>10729.6</v>
      </c>
    </row>
    <row r="28" spans="1:21">
      <c r="A28" s="234">
        <v>25</v>
      </c>
      <c r="B28" s="237" t="s">
        <v>446</v>
      </c>
      <c r="C28" s="237" t="s">
        <v>447</v>
      </c>
      <c r="D28" s="237" t="s">
        <v>448</v>
      </c>
      <c r="E28" s="237" t="s">
        <v>449</v>
      </c>
      <c r="F28" s="237" t="s">
        <v>373</v>
      </c>
      <c r="G28" s="239">
        <v>12</v>
      </c>
      <c r="H28" s="311">
        <v>660000</v>
      </c>
      <c r="I28" s="288">
        <v>275200</v>
      </c>
      <c r="J28" s="237">
        <v>100</v>
      </c>
      <c r="K28" s="288">
        <v>19264</v>
      </c>
      <c r="M28" s="123">
        <f t="shared" si="5"/>
        <v>660000</v>
      </c>
      <c r="N28" s="128">
        <f t="shared" si="6"/>
        <v>52800</v>
      </c>
      <c r="O28" s="123">
        <f t="shared" si="7"/>
        <v>607200</v>
      </c>
      <c r="P28" s="128">
        <f t="shared" si="8"/>
        <v>321440</v>
      </c>
      <c r="Q28" s="127">
        <f t="shared" si="9"/>
        <v>285760</v>
      </c>
      <c r="R28" s="123">
        <f t="shared" si="10"/>
        <v>20003.2</v>
      </c>
      <c r="S28" s="124">
        <f t="shared" si="11"/>
        <v>1666.9333333333334</v>
      </c>
      <c r="T28" s="125">
        <f t="shared" si="12"/>
        <v>12</v>
      </c>
      <c r="U28" s="129">
        <f t="shared" si="13"/>
        <v>20003.2</v>
      </c>
    </row>
    <row r="29" spans="1:21">
      <c r="A29" s="234">
        <v>26</v>
      </c>
      <c r="B29" s="235" t="s">
        <v>450</v>
      </c>
      <c r="C29" s="235" t="s">
        <v>451</v>
      </c>
      <c r="D29" s="235" t="s">
        <v>452</v>
      </c>
      <c r="E29" s="240"/>
      <c r="F29" s="235" t="s">
        <v>373</v>
      </c>
      <c r="G29" s="236">
        <v>12</v>
      </c>
      <c r="H29" s="310">
        <v>540000</v>
      </c>
      <c r="I29" s="287">
        <v>188800</v>
      </c>
      <c r="J29" s="235">
        <v>100</v>
      </c>
      <c r="K29" s="287">
        <v>13216</v>
      </c>
      <c r="M29" s="123">
        <f t="shared" si="5"/>
        <v>540000</v>
      </c>
      <c r="N29" s="128">
        <f t="shared" si="6"/>
        <v>43200</v>
      </c>
      <c r="O29" s="123">
        <f t="shared" si="7"/>
        <v>496800</v>
      </c>
      <c r="P29" s="128">
        <f t="shared" si="8"/>
        <v>299360</v>
      </c>
      <c r="Q29" s="127">
        <f t="shared" si="9"/>
        <v>197440</v>
      </c>
      <c r="R29" s="123">
        <f t="shared" si="10"/>
        <v>13820.800000000001</v>
      </c>
      <c r="S29" s="124">
        <f t="shared" si="11"/>
        <v>1151.7333333333333</v>
      </c>
      <c r="T29" s="125">
        <f t="shared" si="12"/>
        <v>12</v>
      </c>
      <c r="U29" s="129">
        <f t="shared" si="13"/>
        <v>13820.8</v>
      </c>
    </row>
    <row r="30" spans="1:21">
      <c r="A30" s="234">
        <v>27</v>
      </c>
      <c r="B30" s="237" t="s">
        <v>453</v>
      </c>
      <c r="C30" s="237" t="s">
        <v>454</v>
      </c>
      <c r="D30" s="237" t="s">
        <v>455</v>
      </c>
      <c r="E30" s="238"/>
      <c r="F30" s="237" t="s">
        <v>456</v>
      </c>
      <c r="G30" s="239">
        <v>12</v>
      </c>
      <c r="H30" s="311">
        <v>540000</v>
      </c>
      <c r="I30" s="288">
        <v>188800</v>
      </c>
      <c r="J30" s="237">
        <v>100</v>
      </c>
      <c r="K30" s="288">
        <v>13216</v>
      </c>
      <c r="M30" s="123">
        <f t="shared" si="5"/>
        <v>540000</v>
      </c>
      <c r="N30" s="128">
        <f t="shared" si="6"/>
        <v>43200</v>
      </c>
      <c r="O30" s="123">
        <f t="shared" si="7"/>
        <v>496800</v>
      </c>
      <c r="P30" s="128">
        <f t="shared" si="8"/>
        <v>299360</v>
      </c>
      <c r="Q30" s="127">
        <f t="shared" si="9"/>
        <v>197440</v>
      </c>
      <c r="R30" s="123">
        <f t="shared" si="10"/>
        <v>13820.800000000001</v>
      </c>
      <c r="S30" s="124">
        <f t="shared" si="11"/>
        <v>1151.7333333333333</v>
      </c>
      <c r="T30" s="125">
        <f t="shared" si="12"/>
        <v>12</v>
      </c>
      <c r="U30" s="129">
        <f t="shared" si="13"/>
        <v>13820.8</v>
      </c>
    </row>
    <row r="31" spans="1:21">
      <c r="A31" s="234">
        <v>28</v>
      </c>
      <c r="B31" s="235" t="s">
        <v>457</v>
      </c>
      <c r="C31" s="235" t="s">
        <v>458</v>
      </c>
      <c r="D31" s="235" t="s">
        <v>459</v>
      </c>
      <c r="E31" s="235" t="s">
        <v>460</v>
      </c>
      <c r="F31" s="235" t="s">
        <v>461</v>
      </c>
      <c r="G31" s="236">
        <v>12</v>
      </c>
      <c r="H31" s="310">
        <v>960000</v>
      </c>
      <c r="I31" s="287">
        <v>491200</v>
      </c>
      <c r="J31" s="235">
        <v>100</v>
      </c>
      <c r="K31" s="287">
        <v>42032</v>
      </c>
      <c r="M31" s="123">
        <f t="shared" si="5"/>
        <v>960000</v>
      </c>
      <c r="N31" s="128">
        <f t="shared" si="6"/>
        <v>76800</v>
      </c>
      <c r="O31" s="123">
        <f t="shared" si="7"/>
        <v>883200</v>
      </c>
      <c r="P31" s="128">
        <f t="shared" si="8"/>
        <v>376640</v>
      </c>
      <c r="Q31" s="127">
        <f t="shared" si="9"/>
        <v>506560</v>
      </c>
      <c r="R31" s="123">
        <f t="shared" si="10"/>
        <v>43721.599999999999</v>
      </c>
      <c r="S31" s="124">
        <f t="shared" si="11"/>
        <v>3643.4666666666667</v>
      </c>
      <c r="T31" s="125">
        <f t="shared" si="12"/>
        <v>12</v>
      </c>
      <c r="U31" s="129">
        <f t="shared" si="13"/>
        <v>43721.599999999999</v>
      </c>
    </row>
    <row r="32" spans="1:21">
      <c r="A32" s="234">
        <v>29</v>
      </c>
      <c r="B32" s="237" t="s">
        <v>462</v>
      </c>
      <c r="C32" s="237" t="s">
        <v>463</v>
      </c>
      <c r="D32" s="237" t="s">
        <v>464</v>
      </c>
      <c r="E32" s="237" t="s">
        <v>465</v>
      </c>
      <c r="F32" s="237" t="s">
        <v>466</v>
      </c>
      <c r="G32" s="239">
        <v>12</v>
      </c>
      <c r="H32" s="311">
        <v>660000</v>
      </c>
      <c r="I32" s="288">
        <v>275200</v>
      </c>
      <c r="J32" s="237">
        <v>100</v>
      </c>
      <c r="K32" s="288">
        <v>19264</v>
      </c>
      <c r="M32" s="123">
        <f t="shared" si="5"/>
        <v>660000</v>
      </c>
      <c r="N32" s="128">
        <f t="shared" si="6"/>
        <v>52800</v>
      </c>
      <c r="O32" s="123">
        <f t="shared" si="7"/>
        <v>607200</v>
      </c>
      <c r="P32" s="128">
        <f t="shared" si="8"/>
        <v>321440</v>
      </c>
      <c r="Q32" s="127">
        <f t="shared" si="9"/>
        <v>285760</v>
      </c>
      <c r="R32" s="123">
        <f t="shared" si="10"/>
        <v>20003.2</v>
      </c>
      <c r="S32" s="124">
        <f t="shared" si="11"/>
        <v>1666.9333333333334</v>
      </c>
      <c r="T32" s="125">
        <f t="shared" si="12"/>
        <v>12</v>
      </c>
      <c r="U32" s="129">
        <f t="shared" si="13"/>
        <v>20003.2</v>
      </c>
    </row>
    <row r="33" spans="1:21" ht="26.25">
      <c r="A33" s="234">
        <v>30</v>
      </c>
      <c r="B33" s="235" t="s">
        <v>467</v>
      </c>
      <c r="C33" s="235" t="s">
        <v>468</v>
      </c>
      <c r="D33" s="235" t="s">
        <v>469</v>
      </c>
      <c r="E33" s="240"/>
      <c r="F33" s="235" t="s">
        <v>470</v>
      </c>
      <c r="G33" s="236">
        <v>12</v>
      </c>
      <c r="H33" s="310">
        <v>660000</v>
      </c>
      <c r="I33" s="287">
        <v>275200</v>
      </c>
      <c r="J33" s="235">
        <v>100</v>
      </c>
      <c r="K33" s="287">
        <v>19264</v>
      </c>
      <c r="M33" s="123">
        <f t="shared" si="5"/>
        <v>660000</v>
      </c>
      <c r="N33" s="128">
        <f t="shared" si="6"/>
        <v>52800</v>
      </c>
      <c r="O33" s="123">
        <f t="shared" si="7"/>
        <v>607200</v>
      </c>
      <c r="P33" s="128">
        <f t="shared" si="8"/>
        <v>321440</v>
      </c>
      <c r="Q33" s="127">
        <f t="shared" si="9"/>
        <v>285760</v>
      </c>
      <c r="R33" s="123">
        <f t="shared" si="10"/>
        <v>20003.2</v>
      </c>
      <c r="S33" s="124">
        <f t="shared" si="11"/>
        <v>1666.9333333333334</v>
      </c>
      <c r="T33" s="125">
        <f t="shared" si="12"/>
        <v>12</v>
      </c>
      <c r="U33" s="129">
        <f t="shared" si="13"/>
        <v>20003.2</v>
      </c>
    </row>
    <row r="34" spans="1:21">
      <c r="A34" s="234">
        <v>31</v>
      </c>
      <c r="B34" s="237" t="s">
        <v>471</v>
      </c>
      <c r="C34" s="237" t="s">
        <v>472</v>
      </c>
      <c r="D34" s="237" t="s">
        <v>473</v>
      </c>
      <c r="E34" s="238"/>
      <c r="F34" s="237" t="s">
        <v>412</v>
      </c>
      <c r="G34" s="239">
        <v>12</v>
      </c>
      <c r="H34" s="311">
        <v>420000</v>
      </c>
      <c r="I34" s="288">
        <v>102400</v>
      </c>
      <c r="J34" s="237">
        <v>100</v>
      </c>
      <c r="K34" s="288">
        <v>7168</v>
      </c>
      <c r="M34" s="123">
        <f t="shared" si="5"/>
        <v>420000</v>
      </c>
      <c r="N34" s="128">
        <f t="shared" si="6"/>
        <v>33600</v>
      </c>
      <c r="O34" s="123">
        <f t="shared" si="7"/>
        <v>386400</v>
      </c>
      <c r="P34" s="128">
        <f t="shared" si="8"/>
        <v>277280</v>
      </c>
      <c r="Q34" s="127">
        <f t="shared" si="9"/>
        <v>109120</v>
      </c>
      <c r="R34" s="123">
        <f t="shared" si="10"/>
        <v>7638.4000000000005</v>
      </c>
      <c r="S34" s="124">
        <f t="shared" si="11"/>
        <v>636.53333333333342</v>
      </c>
      <c r="T34" s="125">
        <f t="shared" si="12"/>
        <v>12</v>
      </c>
      <c r="U34" s="129">
        <f t="shared" si="13"/>
        <v>7638.4000000000015</v>
      </c>
    </row>
    <row r="35" spans="1:21">
      <c r="A35" s="234">
        <v>32</v>
      </c>
      <c r="B35" s="235" t="s">
        <v>474</v>
      </c>
      <c r="C35" s="235" t="s">
        <v>475</v>
      </c>
      <c r="D35" s="235" t="s">
        <v>476</v>
      </c>
      <c r="E35" s="240"/>
      <c r="F35" s="235" t="s">
        <v>477</v>
      </c>
      <c r="G35" s="236">
        <v>12</v>
      </c>
      <c r="H35" s="310">
        <v>600000</v>
      </c>
      <c r="I35" s="287">
        <v>232000</v>
      </c>
      <c r="J35" s="235">
        <v>100</v>
      </c>
      <c r="K35" s="287">
        <v>16240</v>
      </c>
      <c r="M35" s="123">
        <f t="shared" si="5"/>
        <v>600000</v>
      </c>
      <c r="N35" s="128">
        <f t="shared" si="6"/>
        <v>48000</v>
      </c>
      <c r="O35" s="123">
        <f t="shared" si="7"/>
        <v>552000</v>
      </c>
      <c r="P35" s="128">
        <f t="shared" si="8"/>
        <v>310400</v>
      </c>
      <c r="Q35" s="127">
        <f t="shared" si="9"/>
        <v>241600</v>
      </c>
      <c r="R35" s="123">
        <f t="shared" si="10"/>
        <v>16912</v>
      </c>
      <c r="S35" s="124">
        <f t="shared" si="11"/>
        <v>1409.3333333333333</v>
      </c>
      <c r="T35" s="125">
        <f t="shared" si="12"/>
        <v>12</v>
      </c>
      <c r="U35" s="129">
        <f t="shared" si="13"/>
        <v>16912</v>
      </c>
    </row>
    <row r="36" spans="1:21">
      <c r="A36" s="234">
        <v>33</v>
      </c>
      <c r="B36" s="237" t="s">
        <v>478</v>
      </c>
      <c r="C36" s="237" t="s">
        <v>479</v>
      </c>
      <c r="D36" s="237" t="s">
        <v>480</v>
      </c>
      <c r="E36" s="238"/>
      <c r="F36" s="237" t="s">
        <v>481</v>
      </c>
      <c r="G36" s="239">
        <v>12</v>
      </c>
      <c r="H36" s="311">
        <v>660000</v>
      </c>
      <c r="I36" s="288">
        <v>275200</v>
      </c>
      <c r="J36" s="237">
        <v>100</v>
      </c>
      <c r="K36" s="288">
        <v>19264</v>
      </c>
      <c r="M36" s="123">
        <f t="shared" si="5"/>
        <v>660000</v>
      </c>
      <c r="N36" s="128">
        <f t="shared" si="6"/>
        <v>52800</v>
      </c>
      <c r="O36" s="123">
        <f t="shared" si="7"/>
        <v>607200</v>
      </c>
      <c r="P36" s="128">
        <f t="shared" si="8"/>
        <v>321440</v>
      </c>
      <c r="Q36" s="127">
        <f t="shared" si="9"/>
        <v>285760</v>
      </c>
      <c r="R36" s="123">
        <f t="shared" si="10"/>
        <v>20003.2</v>
      </c>
      <c r="S36" s="124">
        <f t="shared" si="11"/>
        <v>1666.9333333333334</v>
      </c>
      <c r="T36" s="125">
        <f t="shared" si="12"/>
        <v>12</v>
      </c>
      <c r="U36" s="129">
        <f t="shared" si="13"/>
        <v>20003.2</v>
      </c>
    </row>
    <row r="37" spans="1:21">
      <c r="A37" s="234">
        <v>34</v>
      </c>
      <c r="B37" s="235" t="s">
        <v>482</v>
      </c>
      <c r="C37" s="235" t="s">
        <v>483</v>
      </c>
      <c r="D37" s="235" t="s">
        <v>484</v>
      </c>
      <c r="E37" s="235" t="s">
        <v>485</v>
      </c>
      <c r="F37" s="235" t="s">
        <v>486</v>
      </c>
      <c r="G37" s="236">
        <v>12</v>
      </c>
      <c r="H37" s="310">
        <v>960000</v>
      </c>
      <c r="I37" s="287">
        <v>491200</v>
      </c>
      <c r="J37" s="235">
        <v>100</v>
      </c>
      <c r="K37" s="287">
        <v>42032</v>
      </c>
      <c r="M37" s="123">
        <f t="shared" si="5"/>
        <v>960000</v>
      </c>
      <c r="N37" s="128">
        <f t="shared" si="6"/>
        <v>76800</v>
      </c>
      <c r="O37" s="123">
        <f t="shared" si="7"/>
        <v>883200</v>
      </c>
      <c r="P37" s="128">
        <f t="shared" si="8"/>
        <v>376640</v>
      </c>
      <c r="Q37" s="127">
        <f t="shared" si="9"/>
        <v>506560</v>
      </c>
      <c r="R37" s="123">
        <f t="shared" si="10"/>
        <v>43721.599999999999</v>
      </c>
      <c r="S37" s="124">
        <f t="shared" si="11"/>
        <v>3643.4666666666667</v>
      </c>
      <c r="T37" s="125">
        <f t="shared" si="12"/>
        <v>12</v>
      </c>
      <c r="U37" s="129">
        <f t="shared" si="13"/>
        <v>43721.599999999999</v>
      </c>
    </row>
    <row r="38" spans="1:21">
      <c r="A38" s="234">
        <v>35</v>
      </c>
      <c r="B38" s="237" t="s">
        <v>487</v>
      </c>
      <c r="C38" s="237" t="s">
        <v>404</v>
      </c>
      <c r="D38" s="237" t="s">
        <v>488</v>
      </c>
      <c r="E38" s="237" t="s">
        <v>489</v>
      </c>
      <c r="F38" s="237" t="s">
        <v>400</v>
      </c>
      <c r="G38" s="239">
        <v>12</v>
      </c>
      <c r="H38" s="311">
        <v>540000</v>
      </c>
      <c r="I38" s="288">
        <v>188800</v>
      </c>
      <c r="J38" s="237">
        <v>100</v>
      </c>
      <c r="K38" s="288">
        <v>13216</v>
      </c>
      <c r="M38" s="123">
        <f t="shared" si="5"/>
        <v>540000</v>
      </c>
      <c r="N38" s="128">
        <f t="shared" si="6"/>
        <v>43200</v>
      </c>
      <c r="O38" s="123">
        <f t="shared" si="7"/>
        <v>496800</v>
      </c>
      <c r="P38" s="128">
        <f t="shared" si="8"/>
        <v>299360</v>
      </c>
      <c r="Q38" s="127">
        <f t="shared" si="9"/>
        <v>197440</v>
      </c>
      <c r="R38" s="123">
        <f t="shared" si="10"/>
        <v>13820.800000000001</v>
      </c>
      <c r="S38" s="124">
        <f t="shared" si="11"/>
        <v>1151.7333333333333</v>
      </c>
      <c r="T38" s="125">
        <f t="shared" si="12"/>
        <v>12</v>
      </c>
      <c r="U38" s="129">
        <f t="shared" si="13"/>
        <v>13820.8</v>
      </c>
    </row>
    <row r="39" spans="1:21">
      <c r="A39" s="234">
        <v>36</v>
      </c>
      <c r="B39" s="235" t="s">
        <v>490</v>
      </c>
      <c r="C39" s="235" t="s">
        <v>491</v>
      </c>
      <c r="D39" s="235" t="s">
        <v>492</v>
      </c>
      <c r="E39" s="235" t="s">
        <v>493</v>
      </c>
      <c r="F39" s="235" t="s">
        <v>373</v>
      </c>
      <c r="G39" s="236">
        <v>12</v>
      </c>
      <c r="H39" s="310">
        <v>540000</v>
      </c>
      <c r="I39" s="287">
        <v>188800</v>
      </c>
      <c r="J39" s="235">
        <v>100</v>
      </c>
      <c r="K39" s="287">
        <v>13216</v>
      </c>
      <c r="M39" s="123">
        <f t="shared" si="5"/>
        <v>540000</v>
      </c>
      <c r="N39" s="128">
        <f t="shared" si="6"/>
        <v>43200</v>
      </c>
      <c r="O39" s="123">
        <f t="shared" si="7"/>
        <v>496800</v>
      </c>
      <c r="P39" s="128">
        <f t="shared" si="8"/>
        <v>299360</v>
      </c>
      <c r="Q39" s="127">
        <f t="shared" si="9"/>
        <v>197440</v>
      </c>
      <c r="R39" s="123">
        <f t="shared" si="10"/>
        <v>13820.800000000001</v>
      </c>
      <c r="S39" s="124">
        <f t="shared" si="11"/>
        <v>1151.7333333333333</v>
      </c>
      <c r="T39" s="125">
        <f t="shared" si="12"/>
        <v>12</v>
      </c>
      <c r="U39" s="129">
        <f t="shared" si="13"/>
        <v>13820.8</v>
      </c>
    </row>
    <row r="40" spans="1:21">
      <c r="A40" s="234">
        <v>37</v>
      </c>
      <c r="B40" s="237" t="s">
        <v>494</v>
      </c>
      <c r="C40" s="237" t="s">
        <v>495</v>
      </c>
      <c r="D40" s="237" t="s">
        <v>496</v>
      </c>
      <c r="E40" s="237" t="s">
        <v>460</v>
      </c>
      <c r="F40" s="237" t="s">
        <v>400</v>
      </c>
      <c r="G40" s="239">
        <v>12</v>
      </c>
      <c r="H40" s="311">
        <v>540000</v>
      </c>
      <c r="I40" s="288">
        <v>188800</v>
      </c>
      <c r="J40" s="237">
        <v>100</v>
      </c>
      <c r="K40" s="288">
        <v>13216</v>
      </c>
      <c r="M40" s="123">
        <f t="shared" si="5"/>
        <v>540000</v>
      </c>
      <c r="N40" s="128">
        <f t="shared" si="6"/>
        <v>43200</v>
      </c>
      <c r="O40" s="123">
        <f t="shared" si="7"/>
        <v>496800</v>
      </c>
      <c r="P40" s="128">
        <f t="shared" si="8"/>
        <v>299360</v>
      </c>
      <c r="Q40" s="127">
        <f t="shared" si="9"/>
        <v>197440</v>
      </c>
      <c r="R40" s="123">
        <f t="shared" si="10"/>
        <v>13820.800000000001</v>
      </c>
      <c r="S40" s="124">
        <f t="shared" si="11"/>
        <v>1151.7333333333333</v>
      </c>
      <c r="T40" s="125">
        <f t="shared" si="12"/>
        <v>12</v>
      </c>
      <c r="U40" s="129">
        <f t="shared" si="13"/>
        <v>13820.8</v>
      </c>
    </row>
    <row r="41" spans="1:21">
      <c r="A41" s="234">
        <v>38</v>
      </c>
      <c r="B41" s="235" t="s">
        <v>497</v>
      </c>
      <c r="C41" s="235" t="s">
        <v>498</v>
      </c>
      <c r="D41" s="235" t="s">
        <v>499</v>
      </c>
      <c r="E41" s="235" t="s">
        <v>500</v>
      </c>
      <c r="F41" s="235" t="s">
        <v>390</v>
      </c>
      <c r="G41" s="236">
        <v>12</v>
      </c>
      <c r="H41" s="310">
        <v>480000</v>
      </c>
      <c r="I41" s="287">
        <v>145600</v>
      </c>
      <c r="J41" s="235">
        <v>100</v>
      </c>
      <c r="K41" s="287">
        <v>10192</v>
      </c>
      <c r="M41" s="123">
        <f t="shared" si="5"/>
        <v>480000</v>
      </c>
      <c r="N41" s="128">
        <f t="shared" si="6"/>
        <v>38400</v>
      </c>
      <c r="O41" s="123">
        <f t="shared" si="7"/>
        <v>441600</v>
      </c>
      <c r="P41" s="128">
        <f t="shared" si="8"/>
        <v>288320</v>
      </c>
      <c r="Q41" s="127">
        <f t="shared" si="9"/>
        <v>153280</v>
      </c>
      <c r="R41" s="123">
        <f t="shared" si="10"/>
        <v>10729.6</v>
      </c>
      <c r="S41" s="124">
        <f t="shared" si="11"/>
        <v>894.13333333333333</v>
      </c>
      <c r="T41" s="125">
        <f t="shared" si="12"/>
        <v>12</v>
      </c>
      <c r="U41" s="129">
        <f t="shared" si="13"/>
        <v>10729.6</v>
      </c>
    </row>
    <row r="42" spans="1:21">
      <c r="A42" s="234">
        <v>39</v>
      </c>
      <c r="B42" s="237" t="s">
        <v>501</v>
      </c>
      <c r="C42" s="237" t="s">
        <v>502</v>
      </c>
      <c r="D42" s="237" t="s">
        <v>503</v>
      </c>
      <c r="E42" s="238"/>
      <c r="F42" s="237" t="s">
        <v>390</v>
      </c>
      <c r="G42" s="239">
        <v>12</v>
      </c>
      <c r="H42" s="311">
        <v>480000</v>
      </c>
      <c r="I42" s="288">
        <v>145600</v>
      </c>
      <c r="J42" s="237">
        <v>100</v>
      </c>
      <c r="K42" s="288">
        <v>10192</v>
      </c>
      <c r="M42" s="123">
        <f t="shared" si="5"/>
        <v>480000</v>
      </c>
      <c r="N42" s="128">
        <f t="shared" si="6"/>
        <v>38400</v>
      </c>
      <c r="O42" s="123">
        <f t="shared" si="7"/>
        <v>441600</v>
      </c>
      <c r="P42" s="128">
        <f t="shared" si="8"/>
        <v>288320</v>
      </c>
      <c r="Q42" s="127">
        <f t="shared" si="9"/>
        <v>153280</v>
      </c>
      <c r="R42" s="123">
        <f t="shared" si="10"/>
        <v>10729.6</v>
      </c>
      <c r="S42" s="124">
        <f t="shared" si="11"/>
        <v>894.13333333333333</v>
      </c>
      <c r="T42" s="125">
        <f t="shared" si="12"/>
        <v>12</v>
      </c>
      <c r="U42" s="129">
        <f t="shared" si="13"/>
        <v>10729.6</v>
      </c>
    </row>
    <row r="43" spans="1:21">
      <c r="A43" s="234">
        <v>40</v>
      </c>
      <c r="B43" s="235" t="s">
        <v>504</v>
      </c>
      <c r="C43" s="235" t="s">
        <v>505</v>
      </c>
      <c r="D43" s="235" t="s">
        <v>506</v>
      </c>
      <c r="E43" s="240"/>
      <c r="F43" s="235" t="s">
        <v>507</v>
      </c>
      <c r="G43" s="236">
        <v>12</v>
      </c>
      <c r="H43" s="310">
        <v>420000</v>
      </c>
      <c r="I43" s="287">
        <v>102400</v>
      </c>
      <c r="J43" s="235">
        <v>100</v>
      </c>
      <c r="K43" s="287">
        <v>7168</v>
      </c>
      <c r="M43" s="123">
        <f t="shared" si="5"/>
        <v>420000</v>
      </c>
      <c r="N43" s="128">
        <f t="shared" si="6"/>
        <v>33600</v>
      </c>
      <c r="O43" s="123">
        <f t="shared" si="7"/>
        <v>386400</v>
      </c>
      <c r="P43" s="128">
        <f t="shared" si="8"/>
        <v>277280</v>
      </c>
      <c r="Q43" s="127">
        <f t="shared" si="9"/>
        <v>109120</v>
      </c>
      <c r="R43" s="123">
        <f t="shared" si="10"/>
        <v>7638.4000000000005</v>
      </c>
      <c r="S43" s="124">
        <f t="shared" si="11"/>
        <v>636.53333333333342</v>
      </c>
      <c r="T43" s="125">
        <f t="shared" si="12"/>
        <v>12</v>
      </c>
      <c r="U43" s="129">
        <f t="shared" si="13"/>
        <v>7638.4000000000015</v>
      </c>
    </row>
    <row r="44" spans="1:21" ht="26.25">
      <c r="A44" s="234">
        <v>41</v>
      </c>
      <c r="B44" s="237" t="s">
        <v>508</v>
      </c>
      <c r="C44" s="237" t="s">
        <v>509</v>
      </c>
      <c r="D44" s="237" t="s">
        <v>510</v>
      </c>
      <c r="E44" s="238"/>
      <c r="F44" s="237" t="s">
        <v>511</v>
      </c>
      <c r="G44" s="239">
        <v>12</v>
      </c>
      <c r="H44" s="311">
        <v>420000</v>
      </c>
      <c r="I44" s="288">
        <v>102400</v>
      </c>
      <c r="J44" s="237">
        <v>100</v>
      </c>
      <c r="K44" s="288">
        <v>7168</v>
      </c>
      <c r="M44" s="123">
        <f t="shared" si="5"/>
        <v>420000</v>
      </c>
      <c r="N44" s="128">
        <f t="shared" si="6"/>
        <v>33600</v>
      </c>
      <c r="O44" s="123">
        <f t="shared" si="7"/>
        <v>386400</v>
      </c>
      <c r="P44" s="128">
        <f t="shared" si="8"/>
        <v>277280</v>
      </c>
      <c r="Q44" s="127">
        <f t="shared" si="9"/>
        <v>109120</v>
      </c>
      <c r="R44" s="123">
        <f t="shared" si="10"/>
        <v>7638.4000000000005</v>
      </c>
      <c r="S44" s="124">
        <f t="shared" si="11"/>
        <v>636.53333333333342</v>
      </c>
      <c r="T44" s="125">
        <f t="shared" si="12"/>
        <v>12</v>
      </c>
      <c r="U44" s="129">
        <f t="shared" si="13"/>
        <v>7638.4000000000015</v>
      </c>
    </row>
    <row r="45" spans="1:21">
      <c r="A45" s="234">
        <v>42</v>
      </c>
      <c r="B45" s="235" t="s">
        <v>512</v>
      </c>
      <c r="C45" s="235" t="s">
        <v>513</v>
      </c>
      <c r="D45" s="235" t="s">
        <v>514</v>
      </c>
      <c r="E45" s="235" t="s">
        <v>515</v>
      </c>
      <c r="F45" s="235" t="s">
        <v>390</v>
      </c>
      <c r="G45" s="236">
        <v>12</v>
      </c>
      <c r="H45" s="310">
        <v>480000</v>
      </c>
      <c r="I45" s="287">
        <v>145600</v>
      </c>
      <c r="J45" s="235">
        <v>100</v>
      </c>
      <c r="K45" s="287">
        <v>10192</v>
      </c>
      <c r="M45" s="123">
        <f t="shared" si="5"/>
        <v>480000</v>
      </c>
      <c r="N45" s="128">
        <f t="shared" si="6"/>
        <v>38400</v>
      </c>
      <c r="O45" s="123">
        <f t="shared" si="7"/>
        <v>441600</v>
      </c>
      <c r="P45" s="128">
        <f t="shared" si="8"/>
        <v>288320</v>
      </c>
      <c r="Q45" s="127">
        <f t="shared" si="9"/>
        <v>153280</v>
      </c>
      <c r="R45" s="123">
        <f t="shared" si="10"/>
        <v>10729.6</v>
      </c>
      <c r="S45" s="124">
        <f t="shared" si="11"/>
        <v>894.13333333333333</v>
      </c>
      <c r="T45" s="125">
        <f t="shared" si="12"/>
        <v>12</v>
      </c>
      <c r="U45" s="129">
        <f t="shared" si="13"/>
        <v>10729.6</v>
      </c>
    </row>
    <row r="46" spans="1:21" ht="26.25">
      <c r="A46" s="234">
        <v>43</v>
      </c>
      <c r="B46" s="237" t="s">
        <v>516</v>
      </c>
      <c r="C46" s="237" t="s">
        <v>517</v>
      </c>
      <c r="D46" s="237" t="s">
        <v>518</v>
      </c>
      <c r="E46" s="238"/>
      <c r="F46" s="237" t="s">
        <v>519</v>
      </c>
      <c r="G46" s="239">
        <v>12</v>
      </c>
      <c r="H46" s="311">
        <v>480000</v>
      </c>
      <c r="I46" s="288">
        <v>145600</v>
      </c>
      <c r="J46" s="237">
        <v>100</v>
      </c>
      <c r="K46" s="288">
        <v>10192</v>
      </c>
      <c r="M46" s="123">
        <f t="shared" si="5"/>
        <v>480000</v>
      </c>
      <c r="N46" s="128">
        <f t="shared" si="6"/>
        <v>38400</v>
      </c>
      <c r="O46" s="123">
        <f t="shared" si="7"/>
        <v>441600</v>
      </c>
      <c r="P46" s="128">
        <f t="shared" si="8"/>
        <v>288320</v>
      </c>
      <c r="Q46" s="127">
        <f t="shared" si="9"/>
        <v>153280</v>
      </c>
      <c r="R46" s="123">
        <f t="shared" si="10"/>
        <v>10729.6</v>
      </c>
      <c r="S46" s="124">
        <f t="shared" si="11"/>
        <v>894.13333333333333</v>
      </c>
      <c r="T46" s="125">
        <f t="shared" si="12"/>
        <v>12</v>
      </c>
      <c r="U46" s="129">
        <f t="shared" si="13"/>
        <v>10729.6</v>
      </c>
    </row>
    <row r="47" spans="1:21">
      <c r="A47" s="234">
        <v>44</v>
      </c>
      <c r="B47" s="235" t="s">
        <v>520</v>
      </c>
      <c r="C47" s="235" t="s">
        <v>521</v>
      </c>
      <c r="D47" s="235" t="s">
        <v>522</v>
      </c>
      <c r="E47" s="240"/>
      <c r="F47" s="235" t="s">
        <v>523</v>
      </c>
      <c r="G47" s="236">
        <v>12</v>
      </c>
      <c r="H47" s="310">
        <v>600000</v>
      </c>
      <c r="I47" s="287">
        <v>232000</v>
      </c>
      <c r="J47" s="235">
        <v>100</v>
      </c>
      <c r="K47" s="287">
        <v>16240</v>
      </c>
      <c r="M47" s="123">
        <f t="shared" si="5"/>
        <v>600000</v>
      </c>
      <c r="N47" s="128">
        <f t="shared" si="6"/>
        <v>48000</v>
      </c>
      <c r="O47" s="123">
        <f t="shared" si="7"/>
        <v>552000</v>
      </c>
      <c r="P47" s="128">
        <f t="shared" si="8"/>
        <v>310400</v>
      </c>
      <c r="Q47" s="127">
        <f t="shared" si="9"/>
        <v>241600</v>
      </c>
      <c r="R47" s="123">
        <f t="shared" si="10"/>
        <v>16912</v>
      </c>
      <c r="S47" s="124">
        <f t="shared" si="11"/>
        <v>1409.3333333333333</v>
      </c>
      <c r="T47" s="125">
        <f t="shared" si="12"/>
        <v>12</v>
      </c>
      <c r="U47" s="129">
        <f t="shared" si="13"/>
        <v>16912</v>
      </c>
    </row>
    <row r="48" spans="1:21">
      <c r="A48" s="234">
        <v>45</v>
      </c>
      <c r="B48" s="237" t="s">
        <v>524</v>
      </c>
      <c r="C48" s="237" t="s">
        <v>525</v>
      </c>
      <c r="D48" s="237" t="s">
        <v>526</v>
      </c>
      <c r="E48" s="238"/>
      <c r="F48" s="237" t="s">
        <v>400</v>
      </c>
      <c r="G48" s="239">
        <v>12</v>
      </c>
      <c r="H48" s="311">
        <v>540000</v>
      </c>
      <c r="I48" s="288">
        <v>188800</v>
      </c>
      <c r="J48" s="237">
        <v>100</v>
      </c>
      <c r="K48" s="288">
        <v>13216</v>
      </c>
      <c r="M48" s="123">
        <f t="shared" si="5"/>
        <v>540000</v>
      </c>
      <c r="N48" s="128">
        <f t="shared" si="6"/>
        <v>43200</v>
      </c>
      <c r="O48" s="123">
        <f t="shared" si="7"/>
        <v>496800</v>
      </c>
      <c r="P48" s="128">
        <f t="shared" si="8"/>
        <v>299360</v>
      </c>
      <c r="Q48" s="127">
        <f t="shared" si="9"/>
        <v>197440</v>
      </c>
      <c r="R48" s="123">
        <f t="shared" si="10"/>
        <v>13820.800000000001</v>
      </c>
      <c r="S48" s="124">
        <f t="shared" si="11"/>
        <v>1151.7333333333333</v>
      </c>
      <c r="T48" s="125">
        <f t="shared" si="12"/>
        <v>12</v>
      </c>
      <c r="U48" s="129">
        <f t="shared" si="13"/>
        <v>13820.8</v>
      </c>
    </row>
    <row r="49" spans="1:21">
      <c r="A49" s="234">
        <v>46</v>
      </c>
      <c r="B49" s="235" t="s">
        <v>527</v>
      </c>
      <c r="C49" s="235" t="s">
        <v>528</v>
      </c>
      <c r="D49" s="235" t="s">
        <v>491</v>
      </c>
      <c r="E49" s="235" t="s">
        <v>529</v>
      </c>
      <c r="F49" s="235" t="s">
        <v>373</v>
      </c>
      <c r="G49" s="236">
        <v>12</v>
      </c>
      <c r="H49" s="310">
        <v>540000</v>
      </c>
      <c r="I49" s="287">
        <v>188800</v>
      </c>
      <c r="J49" s="235">
        <v>100</v>
      </c>
      <c r="K49" s="287">
        <v>13216</v>
      </c>
      <c r="M49" s="123">
        <f t="shared" si="5"/>
        <v>540000</v>
      </c>
      <c r="N49" s="128">
        <f t="shared" si="6"/>
        <v>43200</v>
      </c>
      <c r="O49" s="123">
        <f t="shared" si="7"/>
        <v>496800</v>
      </c>
      <c r="P49" s="128">
        <f t="shared" si="8"/>
        <v>299360</v>
      </c>
      <c r="Q49" s="127">
        <f t="shared" si="9"/>
        <v>197440</v>
      </c>
      <c r="R49" s="123">
        <f t="shared" si="10"/>
        <v>13820.800000000001</v>
      </c>
      <c r="S49" s="124">
        <f t="shared" si="11"/>
        <v>1151.7333333333333</v>
      </c>
      <c r="T49" s="125">
        <f t="shared" si="12"/>
        <v>12</v>
      </c>
      <c r="U49" s="129">
        <f t="shared" si="13"/>
        <v>13820.8</v>
      </c>
    </row>
    <row r="50" spans="1:21">
      <c r="A50" s="234">
        <v>47</v>
      </c>
      <c r="B50" s="237" t="s">
        <v>530</v>
      </c>
      <c r="C50" s="280" t="s">
        <v>531</v>
      </c>
      <c r="D50" s="280" t="s">
        <v>532</v>
      </c>
      <c r="E50" s="280" t="s">
        <v>533</v>
      </c>
      <c r="F50" s="280" t="s">
        <v>534</v>
      </c>
      <c r="G50" s="281">
        <v>12</v>
      </c>
      <c r="H50" s="312">
        <v>1560000</v>
      </c>
      <c r="I50" s="289">
        <v>923200</v>
      </c>
      <c r="J50" s="280">
        <v>100</v>
      </c>
      <c r="K50" s="289">
        <v>102480</v>
      </c>
      <c r="M50" s="123">
        <f t="shared" si="5"/>
        <v>1560000</v>
      </c>
      <c r="N50" s="128">
        <f t="shared" si="6"/>
        <v>124800</v>
      </c>
      <c r="O50" s="123">
        <f t="shared" si="7"/>
        <v>1435200</v>
      </c>
      <c r="P50" s="128">
        <f t="shared" si="8"/>
        <v>487040</v>
      </c>
      <c r="Q50" s="127">
        <f t="shared" si="9"/>
        <v>948160</v>
      </c>
      <c r="R50" s="123">
        <f t="shared" si="10"/>
        <v>106224</v>
      </c>
      <c r="S50" s="124">
        <f t="shared" si="11"/>
        <v>8852</v>
      </c>
      <c r="T50" s="125">
        <f t="shared" si="12"/>
        <v>12</v>
      </c>
      <c r="U50" s="129">
        <f t="shared" si="13"/>
        <v>106224</v>
      </c>
    </row>
    <row r="51" spans="1:21">
      <c r="A51" s="234">
        <v>48</v>
      </c>
      <c r="B51" s="235" t="s">
        <v>535</v>
      </c>
      <c r="C51" s="235" t="s">
        <v>536</v>
      </c>
      <c r="D51" s="235" t="s">
        <v>537</v>
      </c>
      <c r="E51" s="235" t="s">
        <v>538</v>
      </c>
      <c r="F51" s="235" t="s">
        <v>400</v>
      </c>
      <c r="G51" s="236">
        <v>12</v>
      </c>
      <c r="H51" s="310">
        <v>540000</v>
      </c>
      <c r="I51" s="287">
        <v>188800</v>
      </c>
      <c r="J51" s="235">
        <v>100</v>
      </c>
      <c r="K51" s="287">
        <v>13216</v>
      </c>
      <c r="M51" s="123">
        <f t="shared" si="5"/>
        <v>540000</v>
      </c>
      <c r="N51" s="128">
        <f t="shared" si="6"/>
        <v>43200</v>
      </c>
      <c r="O51" s="123">
        <f t="shared" si="7"/>
        <v>496800</v>
      </c>
      <c r="P51" s="128">
        <f t="shared" si="8"/>
        <v>299360</v>
      </c>
      <c r="Q51" s="127">
        <f t="shared" si="9"/>
        <v>197440</v>
      </c>
      <c r="R51" s="123">
        <f t="shared" si="10"/>
        <v>13820.800000000001</v>
      </c>
      <c r="S51" s="124">
        <f t="shared" si="11"/>
        <v>1151.7333333333333</v>
      </c>
      <c r="T51" s="125">
        <f t="shared" si="12"/>
        <v>12</v>
      </c>
      <c r="U51" s="129">
        <f t="shared" si="13"/>
        <v>13820.8</v>
      </c>
    </row>
    <row r="52" spans="1:21">
      <c r="A52" s="234">
        <v>49</v>
      </c>
      <c r="B52" s="237" t="s">
        <v>539</v>
      </c>
      <c r="C52" s="237" t="s">
        <v>540</v>
      </c>
      <c r="D52" s="237" t="s">
        <v>541</v>
      </c>
      <c r="E52" s="237" t="s">
        <v>542</v>
      </c>
      <c r="F52" s="237" t="s">
        <v>543</v>
      </c>
      <c r="G52" s="239">
        <v>12</v>
      </c>
      <c r="H52" s="311">
        <v>840000</v>
      </c>
      <c r="I52" s="288">
        <v>404800</v>
      </c>
      <c r="J52" s="237">
        <v>100</v>
      </c>
      <c r="K52" s="288">
        <v>32528</v>
      </c>
      <c r="M52" s="123">
        <f t="shared" si="5"/>
        <v>840000</v>
      </c>
      <c r="N52" s="128">
        <f t="shared" si="6"/>
        <v>67200</v>
      </c>
      <c r="O52" s="123">
        <f t="shared" si="7"/>
        <v>772800</v>
      </c>
      <c r="P52" s="128">
        <f t="shared" si="8"/>
        <v>354560</v>
      </c>
      <c r="Q52" s="127">
        <f t="shared" si="9"/>
        <v>418240</v>
      </c>
      <c r="R52" s="123">
        <f t="shared" si="10"/>
        <v>34006.400000000001</v>
      </c>
      <c r="S52" s="124">
        <f t="shared" si="11"/>
        <v>2833.8666666666668</v>
      </c>
      <c r="T52" s="125">
        <f t="shared" si="12"/>
        <v>12</v>
      </c>
      <c r="U52" s="129">
        <f t="shared" si="13"/>
        <v>34006.400000000001</v>
      </c>
    </row>
    <row r="53" spans="1:21">
      <c r="A53" s="234">
        <v>50</v>
      </c>
      <c r="B53" s="235" t="s">
        <v>544</v>
      </c>
      <c r="C53" s="235" t="s">
        <v>545</v>
      </c>
      <c r="D53" s="235" t="s">
        <v>546</v>
      </c>
      <c r="E53" s="235" t="s">
        <v>547</v>
      </c>
      <c r="F53" s="235" t="s">
        <v>486</v>
      </c>
      <c r="G53" s="236">
        <v>12</v>
      </c>
      <c r="H53" s="310">
        <v>960000</v>
      </c>
      <c r="I53" s="287">
        <v>491200</v>
      </c>
      <c r="J53" s="235">
        <v>100</v>
      </c>
      <c r="K53" s="287">
        <v>42032</v>
      </c>
      <c r="M53" s="123">
        <f t="shared" si="5"/>
        <v>960000</v>
      </c>
      <c r="N53" s="128">
        <f t="shared" si="6"/>
        <v>76800</v>
      </c>
      <c r="O53" s="123">
        <f t="shared" si="7"/>
        <v>883200</v>
      </c>
      <c r="P53" s="128">
        <f t="shared" si="8"/>
        <v>376640</v>
      </c>
      <c r="Q53" s="127">
        <f t="shared" si="9"/>
        <v>506560</v>
      </c>
      <c r="R53" s="123">
        <f t="shared" si="10"/>
        <v>43721.599999999999</v>
      </c>
      <c r="S53" s="124">
        <f t="shared" si="11"/>
        <v>3643.4666666666667</v>
      </c>
      <c r="T53" s="125">
        <f t="shared" si="12"/>
        <v>12</v>
      </c>
      <c r="U53" s="129">
        <f t="shared" si="13"/>
        <v>43721.599999999999</v>
      </c>
    </row>
    <row r="54" spans="1:21">
      <c r="A54" s="234">
        <v>51</v>
      </c>
      <c r="B54" s="237" t="s">
        <v>548</v>
      </c>
      <c r="C54" s="237" t="s">
        <v>549</v>
      </c>
      <c r="D54" s="237" t="s">
        <v>550</v>
      </c>
      <c r="E54" s="237" t="s">
        <v>551</v>
      </c>
      <c r="F54" s="237" t="s">
        <v>552</v>
      </c>
      <c r="G54" s="239">
        <v>12</v>
      </c>
      <c r="H54" s="311">
        <v>660000</v>
      </c>
      <c r="I54" s="288">
        <v>275200</v>
      </c>
      <c r="J54" s="237">
        <v>100</v>
      </c>
      <c r="K54" s="288">
        <v>19264</v>
      </c>
      <c r="M54" s="123">
        <f t="shared" si="5"/>
        <v>660000</v>
      </c>
      <c r="N54" s="128">
        <f t="shared" si="6"/>
        <v>52800</v>
      </c>
      <c r="O54" s="123">
        <f t="shared" si="7"/>
        <v>607200</v>
      </c>
      <c r="P54" s="128">
        <f t="shared" si="8"/>
        <v>321440</v>
      </c>
      <c r="Q54" s="127">
        <f t="shared" si="9"/>
        <v>285760</v>
      </c>
      <c r="R54" s="123">
        <f t="shared" si="10"/>
        <v>20003.2</v>
      </c>
      <c r="S54" s="124">
        <f t="shared" si="11"/>
        <v>1666.9333333333334</v>
      </c>
      <c r="T54" s="125">
        <f t="shared" si="12"/>
        <v>12</v>
      </c>
      <c r="U54" s="129">
        <f t="shared" si="13"/>
        <v>20003.2</v>
      </c>
    </row>
    <row r="55" spans="1:21">
      <c r="A55" s="234">
        <v>52</v>
      </c>
      <c r="B55" s="235" t="s">
        <v>553</v>
      </c>
      <c r="C55" s="235" t="s">
        <v>554</v>
      </c>
      <c r="D55" s="235" t="s">
        <v>555</v>
      </c>
      <c r="E55" s="240"/>
      <c r="F55" s="235" t="s">
        <v>556</v>
      </c>
      <c r="G55" s="236">
        <v>12</v>
      </c>
      <c r="H55" s="310">
        <v>480000</v>
      </c>
      <c r="I55" s="287">
        <v>145600</v>
      </c>
      <c r="J55" s="235">
        <v>100</v>
      </c>
      <c r="K55" s="287">
        <v>10192</v>
      </c>
      <c r="M55" s="123">
        <f t="shared" si="5"/>
        <v>480000</v>
      </c>
      <c r="N55" s="128">
        <f t="shared" si="6"/>
        <v>38400</v>
      </c>
      <c r="O55" s="123">
        <f t="shared" si="7"/>
        <v>441600</v>
      </c>
      <c r="P55" s="128">
        <f t="shared" si="8"/>
        <v>288320</v>
      </c>
      <c r="Q55" s="127">
        <f t="shared" si="9"/>
        <v>153280</v>
      </c>
      <c r="R55" s="123">
        <f t="shared" si="10"/>
        <v>10729.6</v>
      </c>
      <c r="S55" s="124">
        <f t="shared" si="11"/>
        <v>894.13333333333333</v>
      </c>
      <c r="T55" s="125">
        <f t="shared" si="12"/>
        <v>12</v>
      </c>
      <c r="U55" s="129">
        <f t="shared" si="13"/>
        <v>10729.6</v>
      </c>
    </row>
    <row r="56" spans="1:21">
      <c r="A56" s="234">
        <v>53</v>
      </c>
      <c r="B56" s="237" t="s">
        <v>557</v>
      </c>
      <c r="C56" s="237" t="s">
        <v>558</v>
      </c>
      <c r="D56" s="237" t="s">
        <v>559</v>
      </c>
      <c r="E56" s="237" t="s">
        <v>560</v>
      </c>
      <c r="F56" s="237" t="s">
        <v>390</v>
      </c>
      <c r="G56" s="239">
        <v>12</v>
      </c>
      <c r="H56" s="311">
        <v>480000</v>
      </c>
      <c r="I56" s="288">
        <v>145600</v>
      </c>
      <c r="J56" s="237">
        <v>100</v>
      </c>
      <c r="K56" s="288">
        <v>10192</v>
      </c>
      <c r="M56" s="123">
        <f t="shared" si="5"/>
        <v>480000</v>
      </c>
      <c r="N56" s="128">
        <f t="shared" si="6"/>
        <v>38400</v>
      </c>
      <c r="O56" s="123">
        <f t="shared" si="7"/>
        <v>441600</v>
      </c>
      <c r="P56" s="128">
        <f t="shared" si="8"/>
        <v>288320</v>
      </c>
      <c r="Q56" s="127">
        <f t="shared" si="9"/>
        <v>153280</v>
      </c>
      <c r="R56" s="123">
        <f t="shared" si="10"/>
        <v>10729.6</v>
      </c>
      <c r="S56" s="124">
        <f t="shared" si="11"/>
        <v>894.13333333333333</v>
      </c>
      <c r="T56" s="125">
        <f t="shared" si="12"/>
        <v>12</v>
      </c>
      <c r="U56" s="129">
        <f t="shared" si="13"/>
        <v>10729.6</v>
      </c>
    </row>
    <row r="57" spans="1:21">
      <c r="A57" s="234">
        <v>54</v>
      </c>
      <c r="B57" s="235" t="s">
        <v>561</v>
      </c>
      <c r="C57" s="235" t="s">
        <v>415</v>
      </c>
      <c r="D57" s="235" t="s">
        <v>562</v>
      </c>
      <c r="E57" s="235" t="s">
        <v>563</v>
      </c>
      <c r="F57" s="235" t="s">
        <v>373</v>
      </c>
      <c r="G57" s="236">
        <v>12</v>
      </c>
      <c r="H57" s="310">
        <v>540000</v>
      </c>
      <c r="I57" s="287">
        <v>188800</v>
      </c>
      <c r="J57" s="235">
        <v>100</v>
      </c>
      <c r="K57" s="287">
        <v>13216</v>
      </c>
      <c r="M57" s="123">
        <f t="shared" si="5"/>
        <v>540000</v>
      </c>
      <c r="N57" s="128">
        <f t="shared" si="6"/>
        <v>43200</v>
      </c>
      <c r="O57" s="123">
        <f t="shared" si="7"/>
        <v>496800</v>
      </c>
      <c r="P57" s="128">
        <f t="shared" si="8"/>
        <v>299360</v>
      </c>
      <c r="Q57" s="127">
        <f t="shared" si="9"/>
        <v>197440</v>
      </c>
      <c r="R57" s="123">
        <f t="shared" si="10"/>
        <v>13820.800000000001</v>
      </c>
      <c r="S57" s="124">
        <f t="shared" si="11"/>
        <v>1151.7333333333333</v>
      </c>
      <c r="T57" s="125">
        <f t="shared" si="12"/>
        <v>12</v>
      </c>
      <c r="U57" s="129">
        <f t="shared" si="13"/>
        <v>13820.8</v>
      </c>
    </row>
    <row r="58" spans="1:21">
      <c r="A58" s="234">
        <v>55</v>
      </c>
      <c r="B58" s="237" t="s">
        <v>564</v>
      </c>
      <c r="C58" s="237" t="s">
        <v>565</v>
      </c>
      <c r="D58" s="237" t="s">
        <v>566</v>
      </c>
      <c r="E58" s="237" t="s">
        <v>567</v>
      </c>
      <c r="F58" s="237" t="s">
        <v>568</v>
      </c>
      <c r="G58" s="239">
        <v>12</v>
      </c>
      <c r="H58" s="311">
        <v>480000</v>
      </c>
      <c r="I58" s="288">
        <v>145600</v>
      </c>
      <c r="J58" s="237">
        <v>100</v>
      </c>
      <c r="K58" s="288">
        <v>10192</v>
      </c>
      <c r="M58" s="123">
        <f t="shared" si="5"/>
        <v>480000</v>
      </c>
      <c r="N58" s="128">
        <f t="shared" si="6"/>
        <v>38400</v>
      </c>
      <c r="O58" s="123">
        <f t="shared" si="7"/>
        <v>441600</v>
      </c>
      <c r="P58" s="128">
        <f t="shared" si="8"/>
        <v>288320</v>
      </c>
      <c r="Q58" s="127">
        <f t="shared" si="9"/>
        <v>153280</v>
      </c>
      <c r="R58" s="123">
        <f t="shared" si="10"/>
        <v>10729.6</v>
      </c>
      <c r="S58" s="124">
        <f t="shared" si="11"/>
        <v>894.13333333333333</v>
      </c>
      <c r="T58" s="125">
        <f t="shared" si="12"/>
        <v>12</v>
      </c>
      <c r="U58" s="129">
        <f t="shared" si="13"/>
        <v>10729.6</v>
      </c>
    </row>
    <row r="59" spans="1:21">
      <c r="A59" s="234">
        <v>56</v>
      </c>
      <c r="B59" s="235" t="s">
        <v>569</v>
      </c>
      <c r="C59" s="235" t="s">
        <v>570</v>
      </c>
      <c r="D59" s="235" t="s">
        <v>571</v>
      </c>
      <c r="E59" s="240"/>
      <c r="F59" s="235" t="s">
        <v>461</v>
      </c>
      <c r="G59" s="236">
        <v>12</v>
      </c>
      <c r="H59" s="310">
        <v>660000</v>
      </c>
      <c r="I59" s="287">
        <v>275200</v>
      </c>
      <c r="J59" s="235">
        <v>100</v>
      </c>
      <c r="K59" s="287">
        <v>19264</v>
      </c>
      <c r="M59" s="123">
        <f t="shared" si="5"/>
        <v>660000</v>
      </c>
      <c r="N59" s="128">
        <f t="shared" si="6"/>
        <v>52800</v>
      </c>
      <c r="O59" s="123">
        <f t="shared" si="7"/>
        <v>607200</v>
      </c>
      <c r="P59" s="128">
        <f t="shared" si="8"/>
        <v>321440</v>
      </c>
      <c r="Q59" s="127">
        <f t="shared" si="9"/>
        <v>285760</v>
      </c>
      <c r="R59" s="123">
        <f t="shared" si="10"/>
        <v>20003.2</v>
      </c>
      <c r="S59" s="124">
        <f t="shared" si="11"/>
        <v>1666.9333333333334</v>
      </c>
      <c r="T59" s="125">
        <f t="shared" si="12"/>
        <v>12</v>
      </c>
      <c r="U59" s="129">
        <f t="shared" si="13"/>
        <v>20003.2</v>
      </c>
    </row>
    <row r="60" spans="1:21">
      <c r="A60" s="234">
        <v>57</v>
      </c>
      <c r="B60" s="237" t="s">
        <v>572</v>
      </c>
      <c r="C60" s="237" t="s">
        <v>573</v>
      </c>
      <c r="D60" s="237" t="s">
        <v>574</v>
      </c>
      <c r="E60" s="238"/>
      <c r="F60" s="237" t="s">
        <v>373</v>
      </c>
      <c r="G60" s="239">
        <v>12</v>
      </c>
      <c r="H60" s="311">
        <v>660000</v>
      </c>
      <c r="I60" s="288">
        <v>275200</v>
      </c>
      <c r="J60" s="237">
        <v>100</v>
      </c>
      <c r="K60" s="288">
        <v>19264</v>
      </c>
      <c r="M60" s="123">
        <f t="shared" si="5"/>
        <v>660000</v>
      </c>
      <c r="N60" s="128">
        <f t="shared" si="6"/>
        <v>52800</v>
      </c>
      <c r="O60" s="123">
        <f t="shared" si="7"/>
        <v>607200</v>
      </c>
      <c r="P60" s="128">
        <f t="shared" si="8"/>
        <v>321440</v>
      </c>
      <c r="Q60" s="127">
        <f t="shared" si="9"/>
        <v>285760</v>
      </c>
      <c r="R60" s="123">
        <f t="shared" si="10"/>
        <v>20003.2</v>
      </c>
      <c r="S60" s="124">
        <f t="shared" si="11"/>
        <v>1666.9333333333334</v>
      </c>
      <c r="T60" s="125">
        <f t="shared" si="12"/>
        <v>12</v>
      </c>
      <c r="U60" s="129">
        <f t="shared" si="13"/>
        <v>20003.2</v>
      </c>
    </row>
    <row r="61" spans="1:21">
      <c r="A61" s="234">
        <v>58</v>
      </c>
      <c r="B61" s="235" t="s">
        <v>575</v>
      </c>
      <c r="C61" s="235" t="s">
        <v>576</v>
      </c>
      <c r="D61" s="235" t="s">
        <v>577</v>
      </c>
      <c r="E61" s="235" t="s">
        <v>578</v>
      </c>
      <c r="F61" s="235" t="s">
        <v>412</v>
      </c>
      <c r="G61" s="236">
        <v>12</v>
      </c>
      <c r="H61" s="310">
        <v>420000</v>
      </c>
      <c r="I61" s="287">
        <v>102400</v>
      </c>
      <c r="J61" s="235">
        <v>100</v>
      </c>
      <c r="K61" s="287">
        <v>7168</v>
      </c>
      <c r="M61" s="123">
        <f t="shared" si="5"/>
        <v>420000</v>
      </c>
      <c r="N61" s="128">
        <f t="shared" si="6"/>
        <v>33600</v>
      </c>
      <c r="O61" s="123">
        <f t="shared" si="7"/>
        <v>386400</v>
      </c>
      <c r="P61" s="128">
        <f t="shared" si="8"/>
        <v>277280</v>
      </c>
      <c r="Q61" s="127">
        <f t="shared" si="9"/>
        <v>109120</v>
      </c>
      <c r="R61" s="123">
        <f t="shared" si="10"/>
        <v>7638.4000000000005</v>
      </c>
      <c r="S61" s="124">
        <f t="shared" si="11"/>
        <v>636.53333333333342</v>
      </c>
      <c r="T61" s="125">
        <f t="shared" si="12"/>
        <v>12</v>
      </c>
      <c r="U61" s="129">
        <f t="shared" si="13"/>
        <v>7638.4000000000015</v>
      </c>
    </row>
    <row r="62" spans="1:21">
      <c r="A62" s="234">
        <v>59</v>
      </c>
      <c r="B62" s="237" t="s">
        <v>579</v>
      </c>
      <c r="C62" s="237" t="s">
        <v>580</v>
      </c>
      <c r="D62" s="237" t="s">
        <v>581</v>
      </c>
      <c r="E62" s="237" t="s">
        <v>582</v>
      </c>
      <c r="F62" s="237" t="s">
        <v>583</v>
      </c>
      <c r="G62" s="239">
        <v>12</v>
      </c>
      <c r="H62" s="311">
        <v>480000</v>
      </c>
      <c r="I62" s="288">
        <v>145600</v>
      </c>
      <c r="J62" s="237">
        <v>100</v>
      </c>
      <c r="K62" s="288">
        <v>10192</v>
      </c>
      <c r="M62" s="123">
        <f t="shared" si="5"/>
        <v>480000</v>
      </c>
      <c r="N62" s="128">
        <f t="shared" si="6"/>
        <v>38400</v>
      </c>
      <c r="O62" s="123">
        <f t="shared" si="7"/>
        <v>441600</v>
      </c>
      <c r="P62" s="128">
        <f t="shared" si="8"/>
        <v>288320</v>
      </c>
      <c r="Q62" s="127">
        <f t="shared" si="9"/>
        <v>153280</v>
      </c>
      <c r="R62" s="123">
        <f t="shared" si="10"/>
        <v>10729.6</v>
      </c>
      <c r="S62" s="124">
        <f t="shared" si="11"/>
        <v>894.13333333333333</v>
      </c>
      <c r="T62" s="125">
        <f t="shared" si="12"/>
        <v>12</v>
      </c>
      <c r="U62" s="129">
        <f t="shared" si="13"/>
        <v>10729.6</v>
      </c>
    </row>
    <row r="63" spans="1:21">
      <c r="A63" s="234">
        <v>60</v>
      </c>
      <c r="B63" s="235" t="s">
        <v>584</v>
      </c>
      <c r="C63" s="235" t="s">
        <v>585</v>
      </c>
      <c r="D63" s="235" t="s">
        <v>415</v>
      </c>
      <c r="E63" s="240"/>
      <c r="F63" s="235" t="s">
        <v>364</v>
      </c>
      <c r="G63" s="236">
        <v>12</v>
      </c>
      <c r="H63" s="310">
        <v>660000</v>
      </c>
      <c r="I63" s="287">
        <v>275200</v>
      </c>
      <c r="J63" s="235">
        <v>100</v>
      </c>
      <c r="K63" s="287">
        <v>19264</v>
      </c>
      <c r="M63" s="123">
        <f t="shared" si="5"/>
        <v>660000</v>
      </c>
      <c r="N63" s="128">
        <f t="shared" si="6"/>
        <v>52800</v>
      </c>
      <c r="O63" s="123">
        <f t="shared" si="7"/>
        <v>607200</v>
      </c>
      <c r="P63" s="128">
        <f t="shared" si="8"/>
        <v>321440</v>
      </c>
      <c r="Q63" s="127">
        <f t="shared" si="9"/>
        <v>285760</v>
      </c>
      <c r="R63" s="123">
        <f t="shared" si="10"/>
        <v>20003.2</v>
      </c>
      <c r="S63" s="124">
        <f t="shared" si="11"/>
        <v>1666.9333333333334</v>
      </c>
      <c r="T63" s="125">
        <f t="shared" si="12"/>
        <v>12</v>
      </c>
      <c r="U63" s="129">
        <f t="shared" si="13"/>
        <v>20003.2</v>
      </c>
    </row>
    <row r="64" spans="1:21">
      <c r="A64" s="234">
        <v>61</v>
      </c>
      <c r="B64" s="237" t="s">
        <v>586</v>
      </c>
      <c r="C64" s="237" t="s">
        <v>587</v>
      </c>
      <c r="D64" s="237" t="s">
        <v>588</v>
      </c>
      <c r="E64" s="238"/>
      <c r="F64" s="237" t="s">
        <v>400</v>
      </c>
      <c r="G64" s="239">
        <v>12</v>
      </c>
      <c r="H64" s="311">
        <v>540000</v>
      </c>
      <c r="I64" s="288">
        <v>188800</v>
      </c>
      <c r="J64" s="237">
        <v>100</v>
      </c>
      <c r="K64" s="288">
        <v>13216</v>
      </c>
      <c r="M64" s="123">
        <f t="shared" si="5"/>
        <v>540000</v>
      </c>
      <c r="N64" s="128">
        <f t="shared" si="6"/>
        <v>43200</v>
      </c>
      <c r="O64" s="123">
        <f t="shared" si="7"/>
        <v>496800</v>
      </c>
      <c r="P64" s="128">
        <f t="shared" si="8"/>
        <v>299360</v>
      </c>
      <c r="Q64" s="127">
        <f t="shared" si="9"/>
        <v>197440</v>
      </c>
      <c r="R64" s="123">
        <f t="shared" si="10"/>
        <v>13820.800000000001</v>
      </c>
      <c r="S64" s="124">
        <f t="shared" si="11"/>
        <v>1151.7333333333333</v>
      </c>
      <c r="T64" s="125">
        <f t="shared" si="12"/>
        <v>12</v>
      </c>
      <c r="U64" s="129">
        <f t="shared" si="13"/>
        <v>13820.8</v>
      </c>
    </row>
    <row r="65" spans="1:21">
      <c r="A65" s="234">
        <v>62</v>
      </c>
      <c r="B65" s="235" t="s">
        <v>589</v>
      </c>
      <c r="C65" s="235" t="s">
        <v>459</v>
      </c>
      <c r="D65" s="235" t="s">
        <v>590</v>
      </c>
      <c r="E65" s="235" t="s">
        <v>591</v>
      </c>
      <c r="F65" s="235" t="s">
        <v>373</v>
      </c>
      <c r="G65" s="236">
        <v>12</v>
      </c>
      <c r="H65" s="310">
        <v>540000</v>
      </c>
      <c r="I65" s="287">
        <v>188800</v>
      </c>
      <c r="J65" s="235">
        <v>100</v>
      </c>
      <c r="K65" s="287">
        <v>13216</v>
      </c>
      <c r="M65" s="123">
        <f t="shared" si="5"/>
        <v>540000</v>
      </c>
      <c r="N65" s="128">
        <f t="shared" si="6"/>
        <v>43200</v>
      </c>
      <c r="O65" s="123">
        <f t="shared" si="7"/>
        <v>496800</v>
      </c>
      <c r="P65" s="128">
        <f t="shared" si="8"/>
        <v>299360</v>
      </c>
      <c r="Q65" s="127">
        <f t="shared" si="9"/>
        <v>197440</v>
      </c>
      <c r="R65" s="123">
        <f t="shared" si="10"/>
        <v>13820.800000000001</v>
      </c>
      <c r="S65" s="124">
        <f t="shared" si="11"/>
        <v>1151.7333333333333</v>
      </c>
      <c r="T65" s="125">
        <f t="shared" si="12"/>
        <v>12</v>
      </c>
      <c r="U65" s="129">
        <f t="shared" si="13"/>
        <v>13820.8</v>
      </c>
    </row>
    <row r="66" spans="1:21">
      <c r="A66" s="234">
        <v>63</v>
      </c>
      <c r="B66" s="237" t="s">
        <v>592</v>
      </c>
      <c r="C66" s="237" t="s">
        <v>593</v>
      </c>
      <c r="D66" s="237" t="s">
        <v>594</v>
      </c>
      <c r="E66" s="238"/>
      <c r="F66" s="237" t="s">
        <v>377</v>
      </c>
      <c r="G66" s="223">
        <v>12</v>
      </c>
      <c r="H66" s="311">
        <v>540000</v>
      </c>
      <c r="I66" s="288">
        <v>188800</v>
      </c>
      <c r="J66" s="237">
        <v>100</v>
      </c>
      <c r="K66" s="288">
        <v>13216</v>
      </c>
      <c r="M66" s="123">
        <f t="shared" si="5"/>
        <v>540000</v>
      </c>
      <c r="N66" s="128">
        <f t="shared" si="6"/>
        <v>43200</v>
      </c>
      <c r="O66" s="123">
        <f t="shared" si="7"/>
        <v>496800</v>
      </c>
      <c r="P66" s="128">
        <f t="shared" si="8"/>
        <v>299360</v>
      </c>
      <c r="Q66" s="127">
        <f t="shared" si="9"/>
        <v>197440</v>
      </c>
      <c r="R66" s="123">
        <f t="shared" si="10"/>
        <v>13820.800000000001</v>
      </c>
      <c r="S66" s="124">
        <f t="shared" si="11"/>
        <v>1151.7333333333333</v>
      </c>
      <c r="T66" s="125">
        <f t="shared" si="12"/>
        <v>12</v>
      </c>
      <c r="U66" s="129">
        <f t="shared" si="13"/>
        <v>13820.8</v>
      </c>
    </row>
    <row r="67" spans="1:21" ht="26.25">
      <c r="A67" s="234">
        <v>64</v>
      </c>
      <c r="B67" s="235" t="s">
        <v>595</v>
      </c>
      <c r="C67" s="235" t="s">
        <v>596</v>
      </c>
      <c r="D67" s="235" t="s">
        <v>597</v>
      </c>
      <c r="E67" s="240"/>
      <c r="F67" s="235" t="s">
        <v>519</v>
      </c>
      <c r="G67" s="223">
        <v>12</v>
      </c>
      <c r="H67" s="310">
        <v>540000</v>
      </c>
      <c r="I67" s="287">
        <v>188800</v>
      </c>
      <c r="J67" s="235">
        <v>100</v>
      </c>
      <c r="K67" s="287">
        <v>13216</v>
      </c>
      <c r="M67" s="123">
        <f t="shared" si="5"/>
        <v>540000</v>
      </c>
      <c r="N67" s="128">
        <f t="shared" si="6"/>
        <v>43200</v>
      </c>
      <c r="O67" s="123">
        <f t="shared" si="7"/>
        <v>496800</v>
      </c>
      <c r="P67" s="128">
        <f t="shared" si="8"/>
        <v>299360</v>
      </c>
      <c r="Q67" s="127">
        <f t="shared" si="9"/>
        <v>197440</v>
      </c>
      <c r="R67" s="123">
        <f t="shared" si="10"/>
        <v>13820.800000000001</v>
      </c>
      <c r="S67" s="124">
        <f t="shared" si="11"/>
        <v>1151.7333333333333</v>
      </c>
      <c r="T67" s="125">
        <f t="shared" si="12"/>
        <v>12</v>
      </c>
      <c r="U67" s="129">
        <f t="shared" si="13"/>
        <v>13820.8</v>
      </c>
    </row>
    <row r="68" spans="1:21">
      <c r="A68" s="234">
        <v>65</v>
      </c>
      <c r="B68" s="237" t="s">
        <v>595</v>
      </c>
      <c r="C68" s="237" t="s">
        <v>598</v>
      </c>
      <c r="D68" s="237" t="s">
        <v>599</v>
      </c>
      <c r="E68" s="238"/>
      <c r="F68" s="237" t="s">
        <v>600</v>
      </c>
      <c r="G68" s="223">
        <v>12</v>
      </c>
      <c r="H68" s="311">
        <v>1200000</v>
      </c>
      <c r="I68" s="288">
        <v>664000</v>
      </c>
      <c r="J68" s="237">
        <v>100</v>
      </c>
      <c r="K68" s="288">
        <v>63600</v>
      </c>
      <c r="M68" s="123">
        <f t="shared" si="5"/>
        <v>1200000</v>
      </c>
      <c r="N68" s="128">
        <f t="shared" si="6"/>
        <v>96000</v>
      </c>
      <c r="O68" s="123">
        <f t="shared" si="7"/>
        <v>1104000</v>
      </c>
      <c r="P68" s="128">
        <f t="shared" si="8"/>
        <v>420800</v>
      </c>
      <c r="Q68" s="127">
        <f t="shared" si="9"/>
        <v>683200</v>
      </c>
      <c r="R68" s="123">
        <f t="shared" si="10"/>
        <v>66480</v>
      </c>
      <c r="S68" s="124">
        <f t="shared" si="11"/>
        <v>5540</v>
      </c>
      <c r="T68" s="125">
        <f t="shared" si="12"/>
        <v>12</v>
      </c>
      <c r="U68" s="129">
        <f t="shared" si="13"/>
        <v>66480</v>
      </c>
    </row>
    <row r="69" spans="1:21">
      <c r="A69" s="234">
        <v>66</v>
      </c>
      <c r="B69" s="235" t="s">
        <v>601</v>
      </c>
      <c r="C69" s="235" t="s">
        <v>602</v>
      </c>
      <c r="D69" s="235" t="s">
        <v>603</v>
      </c>
      <c r="E69" s="240"/>
      <c r="F69" s="235" t="s">
        <v>400</v>
      </c>
      <c r="G69" s="223">
        <v>12</v>
      </c>
      <c r="H69" s="310">
        <v>540000</v>
      </c>
      <c r="I69" s="287">
        <v>188800</v>
      </c>
      <c r="J69" s="235">
        <v>100</v>
      </c>
      <c r="K69" s="287">
        <v>13216</v>
      </c>
      <c r="M69" s="123">
        <f t="shared" ref="M69:M125" si="14">H69</f>
        <v>540000</v>
      </c>
      <c r="N69" s="128">
        <f t="shared" ref="N69:N125" si="15">M69*0.08</f>
        <v>43200</v>
      </c>
      <c r="O69" s="123">
        <f t="shared" ref="O69:O126" si="16">M69-N69</f>
        <v>496800</v>
      </c>
      <c r="P69" s="128">
        <f t="shared" ref="P69:P126" si="17">IF(O69&lt;=300000,0,IF(O69&gt;=20000000,(O69*0.21),(O69*0.2)+200000))</f>
        <v>299360</v>
      </c>
      <c r="Q69" s="127">
        <f t="shared" ref="Q69:Q126" si="18">+M69-P69-N69</f>
        <v>197440</v>
      </c>
      <c r="R69" s="123">
        <f t="shared" ref="R69:R126" si="19">IF(P69=0,(M69*0.01),IF(Q69&lt;=0,0.01*M69,IF(AND(Q69&gt;0,Q69&lt;=300000),Q69*7%,IF(AND(Q69&gt;=300000,Q69&lt;600000),21000+(Q69-300000)*11%,IF(AND(Q69&gt;=600000,Q69&lt;1100000),54000+(Q69-600000)*15%,IF(AND(Q69&gt;=1100000,Q69&lt;1600000),129000+(Q69-1100000)*19%,IF(AND(Q69&gt;=1600000,Q69&lt;3200000),224000+(Q69-1600000)*21%,560000+(Q69-3200000)*24%)))))))</f>
        <v>13820.800000000001</v>
      </c>
      <c r="S69" s="124">
        <f t="shared" ref="S69:S126" si="20">R69/12</f>
        <v>1151.7333333333333</v>
      </c>
      <c r="T69" s="125">
        <f t="shared" ref="T69:T126" si="21">G69</f>
        <v>12</v>
      </c>
      <c r="U69" s="129">
        <f t="shared" ref="U69:U126" si="22">+S69*T69</f>
        <v>13820.8</v>
      </c>
    </row>
    <row r="70" spans="1:21">
      <c r="A70" s="234">
        <v>67</v>
      </c>
      <c r="B70" s="237" t="s">
        <v>604</v>
      </c>
      <c r="C70" s="237" t="s">
        <v>605</v>
      </c>
      <c r="D70" s="237" t="s">
        <v>606</v>
      </c>
      <c r="E70" s="238"/>
      <c r="F70" s="237" t="s">
        <v>412</v>
      </c>
      <c r="G70" s="223">
        <v>12</v>
      </c>
      <c r="H70" s="311">
        <v>420000</v>
      </c>
      <c r="I70" s="288">
        <v>102400</v>
      </c>
      <c r="J70" s="237">
        <v>100</v>
      </c>
      <c r="K70" s="288">
        <v>7168</v>
      </c>
      <c r="M70" s="123">
        <f t="shared" si="14"/>
        <v>420000</v>
      </c>
      <c r="N70" s="128">
        <f t="shared" si="15"/>
        <v>33600</v>
      </c>
      <c r="O70" s="123">
        <f t="shared" si="16"/>
        <v>386400</v>
      </c>
      <c r="P70" s="128">
        <f t="shared" si="17"/>
        <v>277280</v>
      </c>
      <c r="Q70" s="127">
        <f t="shared" si="18"/>
        <v>109120</v>
      </c>
      <c r="R70" s="123">
        <f t="shared" si="19"/>
        <v>7638.4000000000005</v>
      </c>
      <c r="S70" s="124">
        <f t="shared" si="20"/>
        <v>636.53333333333342</v>
      </c>
      <c r="T70" s="125">
        <f t="shared" si="21"/>
        <v>12</v>
      </c>
      <c r="U70" s="129">
        <f t="shared" si="22"/>
        <v>7638.4000000000015</v>
      </c>
    </row>
    <row r="71" spans="1:21" s="327" customFormat="1">
      <c r="A71" s="315">
        <v>68</v>
      </c>
      <c r="B71" s="280" t="s">
        <v>607</v>
      </c>
      <c r="C71" s="280" t="s">
        <v>608</v>
      </c>
      <c r="D71" s="280" t="s">
        <v>609</v>
      </c>
      <c r="E71" s="280" t="s">
        <v>610</v>
      </c>
      <c r="F71" s="280" t="s">
        <v>611</v>
      </c>
      <c r="G71" s="328">
        <v>12</v>
      </c>
      <c r="H71" s="312">
        <v>1800000</v>
      </c>
      <c r="I71" s="289">
        <v>1096000</v>
      </c>
      <c r="J71" s="280">
        <v>100</v>
      </c>
      <c r="K71" s="289">
        <v>128400</v>
      </c>
      <c r="M71" s="317">
        <f>I71</f>
        <v>1096000</v>
      </c>
      <c r="N71" s="318">
        <f t="shared" si="15"/>
        <v>87680</v>
      </c>
      <c r="O71" s="317">
        <f t="shared" si="16"/>
        <v>1008320</v>
      </c>
      <c r="P71" s="318">
        <f t="shared" si="17"/>
        <v>401664</v>
      </c>
      <c r="Q71" s="319">
        <f t="shared" si="18"/>
        <v>606656</v>
      </c>
      <c r="R71" s="317">
        <f t="shared" si="19"/>
        <v>54998.400000000001</v>
      </c>
      <c r="S71" s="320">
        <f t="shared" si="20"/>
        <v>4583.2</v>
      </c>
      <c r="T71" s="321">
        <f t="shared" si="21"/>
        <v>12</v>
      </c>
      <c r="U71" s="322">
        <f t="shared" si="22"/>
        <v>54998.399999999994</v>
      </c>
    </row>
    <row r="72" spans="1:21">
      <c r="A72" s="234">
        <v>69</v>
      </c>
      <c r="B72" s="237" t="s">
        <v>612</v>
      </c>
      <c r="C72" s="237" t="s">
        <v>613</v>
      </c>
      <c r="D72" s="237" t="s">
        <v>614</v>
      </c>
      <c r="E72" s="238"/>
      <c r="F72" s="237" t="s">
        <v>615</v>
      </c>
      <c r="G72" s="223">
        <v>12</v>
      </c>
      <c r="H72" s="311">
        <v>480000</v>
      </c>
      <c r="I72" s="288">
        <v>145600</v>
      </c>
      <c r="J72" s="237">
        <v>100</v>
      </c>
      <c r="K72" s="288">
        <v>10192</v>
      </c>
      <c r="M72" s="123">
        <f t="shared" si="14"/>
        <v>480000</v>
      </c>
      <c r="N72" s="128">
        <f t="shared" si="15"/>
        <v>38400</v>
      </c>
      <c r="O72" s="123">
        <f t="shared" si="16"/>
        <v>441600</v>
      </c>
      <c r="P72" s="128">
        <f t="shared" si="17"/>
        <v>288320</v>
      </c>
      <c r="Q72" s="127">
        <f t="shared" si="18"/>
        <v>153280</v>
      </c>
      <c r="R72" s="123">
        <f t="shared" si="19"/>
        <v>10729.6</v>
      </c>
      <c r="S72" s="124">
        <f t="shared" si="20"/>
        <v>894.13333333333333</v>
      </c>
      <c r="T72" s="125">
        <f t="shared" si="21"/>
        <v>12</v>
      </c>
      <c r="U72" s="129">
        <f t="shared" si="22"/>
        <v>10729.6</v>
      </c>
    </row>
    <row r="73" spans="1:21">
      <c r="A73" s="234">
        <v>70</v>
      </c>
      <c r="B73" s="235" t="s">
        <v>616</v>
      </c>
      <c r="C73" s="235" t="s">
        <v>617</v>
      </c>
      <c r="D73" s="235" t="s">
        <v>618</v>
      </c>
      <c r="E73" s="240"/>
      <c r="F73" s="235" t="s">
        <v>400</v>
      </c>
      <c r="G73" s="223">
        <v>12</v>
      </c>
      <c r="H73" s="310">
        <v>540000</v>
      </c>
      <c r="I73" s="287">
        <v>188800</v>
      </c>
      <c r="J73" s="235">
        <v>100</v>
      </c>
      <c r="K73" s="287">
        <v>13216</v>
      </c>
      <c r="M73" s="123">
        <f t="shared" si="14"/>
        <v>540000</v>
      </c>
      <c r="N73" s="128">
        <f t="shared" si="15"/>
        <v>43200</v>
      </c>
      <c r="O73" s="123">
        <f t="shared" si="16"/>
        <v>496800</v>
      </c>
      <c r="P73" s="128">
        <f t="shared" si="17"/>
        <v>299360</v>
      </c>
      <c r="Q73" s="127">
        <f t="shared" si="18"/>
        <v>197440</v>
      </c>
      <c r="R73" s="123">
        <f t="shared" si="19"/>
        <v>13820.800000000001</v>
      </c>
      <c r="S73" s="124">
        <f t="shared" si="20"/>
        <v>1151.7333333333333</v>
      </c>
      <c r="T73" s="125">
        <f t="shared" si="21"/>
        <v>12</v>
      </c>
      <c r="U73" s="129">
        <f t="shared" si="22"/>
        <v>13820.8</v>
      </c>
    </row>
    <row r="74" spans="1:21">
      <c r="A74" s="234">
        <v>71</v>
      </c>
      <c r="B74" s="237" t="s">
        <v>619</v>
      </c>
      <c r="C74" s="237" t="s">
        <v>620</v>
      </c>
      <c r="D74" s="237" t="s">
        <v>593</v>
      </c>
      <c r="E74" s="238"/>
      <c r="F74" s="237" t="s">
        <v>390</v>
      </c>
      <c r="G74" s="223">
        <v>12</v>
      </c>
      <c r="H74" s="311">
        <v>480000</v>
      </c>
      <c r="I74" s="288">
        <v>145600</v>
      </c>
      <c r="J74" s="237">
        <v>100</v>
      </c>
      <c r="K74" s="288">
        <v>10192</v>
      </c>
      <c r="M74" s="123">
        <f t="shared" si="14"/>
        <v>480000</v>
      </c>
      <c r="N74" s="128">
        <f t="shared" si="15"/>
        <v>38400</v>
      </c>
      <c r="O74" s="123">
        <f t="shared" si="16"/>
        <v>441600</v>
      </c>
      <c r="P74" s="128">
        <f t="shared" si="17"/>
        <v>288320</v>
      </c>
      <c r="Q74" s="127">
        <f t="shared" si="18"/>
        <v>153280</v>
      </c>
      <c r="R74" s="123">
        <f t="shared" si="19"/>
        <v>10729.6</v>
      </c>
      <c r="S74" s="124">
        <f t="shared" si="20"/>
        <v>894.13333333333333</v>
      </c>
      <c r="T74" s="125">
        <f t="shared" si="21"/>
        <v>12</v>
      </c>
      <c r="U74" s="129">
        <f t="shared" si="22"/>
        <v>10729.6</v>
      </c>
    </row>
    <row r="75" spans="1:21" ht="26.25">
      <c r="A75" s="234">
        <v>72</v>
      </c>
      <c r="B75" s="235" t="s">
        <v>621</v>
      </c>
      <c r="C75" s="235" t="s">
        <v>620</v>
      </c>
      <c r="D75" s="235" t="s">
        <v>622</v>
      </c>
      <c r="E75" s="235" t="s">
        <v>427</v>
      </c>
      <c r="F75" s="235" t="s">
        <v>623</v>
      </c>
      <c r="G75" s="223">
        <v>12</v>
      </c>
      <c r="H75" s="310">
        <v>1020000</v>
      </c>
      <c r="I75" s="287">
        <v>534400</v>
      </c>
      <c r="J75" s="235">
        <v>100</v>
      </c>
      <c r="K75" s="287">
        <v>46784</v>
      </c>
      <c r="M75" s="123">
        <f t="shared" si="14"/>
        <v>1020000</v>
      </c>
      <c r="N75" s="128">
        <f t="shared" si="15"/>
        <v>81600</v>
      </c>
      <c r="O75" s="123">
        <f t="shared" si="16"/>
        <v>938400</v>
      </c>
      <c r="P75" s="128">
        <f t="shared" si="17"/>
        <v>387680</v>
      </c>
      <c r="Q75" s="127">
        <f t="shared" si="18"/>
        <v>550720</v>
      </c>
      <c r="R75" s="123">
        <f t="shared" si="19"/>
        <v>48579.199999999997</v>
      </c>
      <c r="S75" s="124">
        <f t="shared" si="20"/>
        <v>4048.2666666666664</v>
      </c>
      <c r="T75" s="125">
        <f t="shared" si="21"/>
        <v>12</v>
      </c>
      <c r="U75" s="129">
        <f t="shared" si="22"/>
        <v>48579.199999999997</v>
      </c>
    </row>
    <row r="76" spans="1:21">
      <c r="A76" s="234">
        <v>73</v>
      </c>
      <c r="B76" s="237" t="s">
        <v>624</v>
      </c>
      <c r="C76" s="237" t="s">
        <v>625</v>
      </c>
      <c r="D76" s="237" t="s">
        <v>626</v>
      </c>
      <c r="E76" s="238"/>
      <c r="F76" s="237" t="s">
        <v>400</v>
      </c>
      <c r="G76" s="223">
        <v>12</v>
      </c>
      <c r="H76" s="311">
        <v>540000</v>
      </c>
      <c r="I76" s="288">
        <v>188800</v>
      </c>
      <c r="J76" s="237">
        <v>100</v>
      </c>
      <c r="K76" s="288">
        <v>13216</v>
      </c>
      <c r="M76" s="123">
        <f t="shared" si="14"/>
        <v>540000</v>
      </c>
      <c r="N76" s="128">
        <f t="shared" si="15"/>
        <v>43200</v>
      </c>
      <c r="O76" s="123">
        <f t="shared" si="16"/>
        <v>496800</v>
      </c>
      <c r="P76" s="128">
        <f t="shared" si="17"/>
        <v>299360</v>
      </c>
      <c r="Q76" s="127">
        <f t="shared" si="18"/>
        <v>197440</v>
      </c>
      <c r="R76" s="123">
        <f t="shared" si="19"/>
        <v>13820.800000000001</v>
      </c>
      <c r="S76" s="124">
        <f t="shared" si="20"/>
        <v>1151.7333333333333</v>
      </c>
      <c r="T76" s="125">
        <f t="shared" si="21"/>
        <v>12</v>
      </c>
      <c r="U76" s="129">
        <f t="shared" si="22"/>
        <v>13820.8</v>
      </c>
    </row>
    <row r="77" spans="1:21" ht="26.25">
      <c r="A77" s="234">
        <v>74</v>
      </c>
      <c r="B77" s="235" t="s">
        <v>627</v>
      </c>
      <c r="C77" s="235" t="s">
        <v>628</v>
      </c>
      <c r="D77" s="235" t="s">
        <v>629</v>
      </c>
      <c r="E77" s="235" t="s">
        <v>399</v>
      </c>
      <c r="F77" s="235" t="s">
        <v>630</v>
      </c>
      <c r="G77" s="223">
        <v>12</v>
      </c>
      <c r="H77" s="310">
        <v>660000</v>
      </c>
      <c r="I77" s="287">
        <v>275200</v>
      </c>
      <c r="J77" s="235">
        <v>100</v>
      </c>
      <c r="K77" s="287">
        <v>19264</v>
      </c>
      <c r="M77" s="123">
        <f t="shared" si="14"/>
        <v>660000</v>
      </c>
      <c r="N77" s="128">
        <f t="shared" si="15"/>
        <v>52800</v>
      </c>
      <c r="O77" s="123">
        <f t="shared" si="16"/>
        <v>607200</v>
      </c>
      <c r="P77" s="128">
        <f t="shared" si="17"/>
        <v>321440</v>
      </c>
      <c r="Q77" s="127">
        <f t="shared" si="18"/>
        <v>285760</v>
      </c>
      <c r="R77" s="123">
        <f t="shared" si="19"/>
        <v>20003.2</v>
      </c>
      <c r="S77" s="124">
        <f t="shared" si="20"/>
        <v>1666.9333333333334</v>
      </c>
      <c r="T77" s="125">
        <f t="shared" si="21"/>
        <v>12</v>
      </c>
      <c r="U77" s="129">
        <f t="shared" si="22"/>
        <v>20003.2</v>
      </c>
    </row>
    <row r="78" spans="1:21">
      <c r="A78" s="234">
        <v>75</v>
      </c>
      <c r="B78" s="237" t="s">
        <v>631</v>
      </c>
      <c r="C78" s="237" t="s">
        <v>632</v>
      </c>
      <c r="D78" s="237" t="s">
        <v>633</v>
      </c>
      <c r="E78" s="237" t="s">
        <v>634</v>
      </c>
      <c r="F78" s="237" t="s">
        <v>556</v>
      </c>
      <c r="G78" s="223">
        <v>12</v>
      </c>
      <c r="H78" s="311">
        <v>480000</v>
      </c>
      <c r="I78" s="288">
        <v>145600</v>
      </c>
      <c r="J78" s="237">
        <v>100</v>
      </c>
      <c r="K78" s="288">
        <v>10192</v>
      </c>
      <c r="M78" s="123">
        <f t="shared" si="14"/>
        <v>480000</v>
      </c>
      <c r="N78" s="128">
        <f t="shared" si="15"/>
        <v>38400</v>
      </c>
      <c r="O78" s="123">
        <f t="shared" si="16"/>
        <v>441600</v>
      </c>
      <c r="P78" s="128">
        <f t="shared" si="17"/>
        <v>288320</v>
      </c>
      <c r="Q78" s="127">
        <f t="shared" si="18"/>
        <v>153280</v>
      </c>
      <c r="R78" s="123">
        <f t="shared" si="19"/>
        <v>10729.6</v>
      </c>
      <c r="S78" s="124">
        <f t="shared" si="20"/>
        <v>894.13333333333333</v>
      </c>
      <c r="T78" s="125">
        <f t="shared" si="21"/>
        <v>12</v>
      </c>
      <c r="U78" s="129">
        <f t="shared" si="22"/>
        <v>10729.6</v>
      </c>
    </row>
    <row r="79" spans="1:21">
      <c r="A79" s="234">
        <v>76</v>
      </c>
      <c r="B79" s="235" t="s">
        <v>635</v>
      </c>
      <c r="C79" s="235" t="s">
        <v>458</v>
      </c>
      <c r="D79" s="235" t="s">
        <v>636</v>
      </c>
      <c r="E79" s="240"/>
      <c r="F79" s="235" t="s">
        <v>373</v>
      </c>
      <c r="G79" s="223">
        <v>12</v>
      </c>
      <c r="H79" s="310">
        <v>600000</v>
      </c>
      <c r="I79" s="287">
        <v>232000</v>
      </c>
      <c r="J79" s="235">
        <v>100</v>
      </c>
      <c r="K79" s="287">
        <v>16240</v>
      </c>
      <c r="M79" s="123">
        <f t="shared" si="14"/>
        <v>600000</v>
      </c>
      <c r="N79" s="128">
        <f t="shared" si="15"/>
        <v>48000</v>
      </c>
      <c r="O79" s="123">
        <f t="shared" si="16"/>
        <v>552000</v>
      </c>
      <c r="P79" s="128">
        <f t="shared" si="17"/>
        <v>310400</v>
      </c>
      <c r="Q79" s="127">
        <f t="shared" si="18"/>
        <v>241600</v>
      </c>
      <c r="R79" s="123">
        <f t="shared" si="19"/>
        <v>16912</v>
      </c>
      <c r="S79" s="124">
        <f t="shared" si="20"/>
        <v>1409.3333333333333</v>
      </c>
      <c r="T79" s="125">
        <f t="shared" si="21"/>
        <v>12</v>
      </c>
      <c r="U79" s="129">
        <f t="shared" si="22"/>
        <v>16912</v>
      </c>
    </row>
    <row r="80" spans="1:21">
      <c r="A80" s="234">
        <v>77</v>
      </c>
      <c r="B80" s="237" t="s">
        <v>637</v>
      </c>
      <c r="C80" s="237" t="s">
        <v>638</v>
      </c>
      <c r="D80" s="237" t="s">
        <v>639</v>
      </c>
      <c r="E80" s="238"/>
      <c r="F80" s="237" t="s">
        <v>412</v>
      </c>
      <c r="G80" s="223">
        <v>12</v>
      </c>
      <c r="H80" s="311">
        <v>420000</v>
      </c>
      <c r="I80" s="288">
        <v>102400</v>
      </c>
      <c r="J80" s="237">
        <v>100</v>
      </c>
      <c r="K80" s="288">
        <v>7168</v>
      </c>
      <c r="M80" s="123">
        <f t="shared" si="14"/>
        <v>420000</v>
      </c>
      <c r="N80" s="128">
        <f t="shared" si="15"/>
        <v>33600</v>
      </c>
      <c r="O80" s="123">
        <f t="shared" si="16"/>
        <v>386400</v>
      </c>
      <c r="P80" s="128">
        <f t="shared" si="17"/>
        <v>277280</v>
      </c>
      <c r="Q80" s="127">
        <f t="shared" si="18"/>
        <v>109120</v>
      </c>
      <c r="R80" s="123">
        <f t="shared" si="19"/>
        <v>7638.4000000000005</v>
      </c>
      <c r="S80" s="124">
        <f t="shared" si="20"/>
        <v>636.53333333333342</v>
      </c>
      <c r="T80" s="125">
        <f t="shared" si="21"/>
        <v>12</v>
      </c>
      <c r="U80" s="129">
        <f t="shared" si="22"/>
        <v>7638.4000000000015</v>
      </c>
    </row>
    <row r="81" spans="1:21">
      <c r="A81" s="234">
        <v>78</v>
      </c>
      <c r="B81" s="235" t="s">
        <v>640</v>
      </c>
      <c r="C81" s="235" t="s">
        <v>641</v>
      </c>
      <c r="D81" s="235" t="s">
        <v>465</v>
      </c>
      <c r="E81" s="235" t="s">
        <v>642</v>
      </c>
      <c r="F81" s="235" t="s">
        <v>373</v>
      </c>
      <c r="G81" s="223">
        <v>12</v>
      </c>
      <c r="H81" s="310">
        <v>540000</v>
      </c>
      <c r="I81" s="287">
        <v>188800</v>
      </c>
      <c r="J81" s="235">
        <v>100</v>
      </c>
      <c r="K81" s="287">
        <v>13216</v>
      </c>
      <c r="M81" s="123">
        <f t="shared" si="14"/>
        <v>540000</v>
      </c>
      <c r="N81" s="128">
        <f t="shared" si="15"/>
        <v>43200</v>
      </c>
      <c r="O81" s="123">
        <f t="shared" si="16"/>
        <v>496800</v>
      </c>
      <c r="P81" s="128">
        <f t="shared" si="17"/>
        <v>299360</v>
      </c>
      <c r="Q81" s="127">
        <f t="shared" si="18"/>
        <v>197440</v>
      </c>
      <c r="R81" s="123">
        <f t="shared" si="19"/>
        <v>13820.800000000001</v>
      </c>
      <c r="S81" s="124">
        <f t="shared" si="20"/>
        <v>1151.7333333333333</v>
      </c>
      <c r="T81" s="125">
        <f t="shared" si="21"/>
        <v>12</v>
      </c>
      <c r="U81" s="129">
        <f t="shared" si="22"/>
        <v>13820.8</v>
      </c>
    </row>
    <row r="82" spans="1:21">
      <c r="A82" s="234">
        <v>79</v>
      </c>
      <c r="B82" s="237" t="s">
        <v>643</v>
      </c>
      <c r="C82" s="237" t="s">
        <v>644</v>
      </c>
      <c r="D82" s="237" t="s">
        <v>645</v>
      </c>
      <c r="E82" s="238"/>
      <c r="F82" s="237" t="s">
        <v>373</v>
      </c>
      <c r="G82" s="223">
        <v>12</v>
      </c>
      <c r="H82" s="311">
        <v>540000</v>
      </c>
      <c r="I82" s="288">
        <v>188800</v>
      </c>
      <c r="J82" s="237">
        <v>100</v>
      </c>
      <c r="K82" s="288">
        <v>13216</v>
      </c>
      <c r="M82" s="123">
        <f t="shared" si="14"/>
        <v>540000</v>
      </c>
      <c r="N82" s="128">
        <f t="shared" si="15"/>
        <v>43200</v>
      </c>
      <c r="O82" s="123">
        <f t="shared" si="16"/>
        <v>496800</v>
      </c>
      <c r="P82" s="128">
        <f t="shared" si="17"/>
        <v>299360</v>
      </c>
      <c r="Q82" s="127">
        <f t="shared" si="18"/>
        <v>197440</v>
      </c>
      <c r="R82" s="123">
        <f t="shared" si="19"/>
        <v>13820.800000000001</v>
      </c>
      <c r="S82" s="124">
        <f t="shared" si="20"/>
        <v>1151.7333333333333</v>
      </c>
      <c r="T82" s="125">
        <f t="shared" si="21"/>
        <v>12</v>
      </c>
      <c r="U82" s="129">
        <f t="shared" si="22"/>
        <v>13820.8</v>
      </c>
    </row>
    <row r="83" spans="1:21">
      <c r="A83" s="234">
        <v>80</v>
      </c>
      <c r="B83" s="235" t="s">
        <v>646</v>
      </c>
      <c r="C83" s="235" t="s">
        <v>647</v>
      </c>
      <c r="D83" s="235" t="s">
        <v>648</v>
      </c>
      <c r="E83" s="240"/>
      <c r="F83" s="235" t="s">
        <v>649</v>
      </c>
      <c r="G83" s="223">
        <v>12</v>
      </c>
      <c r="H83" s="310">
        <v>480000</v>
      </c>
      <c r="I83" s="287">
        <v>145600</v>
      </c>
      <c r="J83" s="235">
        <v>100</v>
      </c>
      <c r="K83" s="287">
        <v>10192</v>
      </c>
      <c r="M83" s="123">
        <f t="shared" si="14"/>
        <v>480000</v>
      </c>
      <c r="N83" s="128">
        <f t="shared" si="15"/>
        <v>38400</v>
      </c>
      <c r="O83" s="123">
        <f t="shared" si="16"/>
        <v>441600</v>
      </c>
      <c r="P83" s="128">
        <f t="shared" si="17"/>
        <v>288320</v>
      </c>
      <c r="Q83" s="127">
        <f t="shared" si="18"/>
        <v>153280</v>
      </c>
      <c r="R83" s="123">
        <f t="shared" si="19"/>
        <v>10729.6</v>
      </c>
      <c r="S83" s="124">
        <f t="shared" si="20"/>
        <v>894.13333333333333</v>
      </c>
      <c r="T83" s="125">
        <f t="shared" si="21"/>
        <v>12</v>
      </c>
      <c r="U83" s="129">
        <f t="shared" si="22"/>
        <v>10729.6</v>
      </c>
    </row>
    <row r="84" spans="1:21">
      <c r="A84" s="234">
        <v>81</v>
      </c>
      <c r="B84" s="237" t="s">
        <v>650</v>
      </c>
      <c r="C84" s="237" t="s">
        <v>651</v>
      </c>
      <c r="D84" s="237" t="s">
        <v>652</v>
      </c>
      <c r="E84" s="238"/>
      <c r="F84" s="237" t="s">
        <v>382</v>
      </c>
      <c r="G84" s="223">
        <v>12</v>
      </c>
      <c r="H84" s="311">
        <v>420000</v>
      </c>
      <c r="I84" s="288">
        <v>102400</v>
      </c>
      <c r="J84" s="237">
        <v>100</v>
      </c>
      <c r="K84" s="288">
        <v>7168</v>
      </c>
      <c r="M84" s="123">
        <f t="shared" si="14"/>
        <v>420000</v>
      </c>
      <c r="N84" s="128">
        <f t="shared" si="15"/>
        <v>33600</v>
      </c>
      <c r="O84" s="123">
        <f t="shared" si="16"/>
        <v>386400</v>
      </c>
      <c r="P84" s="128">
        <f t="shared" si="17"/>
        <v>277280</v>
      </c>
      <c r="Q84" s="127">
        <f t="shared" si="18"/>
        <v>109120</v>
      </c>
      <c r="R84" s="123">
        <f t="shared" si="19"/>
        <v>7638.4000000000005</v>
      </c>
      <c r="S84" s="124">
        <f t="shared" si="20"/>
        <v>636.53333333333342</v>
      </c>
      <c r="T84" s="125">
        <f t="shared" si="21"/>
        <v>12</v>
      </c>
      <c r="U84" s="129">
        <f t="shared" si="22"/>
        <v>7638.4000000000015</v>
      </c>
    </row>
    <row r="85" spans="1:21">
      <c r="A85" s="234">
        <v>82</v>
      </c>
      <c r="B85" s="235" t="s">
        <v>653</v>
      </c>
      <c r="C85" s="235" t="s">
        <v>654</v>
      </c>
      <c r="D85" s="235" t="s">
        <v>655</v>
      </c>
      <c r="E85" s="235" t="s">
        <v>656</v>
      </c>
      <c r="F85" s="235" t="s">
        <v>657</v>
      </c>
      <c r="G85" s="223">
        <v>12</v>
      </c>
      <c r="H85" s="310">
        <v>420000</v>
      </c>
      <c r="I85" s="287">
        <v>102400</v>
      </c>
      <c r="J85" s="235">
        <v>100</v>
      </c>
      <c r="K85" s="287">
        <v>7168</v>
      </c>
      <c r="M85" s="123">
        <f t="shared" si="14"/>
        <v>420000</v>
      </c>
      <c r="N85" s="128">
        <f t="shared" si="15"/>
        <v>33600</v>
      </c>
      <c r="O85" s="123">
        <f t="shared" si="16"/>
        <v>386400</v>
      </c>
      <c r="P85" s="128">
        <f t="shared" si="17"/>
        <v>277280</v>
      </c>
      <c r="Q85" s="127">
        <f t="shared" si="18"/>
        <v>109120</v>
      </c>
      <c r="R85" s="123">
        <f t="shared" si="19"/>
        <v>7638.4000000000005</v>
      </c>
      <c r="S85" s="124">
        <f t="shared" si="20"/>
        <v>636.53333333333342</v>
      </c>
      <c r="T85" s="125">
        <f t="shared" si="21"/>
        <v>12</v>
      </c>
      <c r="U85" s="129">
        <f t="shared" si="22"/>
        <v>7638.4000000000015</v>
      </c>
    </row>
    <row r="86" spans="1:21">
      <c r="A86" s="234">
        <v>83</v>
      </c>
      <c r="B86" s="237" t="s">
        <v>658</v>
      </c>
      <c r="C86" s="237" t="s">
        <v>659</v>
      </c>
      <c r="D86" s="237" t="s">
        <v>660</v>
      </c>
      <c r="E86" s="238"/>
      <c r="F86" s="237" t="s">
        <v>373</v>
      </c>
      <c r="G86" s="223">
        <v>12</v>
      </c>
      <c r="H86" s="311">
        <v>540000</v>
      </c>
      <c r="I86" s="288">
        <v>188800</v>
      </c>
      <c r="J86" s="237">
        <v>100</v>
      </c>
      <c r="K86" s="288">
        <v>13216</v>
      </c>
      <c r="M86" s="123">
        <f t="shared" si="14"/>
        <v>540000</v>
      </c>
      <c r="N86" s="128">
        <f t="shared" si="15"/>
        <v>43200</v>
      </c>
      <c r="O86" s="123">
        <f t="shared" si="16"/>
        <v>496800</v>
      </c>
      <c r="P86" s="128">
        <f t="shared" si="17"/>
        <v>299360</v>
      </c>
      <c r="Q86" s="127">
        <f t="shared" si="18"/>
        <v>197440</v>
      </c>
      <c r="R86" s="123">
        <f t="shared" si="19"/>
        <v>13820.800000000001</v>
      </c>
      <c r="S86" s="124">
        <f t="shared" si="20"/>
        <v>1151.7333333333333</v>
      </c>
      <c r="T86" s="125">
        <f t="shared" si="21"/>
        <v>12</v>
      </c>
      <c r="U86" s="129">
        <f t="shared" si="22"/>
        <v>13820.8</v>
      </c>
    </row>
    <row r="87" spans="1:21">
      <c r="A87" s="234">
        <v>84</v>
      </c>
      <c r="B87" s="235" t="s">
        <v>661</v>
      </c>
      <c r="C87" s="235" t="s">
        <v>662</v>
      </c>
      <c r="D87" s="235" t="s">
        <v>663</v>
      </c>
      <c r="E87" s="235" t="s">
        <v>664</v>
      </c>
      <c r="F87" s="235" t="s">
        <v>665</v>
      </c>
      <c r="G87" s="223">
        <v>12</v>
      </c>
      <c r="H87" s="310">
        <v>600000</v>
      </c>
      <c r="I87" s="287">
        <v>232000</v>
      </c>
      <c r="J87" s="235">
        <v>100</v>
      </c>
      <c r="K87" s="287">
        <v>16240</v>
      </c>
      <c r="M87" s="123">
        <f t="shared" si="14"/>
        <v>600000</v>
      </c>
      <c r="N87" s="128">
        <f t="shared" si="15"/>
        <v>48000</v>
      </c>
      <c r="O87" s="123">
        <f t="shared" si="16"/>
        <v>552000</v>
      </c>
      <c r="P87" s="128">
        <f t="shared" si="17"/>
        <v>310400</v>
      </c>
      <c r="Q87" s="127">
        <f t="shared" si="18"/>
        <v>241600</v>
      </c>
      <c r="R87" s="123">
        <f t="shared" si="19"/>
        <v>16912</v>
      </c>
      <c r="S87" s="124">
        <f t="shared" si="20"/>
        <v>1409.3333333333333</v>
      </c>
      <c r="T87" s="125">
        <f t="shared" si="21"/>
        <v>12</v>
      </c>
      <c r="U87" s="129">
        <f t="shared" si="22"/>
        <v>16912</v>
      </c>
    </row>
    <row r="88" spans="1:21">
      <c r="A88" s="234">
        <v>85</v>
      </c>
      <c r="B88" s="237" t="s">
        <v>666</v>
      </c>
      <c r="C88" s="237" t="s">
        <v>576</v>
      </c>
      <c r="D88" s="237" t="s">
        <v>449</v>
      </c>
      <c r="E88" s="238"/>
      <c r="F88" s="237" t="s">
        <v>412</v>
      </c>
      <c r="G88" s="223">
        <v>12</v>
      </c>
      <c r="H88" s="311">
        <v>420000</v>
      </c>
      <c r="I88" s="288">
        <v>102400</v>
      </c>
      <c r="J88" s="237">
        <v>100</v>
      </c>
      <c r="K88" s="288">
        <v>7168</v>
      </c>
      <c r="M88" s="123">
        <f t="shared" si="14"/>
        <v>420000</v>
      </c>
      <c r="N88" s="128">
        <f t="shared" si="15"/>
        <v>33600</v>
      </c>
      <c r="O88" s="123">
        <f t="shared" si="16"/>
        <v>386400</v>
      </c>
      <c r="P88" s="128">
        <f t="shared" si="17"/>
        <v>277280</v>
      </c>
      <c r="Q88" s="127">
        <f t="shared" si="18"/>
        <v>109120</v>
      </c>
      <c r="R88" s="123">
        <f t="shared" si="19"/>
        <v>7638.4000000000005</v>
      </c>
      <c r="S88" s="124">
        <f t="shared" si="20"/>
        <v>636.53333333333342</v>
      </c>
      <c r="T88" s="125">
        <f t="shared" si="21"/>
        <v>12</v>
      </c>
      <c r="U88" s="129">
        <f t="shared" si="22"/>
        <v>7638.4000000000015</v>
      </c>
    </row>
    <row r="89" spans="1:21">
      <c r="A89" s="234">
        <v>86</v>
      </c>
      <c r="B89" s="235" t="s">
        <v>667</v>
      </c>
      <c r="C89" s="235" t="s">
        <v>668</v>
      </c>
      <c r="D89" s="235" t="s">
        <v>669</v>
      </c>
      <c r="E89" s="240"/>
      <c r="F89" s="235" t="s">
        <v>507</v>
      </c>
      <c r="G89" s="223">
        <v>12</v>
      </c>
      <c r="H89" s="310">
        <v>420000</v>
      </c>
      <c r="I89" s="287">
        <v>102400</v>
      </c>
      <c r="J89" s="235">
        <v>100</v>
      </c>
      <c r="K89" s="287">
        <v>7168</v>
      </c>
      <c r="M89" s="123">
        <f t="shared" si="14"/>
        <v>420000</v>
      </c>
      <c r="N89" s="128">
        <f t="shared" si="15"/>
        <v>33600</v>
      </c>
      <c r="O89" s="123">
        <f t="shared" si="16"/>
        <v>386400</v>
      </c>
      <c r="P89" s="128">
        <f t="shared" si="17"/>
        <v>277280</v>
      </c>
      <c r="Q89" s="127">
        <f t="shared" si="18"/>
        <v>109120</v>
      </c>
      <c r="R89" s="123">
        <f t="shared" si="19"/>
        <v>7638.4000000000005</v>
      </c>
      <c r="S89" s="124">
        <f t="shared" si="20"/>
        <v>636.53333333333342</v>
      </c>
      <c r="T89" s="125">
        <f t="shared" si="21"/>
        <v>12</v>
      </c>
      <c r="U89" s="129">
        <f t="shared" si="22"/>
        <v>7638.4000000000015</v>
      </c>
    </row>
    <row r="90" spans="1:21">
      <c r="A90" s="234">
        <v>87</v>
      </c>
      <c r="B90" s="237" t="s">
        <v>670</v>
      </c>
      <c r="C90" s="237" t="s">
        <v>671</v>
      </c>
      <c r="D90" s="237" t="s">
        <v>672</v>
      </c>
      <c r="E90" s="238"/>
      <c r="F90" s="237" t="s">
        <v>477</v>
      </c>
      <c r="G90" s="223">
        <v>12</v>
      </c>
      <c r="H90" s="311">
        <v>420000</v>
      </c>
      <c r="I90" s="288">
        <v>102400</v>
      </c>
      <c r="J90" s="237">
        <v>100</v>
      </c>
      <c r="K90" s="288">
        <v>7168</v>
      </c>
      <c r="M90" s="123">
        <f t="shared" si="14"/>
        <v>420000</v>
      </c>
      <c r="N90" s="128">
        <f t="shared" si="15"/>
        <v>33600</v>
      </c>
      <c r="O90" s="123">
        <f t="shared" si="16"/>
        <v>386400</v>
      </c>
      <c r="P90" s="128">
        <f t="shared" si="17"/>
        <v>277280</v>
      </c>
      <c r="Q90" s="127">
        <f t="shared" si="18"/>
        <v>109120</v>
      </c>
      <c r="R90" s="123">
        <f t="shared" si="19"/>
        <v>7638.4000000000005</v>
      </c>
      <c r="S90" s="124">
        <f t="shared" si="20"/>
        <v>636.53333333333342</v>
      </c>
      <c r="T90" s="125">
        <f t="shared" si="21"/>
        <v>12</v>
      </c>
      <c r="U90" s="129">
        <f t="shared" si="22"/>
        <v>7638.4000000000015</v>
      </c>
    </row>
    <row r="91" spans="1:21">
      <c r="A91" s="234">
        <v>88</v>
      </c>
      <c r="B91" s="235" t="s">
        <v>673</v>
      </c>
      <c r="C91" s="235" t="s">
        <v>674</v>
      </c>
      <c r="D91" s="235" t="s">
        <v>675</v>
      </c>
      <c r="E91" s="240"/>
      <c r="F91" s="235" t="s">
        <v>390</v>
      </c>
      <c r="G91" s="223">
        <v>12</v>
      </c>
      <c r="H91" s="310">
        <v>480000</v>
      </c>
      <c r="I91" s="287">
        <v>145600</v>
      </c>
      <c r="J91" s="235">
        <v>100</v>
      </c>
      <c r="K91" s="287">
        <v>10192</v>
      </c>
      <c r="M91" s="123">
        <f t="shared" si="14"/>
        <v>480000</v>
      </c>
      <c r="N91" s="128">
        <f t="shared" si="15"/>
        <v>38400</v>
      </c>
      <c r="O91" s="123">
        <f t="shared" si="16"/>
        <v>441600</v>
      </c>
      <c r="P91" s="128">
        <f t="shared" si="17"/>
        <v>288320</v>
      </c>
      <c r="Q91" s="127">
        <f t="shared" si="18"/>
        <v>153280</v>
      </c>
      <c r="R91" s="123">
        <f t="shared" si="19"/>
        <v>10729.6</v>
      </c>
      <c r="S91" s="124">
        <f t="shared" si="20"/>
        <v>894.13333333333333</v>
      </c>
      <c r="T91" s="125">
        <f t="shared" si="21"/>
        <v>12</v>
      </c>
      <c r="U91" s="129">
        <f t="shared" si="22"/>
        <v>10729.6</v>
      </c>
    </row>
    <row r="92" spans="1:21">
      <c r="A92" s="234">
        <v>89</v>
      </c>
      <c r="B92" s="237" t="s">
        <v>676</v>
      </c>
      <c r="C92" s="237" t="s">
        <v>677</v>
      </c>
      <c r="D92" s="237" t="s">
        <v>678</v>
      </c>
      <c r="E92" s="238"/>
      <c r="F92" s="237" t="s">
        <v>390</v>
      </c>
      <c r="G92" s="223">
        <v>12</v>
      </c>
      <c r="H92" s="311">
        <v>480000</v>
      </c>
      <c r="I92" s="288">
        <v>145600</v>
      </c>
      <c r="J92" s="237">
        <v>100</v>
      </c>
      <c r="K92" s="288">
        <v>10192</v>
      </c>
      <c r="M92" s="123">
        <f t="shared" si="14"/>
        <v>480000</v>
      </c>
      <c r="N92" s="128">
        <f t="shared" si="15"/>
        <v>38400</v>
      </c>
      <c r="O92" s="123">
        <f t="shared" si="16"/>
        <v>441600</v>
      </c>
      <c r="P92" s="128">
        <f t="shared" si="17"/>
        <v>288320</v>
      </c>
      <c r="Q92" s="127">
        <f t="shared" si="18"/>
        <v>153280</v>
      </c>
      <c r="R92" s="123">
        <f t="shared" si="19"/>
        <v>10729.6</v>
      </c>
      <c r="S92" s="124">
        <f t="shared" si="20"/>
        <v>894.13333333333333</v>
      </c>
      <c r="T92" s="125">
        <f t="shared" si="21"/>
        <v>12</v>
      </c>
      <c r="U92" s="129">
        <f t="shared" si="22"/>
        <v>10729.6</v>
      </c>
    </row>
    <row r="93" spans="1:21">
      <c r="A93" s="234">
        <v>90</v>
      </c>
      <c r="B93" s="235" t="s">
        <v>679</v>
      </c>
      <c r="C93" s="235" t="s">
        <v>680</v>
      </c>
      <c r="D93" s="235" t="s">
        <v>681</v>
      </c>
      <c r="E93" s="235" t="s">
        <v>682</v>
      </c>
      <c r="F93" s="235" t="s">
        <v>373</v>
      </c>
      <c r="G93" s="223">
        <v>12</v>
      </c>
      <c r="H93" s="310">
        <v>540000</v>
      </c>
      <c r="I93" s="287">
        <v>188800</v>
      </c>
      <c r="J93" s="235">
        <v>100</v>
      </c>
      <c r="K93" s="287">
        <v>13216</v>
      </c>
      <c r="M93" s="123">
        <f t="shared" si="14"/>
        <v>540000</v>
      </c>
      <c r="N93" s="128">
        <f t="shared" si="15"/>
        <v>43200</v>
      </c>
      <c r="O93" s="123">
        <f t="shared" si="16"/>
        <v>496800</v>
      </c>
      <c r="P93" s="128">
        <f t="shared" si="17"/>
        <v>299360</v>
      </c>
      <c r="Q93" s="127">
        <f t="shared" si="18"/>
        <v>197440</v>
      </c>
      <c r="R93" s="123">
        <f t="shared" si="19"/>
        <v>13820.800000000001</v>
      </c>
      <c r="S93" s="124">
        <f t="shared" si="20"/>
        <v>1151.7333333333333</v>
      </c>
      <c r="T93" s="125">
        <f t="shared" si="21"/>
        <v>12</v>
      </c>
      <c r="U93" s="129">
        <f t="shared" si="22"/>
        <v>13820.8</v>
      </c>
    </row>
    <row r="94" spans="1:21">
      <c r="A94" s="234">
        <v>91</v>
      </c>
      <c r="B94" s="237" t="s">
        <v>683</v>
      </c>
      <c r="C94" s="237" t="s">
        <v>684</v>
      </c>
      <c r="D94" s="237" t="s">
        <v>685</v>
      </c>
      <c r="E94" s="237" t="s">
        <v>686</v>
      </c>
      <c r="F94" s="237" t="s">
        <v>412</v>
      </c>
      <c r="G94" s="223">
        <v>12</v>
      </c>
      <c r="H94" s="311">
        <v>420000</v>
      </c>
      <c r="I94" s="288">
        <v>102400</v>
      </c>
      <c r="J94" s="237">
        <v>100</v>
      </c>
      <c r="K94" s="288">
        <v>7168</v>
      </c>
      <c r="M94" s="123">
        <f t="shared" si="14"/>
        <v>420000</v>
      </c>
      <c r="N94" s="128">
        <f t="shared" si="15"/>
        <v>33600</v>
      </c>
      <c r="O94" s="123">
        <f t="shared" si="16"/>
        <v>386400</v>
      </c>
      <c r="P94" s="128">
        <f t="shared" si="17"/>
        <v>277280</v>
      </c>
      <c r="Q94" s="127">
        <f t="shared" si="18"/>
        <v>109120</v>
      </c>
      <c r="R94" s="123">
        <f t="shared" si="19"/>
        <v>7638.4000000000005</v>
      </c>
      <c r="S94" s="124">
        <f t="shared" si="20"/>
        <v>636.53333333333342</v>
      </c>
      <c r="T94" s="125">
        <f t="shared" si="21"/>
        <v>12</v>
      </c>
      <c r="U94" s="129">
        <f t="shared" si="22"/>
        <v>7638.4000000000015</v>
      </c>
    </row>
    <row r="95" spans="1:21">
      <c r="A95" s="234">
        <v>92</v>
      </c>
      <c r="B95" s="235" t="s">
        <v>687</v>
      </c>
      <c r="C95" s="235" t="s">
        <v>688</v>
      </c>
      <c r="D95" s="235" t="s">
        <v>689</v>
      </c>
      <c r="E95" s="235" t="s">
        <v>690</v>
      </c>
      <c r="F95" s="235" t="s">
        <v>390</v>
      </c>
      <c r="G95" s="223">
        <v>12</v>
      </c>
      <c r="H95" s="310">
        <v>480000</v>
      </c>
      <c r="I95" s="287">
        <v>145600</v>
      </c>
      <c r="J95" s="235">
        <v>100</v>
      </c>
      <c r="K95" s="287">
        <v>10192</v>
      </c>
      <c r="M95" s="123">
        <f t="shared" si="14"/>
        <v>480000</v>
      </c>
      <c r="N95" s="128">
        <f t="shared" si="15"/>
        <v>38400</v>
      </c>
      <c r="O95" s="123">
        <f t="shared" si="16"/>
        <v>441600</v>
      </c>
      <c r="P95" s="128">
        <f t="shared" si="17"/>
        <v>288320</v>
      </c>
      <c r="Q95" s="127">
        <f t="shared" si="18"/>
        <v>153280</v>
      </c>
      <c r="R95" s="123">
        <f t="shared" si="19"/>
        <v>10729.6</v>
      </c>
      <c r="S95" s="124">
        <f t="shared" si="20"/>
        <v>894.13333333333333</v>
      </c>
      <c r="T95" s="125">
        <f t="shared" si="21"/>
        <v>12</v>
      </c>
      <c r="U95" s="129">
        <f t="shared" si="22"/>
        <v>10729.6</v>
      </c>
    </row>
    <row r="96" spans="1:21" ht="26.25">
      <c r="A96" s="234">
        <v>93</v>
      </c>
      <c r="B96" s="237" t="s">
        <v>691</v>
      </c>
      <c r="C96" s="237" t="s">
        <v>692</v>
      </c>
      <c r="D96" s="237" t="s">
        <v>693</v>
      </c>
      <c r="E96" s="237" t="s">
        <v>694</v>
      </c>
      <c r="F96" s="237" t="s">
        <v>630</v>
      </c>
      <c r="G96" s="223">
        <v>12</v>
      </c>
      <c r="H96" s="311">
        <v>600000</v>
      </c>
      <c r="I96" s="288">
        <v>232000</v>
      </c>
      <c r="J96" s="237">
        <v>100</v>
      </c>
      <c r="K96" s="288">
        <v>16240</v>
      </c>
      <c r="M96" s="123">
        <f t="shared" si="14"/>
        <v>600000</v>
      </c>
      <c r="N96" s="128">
        <f t="shared" si="15"/>
        <v>48000</v>
      </c>
      <c r="O96" s="123">
        <f t="shared" si="16"/>
        <v>552000</v>
      </c>
      <c r="P96" s="128">
        <f t="shared" si="17"/>
        <v>310400</v>
      </c>
      <c r="Q96" s="127">
        <f t="shared" si="18"/>
        <v>241600</v>
      </c>
      <c r="R96" s="123">
        <f t="shared" si="19"/>
        <v>16912</v>
      </c>
      <c r="S96" s="124">
        <f t="shared" si="20"/>
        <v>1409.3333333333333</v>
      </c>
      <c r="T96" s="125">
        <f t="shared" si="21"/>
        <v>12</v>
      </c>
      <c r="U96" s="129">
        <f t="shared" si="22"/>
        <v>16912</v>
      </c>
    </row>
    <row r="97" spans="1:21">
      <c r="A97" s="234">
        <v>94</v>
      </c>
      <c r="B97" s="235" t="s">
        <v>695</v>
      </c>
      <c r="C97" s="235" t="s">
        <v>696</v>
      </c>
      <c r="D97" s="235" t="s">
        <v>697</v>
      </c>
      <c r="E97" s="240"/>
      <c r="F97" s="235" t="s">
        <v>698</v>
      </c>
      <c r="G97" s="223">
        <v>12</v>
      </c>
      <c r="H97" s="310">
        <v>540000</v>
      </c>
      <c r="I97" s="287">
        <v>188800</v>
      </c>
      <c r="J97" s="235">
        <v>100</v>
      </c>
      <c r="K97" s="287">
        <v>13216</v>
      </c>
      <c r="M97" s="123">
        <f t="shared" si="14"/>
        <v>540000</v>
      </c>
      <c r="N97" s="128">
        <f t="shared" si="15"/>
        <v>43200</v>
      </c>
      <c r="O97" s="123">
        <f t="shared" si="16"/>
        <v>496800</v>
      </c>
      <c r="P97" s="128">
        <f t="shared" si="17"/>
        <v>299360</v>
      </c>
      <c r="Q97" s="127">
        <f t="shared" si="18"/>
        <v>197440</v>
      </c>
      <c r="R97" s="123">
        <f t="shared" si="19"/>
        <v>13820.800000000001</v>
      </c>
      <c r="S97" s="124">
        <f t="shared" si="20"/>
        <v>1151.7333333333333</v>
      </c>
      <c r="T97" s="125">
        <f t="shared" si="21"/>
        <v>12</v>
      </c>
      <c r="U97" s="129">
        <f t="shared" si="22"/>
        <v>13820.8</v>
      </c>
    </row>
    <row r="98" spans="1:21">
      <c r="A98" s="234">
        <v>95</v>
      </c>
      <c r="B98" s="237" t="s">
        <v>699</v>
      </c>
      <c r="C98" s="237" t="s">
        <v>700</v>
      </c>
      <c r="D98" s="237" t="s">
        <v>701</v>
      </c>
      <c r="E98" s="238"/>
      <c r="F98" s="237" t="s">
        <v>702</v>
      </c>
      <c r="G98" s="223">
        <v>12</v>
      </c>
      <c r="H98" s="311">
        <v>720000</v>
      </c>
      <c r="I98" s="288">
        <v>318400</v>
      </c>
      <c r="J98" s="237">
        <v>100</v>
      </c>
      <c r="K98" s="288">
        <v>23024</v>
      </c>
      <c r="M98" s="123">
        <f t="shared" si="14"/>
        <v>720000</v>
      </c>
      <c r="N98" s="128">
        <f t="shared" si="15"/>
        <v>57600</v>
      </c>
      <c r="O98" s="123">
        <f t="shared" si="16"/>
        <v>662400</v>
      </c>
      <c r="P98" s="128">
        <f t="shared" si="17"/>
        <v>332480</v>
      </c>
      <c r="Q98" s="127">
        <f t="shared" si="18"/>
        <v>329920</v>
      </c>
      <c r="R98" s="123">
        <f t="shared" si="19"/>
        <v>24291.200000000001</v>
      </c>
      <c r="S98" s="124">
        <f t="shared" si="20"/>
        <v>2024.2666666666667</v>
      </c>
      <c r="T98" s="125">
        <f t="shared" si="21"/>
        <v>12</v>
      </c>
      <c r="U98" s="129">
        <f t="shared" si="22"/>
        <v>24291.200000000001</v>
      </c>
    </row>
    <row r="99" spans="1:21" ht="26.25">
      <c r="A99" s="234">
        <v>96</v>
      </c>
      <c r="B99" s="235" t="s">
        <v>703</v>
      </c>
      <c r="C99" s="235" t="s">
        <v>704</v>
      </c>
      <c r="D99" s="235" t="s">
        <v>705</v>
      </c>
      <c r="E99" s="240"/>
      <c r="F99" s="235" t="s">
        <v>623</v>
      </c>
      <c r="G99" s="223">
        <v>12</v>
      </c>
      <c r="H99" s="310">
        <v>1260000</v>
      </c>
      <c r="I99" s="287">
        <v>707200</v>
      </c>
      <c r="J99" s="235">
        <v>100</v>
      </c>
      <c r="K99" s="287">
        <v>70080</v>
      </c>
      <c r="M99" s="123">
        <f t="shared" si="14"/>
        <v>1260000</v>
      </c>
      <c r="N99" s="128">
        <f t="shared" si="15"/>
        <v>100800</v>
      </c>
      <c r="O99" s="123">
        <f t="shared" si="16"/>
        <v>1159200</v>
      </c>
      <c r="P99" s="128">
        <f t="shared" si="17"/>
        <v>431840</v>
      </c>
      <c r="Q99" s="127">
        <f t="shared" si="18"/>
        <v>727360</v>
      </c>
      <c r="R99" s="123">
        <f t="shared" si="19"/>
        <v>73104</v>
      </c>
      <c r="S99" s="124">
        <f t="shared" si="20"/>
        <v>6092</v>
      </c>
      <c r="T99" s="125">
        <f t="shared" si="21"/>
        <v>12</v>
      </c>
      <c r="U99" s="129">
        <f t="shared" si="22"/>
        <v>73104</v>
      </c>
    </row>
    <row r="100" spans="1:21">
      <c r="A100" s="234">
        <v>97</v>
      </c>
      <c r="B100" s="237" t="s">
        <v>706</v>
      </c>
      <c r="C100" s="237" t="s">
        <v>707</v>
      </c>
      <c r="D100" s="237" t="s">
        <v>708</v>
      </c>
      <c r="E100" s="237" t="s">
        <v>675</v>
      </c>
      <c r="F100" s="237" t="s">
        <v>709</v>
      </c>
      <c r="G100" s="223">
        <v>12</v>
      </c>
      <c r="H100" s="311">
        <v>420000</v>
      </c>
      <c r="I100" s="288">
        <v>102400</v>
      </c>
      <c r="J100" s="237">
        <v>100</v>
      </c>
      <c r="K100" s="288">
        <v>7168</v>
      </c>
      <c r="M100" s="123">
        <f t="shared" si="14"/>
        <v>420000</v>
      </c>
      <c r="N100" s="128">
        <f t="shared" si="15"/>
        <v>33600</v>
      </c>
      <c r="O100" s="123">
        <f t="shared" si="16"/>
        <v>386400</v>
      </c>
      <c r="P100" s="128">
        <f t="shared" si="17"/>
        <v>277280</v>
      </c>
      <c r="Q100" s="127">
        <f t="shared" si="18"/>
        <v>109120</v>
      </c>
      <c r="R100" s="123">
        <f t="shared" si="19"/>
        <v>7638.4000000000005</v>
      </c>
      <c r="S100" s="124">
        <f t="shared" si="20"/>
        <v>636.53333333333342</v>
      </c>
      <c r="T100" s="125">
        <f t="shared" si="21"/>
        <v>12</v>
      </c>
      <c r="U100" s="129">
        <f t="shared" si="22"/>
        <v>7638.4000000000015</v>
      </c>
    </row>
    <row r="101" spans="1:21">
      <c r="A101" s="234">
        <v>98</v>
      </c>
      <c r="B101" s="235" t="s">
        <v>710</v>
      </c>
      <c r="C101" s="235" t="s">
        <v>711</v>
      </c>
      <c r="D101" s="235" t="s">
        <v>712</v>
      </c>
      <c r="E101" s="240"/>
      <c r="F101" s="235" t="s">
        <v>709</v>
      </c>
      <c r="G101" s="223">
        <v>12</v>
      </c>
      <c r="H101" s="310">
        <v>420000</v>
      </c>
      <c r="I101" s="287">
        <v>102400</v>
      </c>
      <c r="J101" s="235">
        <v>100</v>
      </c>
      <c r="K101" s="287">
        <v>7168</v>
      </c>
      <c r="M101" s="123">
        <f t="shared" si="14"/>
        <v>420000</v>
      </c>
      <c r="N101" s="128">
        <f t="shared" si="15"/>
        <v>33600</v>
      </c>
      <c r="O101" s="123">
        <f t="shared" si="16"/>
        <v>386400</v>
      </c>
      <c r="P101" s="128">
        <f t="shared" si="17"/>
        <v>277280</v>
      </c>
      <c r="Q101" s="127">
        <f t="shared" si="18"/>
        <v>109120</v>
      </c>
      <c r="R101" s="123">
        <f t="shared" si="19"/>
        <v>7638.4000000000005</v>
      </c>
      <c r="S101" s="124">
        <f t="shared" si="20"/>
        <v>636.53333333333342</v>
      </c>
      <c r="T101" s="125">
        <f t="shared" si="21"/>
        <v>12</v>
      </c>
      <c r="U101" s="129">
        <f t="shared" si="22"/>
        <v>7638.4000000000015</v>
      </c>
    </row>
    <row r="102" spans="1:21">
      <c r="A102" s="234">
        <v>99</v>
      </c>
      <c r="B102" s="237" t="s">
        <v>713</v>
      </c>
      <c r="C102" s="237" t="s">
        <v>714</v>
      </c>
      <c r="D102" s="237" t="s">
        <v>715</v>
      </c>
      <c r="E102" s="237" t="s">
        <v>460</v>
      </c>
      <c r="F102" s="237" t="s">
        <v>373</v>
      </c>
      <c r="G102" s="223">
        <v>12</v>
      </c>
      <c r="H102" s="311">
        <v>540000</v>
      </c>
      <c r="I102" s="288">
        <v>188800</v>
      </c>
      <c r="J102" s="237">
        <v>100</v>
      </c>
      <c r="K102" s="288">
        <v>13216</v>
      </c>
      <c r="M102" s="123">
        <f t="shared" si="14"/>
        <v>540000</v>
      </c>
      <c r="N102" s="128">
        <f t="shared" si="15"/>
        <v>43200</v>
      </c>
      <c r="O102" s="123">
        <f t="shared" si="16"/>
        <v>496800</v>
      </c>
      <c r="P102" s="128">
        <f t="shared" si="17"/>
        <v>299360</v>
      </c>
      <c r="Q102" s="127">
        <f t="shared" si="18"/>
        <v>197440</v>
      </c>
      <c r="R102" s="123">
        <f t="shared" si="19"/>
        <v>13820.800000000001</v>
      </c>
      <c r="S102" s="124">
        <f t="shared" si="20"/>
        <v>1151.7333333333333</v>
      </c>
      <c r="T102" s="125">
        <f t="shared" si="21"/>
        <v>12</v>
      </c>
      <c r="U102" s="129">
        <f t="shared" si="22"/>
        <v>13820.8</v>
      </c>
    </row>
    <row r="103" spans="1:21" ht="26.25">
      <c r="A103" s="234">
        <v>100</v>
      </c>
      <c r="B103" s="235" t="s">
        <v>716</v>
      </c>
      <c r="C103" s="235" t="s">
        <v>415</v>
      </c>
      <c r="D103" s="235" t="s">
        <v>717</v>
      </c>
      <c r="E103" s="235" t="s">
        <v>718</v>
      </c>
      <c r="F103" s="235" t="s">
        <v>719</v>
      </c>
      <c r="G103" s="223">
        <v>12</v>
      </c>
      <c r="H103" s="310">
        <v>480000</v>
      </c>
      <c r="I103" s="287">
        <v>145600</v>
      </c>
      <c r="J103" s="235">
        <v>100</v>
      </c>
      <c r="K103" s="287">
        <v>10192</v>
      </c>
      <c r="M103" s="123">
        <f t="shared" si="14"/>
        <v>480000</v>
      </c>
      <c r="N103" s="128">
        <f t="shared" si="15"/>
        <v>38400</v>
      </c>
      <c r="O103" s="123">
        <f t="shared" si="16"/>
        <v>441600</v>
      </c>
      <c r="P103" s="128">
        <f t="shared" si="17"/>
        <v>288320</v>
      </c>
      <c r="Q103" s="127">
        <f t="shared" si="18"/>
        <v>153280</v>
      </c>
      <c r="R103" s="123">
        <f t="shared" si="19"/>
        <v>10729.6</v>
      </c>
      <c r="S103" s="124">
        <f t="shared" si="20"/>
        <v>894.13333333333333</v>
      </c>
      <c r="T103" s="125">
        <f t="shared" si="21"/>
        <v>12</v>
      </c>
      <c r="U103" s="129">
        <f t="shared" si="22"/>
        <v>10729.6</v>
      </c>
    </row>
    <row r="104" spans="1:21">
      <c r="A104" s="234">
        <v>101</v>
      </c>
      <c r="B104" s="237" t="s">
        <v>720</v>
      </c>
      <c r="C104" s="237" t="s">
        <v>721</v>
      </c>
      <c r="D104" s="237" t="s">
        <v>542</v>
      </c>
      <c r="E104" s="238"/>
      <c r="F104" s="237" t="s">
        <v>373</v>
      </c>
      <c r="G104" s="223">
        <v>12</v>
      </c>
      <c r="H104" s="311">
        <v>540000</v>
      </c>
      <c r="I104" s="288">
        <v>188800</v>
      </c>
      <c r="J104" s="237">
        <v>100</v>
      </c>
      <c r="K104" s="288">
        <v>13216</v>
      </c>
      <c r="M104" s="123">
        <f t="shared" si="14"/>
        <v>540000</v>
      </c>
      <c r="N104" s="128">
        <f t="shared" si="15"/>
        <v>43200</v>
      </c>
      <c r="O104" s="123">
        <f t="shared" si="16"/>
        <v>496800</v>
      </c>
      <c r="P104" s="128">
        <f t="shared" si="17"/>
        <v>299360</v>
      </c>
      <c r="Q104" s="127">
        <f t="shared" si="18"/>
        <v>197440</v>
      </c>
      <c r="R104" s="123">
        <f t="shared" si="19"/>
        <v>13820.800000000001</v>
      </c>
      <c r="S104" s="124">
        <f t="shared" si="20"/>
        <v>1151.7333333333333</v>
      </c>
      <c r="T104" s="125">
        <f t="shared" si="21"/>
        <v>12</v>
      </c>
      <c r="U104" s="129">
        <f t="shared" si="22"/>
        <v>13820.8</v>
      </c>
    </row>
    <row r="105" spans="1:21">
      <c r="A105" s="234">
        <v>102</v>
      </c>
      <c r="B105" s="235" t="s">
        <v>722</v>
      </c>
      <c r="C105" s="235" t="s">
        <v>723</v>
      </c>
      <c r="D105" s="235" t="s">
        <v>724</v>
      </c>
      <c r="E105" s="240"/>
      <c r="F105" s="235" t="s">
        <v>725</v>
      </c>
      <c r="G105" s="223">
        <v>12</v>
      </c>
      <c r="H105" s="310">
        <v>720000</v>
      </c>
      <c r="I105" s="287">
        <v>318400</v>
      </c>
      <c r="J105" s="235">
        <v>100</v>
      </c>
      <c r="K105" s="287">
        <v>23024</v>
      </c>
      <c r="M105" s="123">
        <f t="shared" si="14"/>
        <v>720000</v>
      </c>
      <c r="N105" s="128">
        <f t="shared" si="15"/>
        <v>57600</v>
      </c>
      <c r="O105" s="123">
        <f t="shared" si="16"/>
        <v>662400</v>
      </c>
      <c r="P105" s="128">
        <f t="shared" si="17"/>
        <v>332480</v>
      </c>
      <c r="Q105" s="127">
        <f t="shared" si="18"/>
        <v>329920</v>
      </c>
      <c r="R105" s="123">
        <f t="shared" si="19"/>
        <v>24291.200000000001</v>
      </c>
      <c r="S105" s="124">
        <f t="shared" si="20"/>
        <v>2024.2666666666667</v>
      </c>
      <c r="T105" s="125">
        <f t="shared" si="21"/>
        <v>12</v>
      </c>
      <c r="U105" s="129">
        <f t="shared" si="22"/>
        <v>24291.200000000001</v>
      </c>
    </row>
    <row r="106" spans="1:21">
      <c r="A106" s="234">
        <v>103</v>
      </c>
      <c r="B106" s="237" t="s">
        <v>726</v>
      </c>
      <c r="C106" s="237" t="s">
        <v>642</v>
      </c>
      <c r="D106" s="237" t="s">
        <v>727</v>
      </c>
      <c r="E106" s="238"/>
      <c r="F106" s="237" t="s">
        <v>373</v>
      </c>
      <c r="G106" s="223">
        <v>12</v>
      </c>
      <c r="H106" s="311">
        <v>540000</v>
      </c>
      <c r="I106" s="288">
        <v>188800</v>
      </c>
      <c r="J106" s="237">
        <v>100</v>
      </c>
      <c r="K106" s="288">
        <v>13216</v>
      </c>
      <c r="M106" s="123">
        <f t="shared" si="14"/>
        <v>540000</v>
      </c>
      <c r="N106" s="128">
        <f t="shared" si="15"/>
        <v>43200</v>
      </c>
      <c r="O106" s="123">
        <f t="shared" si="16"/>
        <v>496800</v>
      </c>
      <c r="P106" s="128">
        <f t="shared" si="17"/>
        <v>299360</v>
      </c>
      <c r="Q106" s="127">
        <f t="shared" si="18"/>
        <v>197440</v>
      </c>
      <c r="R106" s="123">
        <f t="shared" si="19"/>
        <v>13820.800000000001</v>
      </c>
      <c r="S106" s="124">
        <f t="shared" si="20"/>
        <v>1151.7333333333333</v>
      </c>
      <c r="T106" s="125">
        <f t="shared" si="21"/>
        <v>12</v>
      </c>
      <c r="U106" s="129">
        <f t="shared" si="22"/>
        <v>13820.8</v>
      </c>
    </row>
    <row r="107" spans="1:21">
      <c r="A107" s="234">
        <v>104</v>
      </c>
      <c r="B107" s="235" t="s">
        <v>728</v>
      </c>
      <c r="C107" s="235" t="s">
        <v>531</v>
      </c>
      <c r="D107" s="235" t="s">
        <v>729</v>
      </c>
      <c r="E107" s="240"/>
      <c r="F107" s="235" t="s">
        <v>709</v>
      </c>
      <c r="G107" s="223">
        <v>12</v>
      </c>
      <c r="H107" s="310">
        <v>420000</v>
      </c>
      <c r="I107" s="287">
        <v>102400</v>
      </c>
      <c r="J107" s="235">
        <v>100</v>
      </c>
      <c r="K107" s="287">
        <v>7168</v>
      </c>
      <c r="M107" s="123">
        <f t="shared" si="14"/>
        <v>420000</v>
      </c>
      <c r="N107" s="128">
        <f t="shared" si="15"/>
        <v>33600</v>
      </c>
      <c r="O107" s="123">
        <f t="shared" si="16"/>
        <v>386400</v>
      </c>
      <c r="P107" s="128">
        <f t="shared" si="17"/>
        <v>277280</v>
      </c>
      <c r="Q107" s="127">
        <f t="shared" si="18"/>
        <v>109120</v>
      </c>
      <c r="R107" s="123">
        <f t="shared" si="19"/>
        <v>7638.4000000000005</v>
      </c>
      <c r="S107" s="124">
        <f t="shared" si="20"/>
        <v>636.53333333333342</v>
      </c>
      <c r="T107" s="125">
        <f t="shared" si="21"/>
        <v>12</v>
      </c>
      <c r="U107" s="129">
        <f t="shared" si="22"/>
        <v>7638.4000000000015</v>
      </c>
    </row>
    <row r="108" spans="1:21">
      <c r="A108" s="234">
        <v>105</v>
      </c>
      <c r="B108" s="237" t="s">
        <v>730</v>
      </c>
      <c r="C108" s="237" t="s">
        <v>731</v>
      </c>
      <c r="D108" s="237" t="s">
        <v>732</v>
      </c>
      <c r="E108" s="238"/>
      <c r="F108" s="237" t="s">
        <v>400</v>
      </c>
      <c r="G108" s="223">
        <v>12</v>
      </c>
      <c r="H108" s="311">
        <v>540000</v>
      </c>
      <c r="I108" s="288">
        <v>188800</v>
      </c>
      <c r="J108" s="237">
        <v>100</v>
      </c>
      <c r="K108" s="288">
        <v>13216</v>
      </c>
      <c r="M108" s="123">
        <f t="shared" si="14"/>
        <v>540000</v>
      </c>
      <c r="N108" s="128">
        <f t="shared" si="15"/>
        <v>43200</v>
      </c>
      <c r="O108" s="123">
        <f t="shared" si="16"/>
        <v>496800</v>
      </c>
      <c r="P108" s="128">
        <f t="shared" si="17"/>
        <v>299360</v>
      </c>
      <c r="Q108" s="127">
        <f t="shared" si="18"/>
        <v>197440</v>
      </c>
      <c r="R108" s="123">
        <f t="shared" si="19"/>
        <v>13820.800000000001</v>
      </c>
      <c r="S108" s="124">
        <f t="shared" si="20"/>
        <v>1151.7333333333333</v>
      </c>
      <c r="T108" s="125">
        <f t="shared" si="21"/>
        <v>12</v>
      </c>
      <c r="U108" s="129">
        <f t="shared" si="22"/>
        <v>13820.8</v>
      </c>
    </row>
    <row r="109" spans="1:21">
      <c r="A109" s="234">
        <v>106</v>
      </c>
      <c r="B109" s="235" t="s">
        <v>733</v>
      </c>
      <c r="C109" s="235" t="s">
        <v>734</v>
      </c>
      <c r="D109" s="235" t="s">
        <v>735</v>
      </c>
      <c r="E109" s="235" t="s">
        <v>736</v>
      </c>
      <c r="F109" s="235" t="s">
        <v>373</v>
      </c>
      <c r="G109" s="223">
        <v>12</v>
      </c>
      <c r="H109" s="310">
        <v>600000</v>
      </c>
      <c r="I109" s="287">
        <v>232000</v>
      </c>
      <c r="J109" s="235">
        <v>100</v>
      </c>
      <c r="K109" s="287">
        <v>16240</v>
      </c>
      <c r="M109" s="123">
        <f t="shared" si="14"/>
        <v>600000</v>
      </c>
      <c r="N109" s="128">
        <f t="shared" si="15"/>
        <v>48000</v>
      </c>
      <c r="O109" s="123">
        <f t="shared" si="16"/>
        <v>552000</v>
      </c>
      <c r="P109" s="128">
        <f t="shared" si="17"/>
        <v>310400</v>
      </c>
      <c r="Q109" s="127">
        <f t="shared" si="18"/>
        <v>241600</v>
      </c>
      <c r="R109" s="123">
        <f t="shared" si="19"/>
        <v>16912</v>
      </c>
      <c r="S109" s="124">
        <f t="shared" si="20"/>
        <v>1409.3333333333333</v>
      </c>
      <c r="T109" s="125">
        <f t="shared" si="21"/>
        <v>12</v>
      </c>
      <c r="U109" s="129">
        <f t="shared" si="22"/>
        <v>16912</v>
      </c>
    </row>
    <row r="110" spans="1:21" ht="26.25">
      <c r="A110" s="234">
        <v>107</v>
      </c>
      <c r="B110" s="237" t="s">
        <v>737</v>
      </c>
      <c r="C110" s="237" t="s">
        <v>738</v>
      </c>
      <c r="D110" s="237" t="s">
        <v>739</v>
      </c>
      <c r="E110" s="238"/>
      <c r="F110" s="237" t="s">
        <v>382</v>
      </c>
      <c r="G110" s="223">
        <v>12</v>
      </c>
      <c r="H110" s="311">
        <v>420000</v>
      </c>
      <c r="I110" s="288">
        <v>102400</v>
      </c>
      <c r="J110" s="237">
        <v>100</v>
      </c>
      <c r="K110" s="288">
        <v>7168</v>
      </c>
      <c r="M110" s="123">
        <f t="shared" si="14"/>
        <v>420000</v>
      </c>
      <c r="N110" s="128">
        <f t="shared" si="15"/>
        <v>33600</v>
      </c>
      <c r="O110" s="123">
        <f t="shared" si="16"/>
        <v>386400</v>
      </c>
      <c r="P110" s="128">
        <f t="shared" si="17"/>
        <v>277280</v>
      </c>
      <c r="Q110" s="127">
        <f t="shared" si="18"/>
        <v>109120</v>
      </c>
      <c r="R110" s="123">
        <f t="shared" si="19"/>
        <v>7638.4000000000005</v>
      </c>
      <c r="S110" s="124">
        <f t="shared" si="20"/>
        <v>636.53333333333342</v>
      </c>
      <c r="T110" s="125">
        <f t="shared" si="21"/>
        <v>12</v>
      </c>
      <c r="U110" s="129">
        <f t="shared" si="22"/>
        <v>7638.4000000000015</v>
      </c>
    </row>
    <row r="111" spans="1:21">
      <c r="A111" s="234">
        <v>108</v>
      </c>
      <c r="B111" s="235" t="s">
        <v>740</v>
      </c>
      <c r="C111" s="235" t="s">
        <v>741</v>
      </c>
      <c r="D111" s="235" t="s">
        <v>742</v>
      </c>
      <c r="E111" s="235" t="s">
        <v>537</v>
      </c>
      <c r="F111" s="235" t="s">
        <v>709</v>
      </c>
      <c r="G111" s="223">
        <v>12</v>
      </c>
      <c r="H111" s="310">
        <v>420000</v>
      </c>
      <c r="I111" s="287">
        <v>102400</v>
      </c>
      <c r="J111" s="235">
        <v>100</v>
      </c>
      <c r="K111" s="287">
        <v>7168</v>
      </c>
      <c r="M111" s="123">
        <f t="shared" si="14"/>
        <v>420000</v>
      </c>
      <c r="N111" s="128">
        <f t="shared" si="15"/>
        <v>33600</v>
      </c>
      <c r="O111" s="123">
        <f t="shared" si="16"/>
        <v>386400</v>
      </c>
      <c r="P111" s="128">
        <f t="shared" si="17"/>
        <v>277280</v>
      </c>
      <c r="Q111" s="127">
        <f t="shared" si="18"/>
        <v>109120</v>
      </c>
      <c r="R111" s="123">
        <f t="shared" si="19"/>
        <v>7638.4000000000005</v>
      </c>
      <c r="S111" s="124">
        <f t="shared" si="20"/>
        <v>636.53333333333342</v>
      </c>
      <c r="T111" s="125">
        <f t="shared" si="21"/>
        <v>12</v>
      </c>
      <c r="U111" s="129">
        <f t="shared" si="22"/>
        <v>7638.4000000000015</v>
      </c>
    </row>
    <row r="112" spans="1:21">
      <c r="A112" s="234">
        <v>109</v>
      </c>
      <c r="B112" s="237" t="s">
        <v>743</v>
      </c>
      <c r="C112" s="237" t="s">
        <v>744</v>
      </c>
      <c r="D112" s="237" t="s">
        <v>745</v>
      </c>
      <c r="E112" s="238"/>
      <c r="F112" s="237" t="s">
        <v>412</v>
      </c>
      <c r="G112" s="223">
        <v>12</v>
      </c>
      <c r="H112" s="311">
        <v>420000</v>
      </c>
      <c r="I112" s="288">
        <v>102400</v>
      </c>
      <c r="J112" s="237">
        <v>100</v>
      </c>
      <c r="K112" s="288">
        <v>7168</v>
      </c>
      <c r="M112" s="123">
        <f t="shared" si="14"/>
        <v>420000</v>
      </c>
      <c r="N112" s="128">
        <f t="shared" si="15"/>
        <v>33600</v>
      </c>
      <c r="O112" s="123">
        <f t="shared" si="16"/>
        <v>386400</v>
      </c>
      <c r="P112" s="128">
        <f t="shared" si="17"/>
        <v>277280</v>
      </c>
      <c r="Q112" s="127">
        <f t="shared" si="18"/>
        <v>109120</v>
      </c>
      <c r="R112" s="123">
        <f t="shared" si="19"/>
        <v>7638.4000000000005</v>
      </c>
      <c r="S112" s="124">
        <f t="shared" si="20"/>
        <v>636.53333333333342</v>
      </c>
      <c r="T112" s="125">
        <f t="shared" si="21"/>
        <v>12</v>
      </c>
      <c r="U112" s="129">
        <f t="shared" si="22"/>
        <v>7638.4000000000015</v>
      </c>
    </row>
    <row r="113" spans="1:21">
      <c r="A113" s="234">
        <v>110</v>
      </c>
      <c r="B113" s="235" t="s">
        <v>746</v>
      </c>
      <c r="C113" s="235" t="s">
        <v>747</v>
      </c>
      <c r="D113" s="235" t="s">
        <v>748</v>
      </c>
      <c r="E113" s="235" t="s">
        <v>736</v>
      </c>
      <c r="F113" s="235" t="s">
        <v>749</v>
      </c>
      <c r="G113" s="223">
        <v>12</v>
      </c>
      <c r="H113" s="310">
        <v>900000</v>
      </c>
      <c r="I113" s="287">
        <v>448000</v>
      </c>
      <c r="J113" s="235">
        <v>100</v>
      </c>
      <c r="K113" s="287">
        <v>37280</v>
      </c>
      <c r="M113" s="123">
        <f t="shared" si="14"/>
        <v>900000</v>
      </c>
      <c r="N113" s="128">
        <f t="shared" si="15"/>
        <v>72000</v>
      </c>
      <c r="O113" s="123">
        <f t="shared" si="16"/>
        <v>828000</v>
      </c>
      <c r="P113" s="128">
        <f t="shared" si="17"/>
        <v>365600</v>
      </c>
      <c r="Q113" s="127">
        <f t="shared" si="18"/>
        <v>462400</v>
      </c>
      <c r="R113" s="123">
        <f t="shared" si="19"/>
        <v>38864</v>
      </c>
      <c r="S113" s="124">
        <f t="shared" si="20"/>
        <v>3238.6666666666665</v>
      </c>
      <c r="T113" s="125">
        <f t="shared" si="21"/>
        <v>12</v>
      </c>
      <c r="U113" s="129">
        <f t="shared" si="22"/>
        <v>38864</v>
      </c>
    </row>
    <row r="114" spans="1:21" ht="26.25">
      <c r="A114" s="234">
        <v>111</v>
      </c>
      <c r="B114" s="237" t="s">
        <v>750</v>
      </c>
      <c r="C114" s="237" t="s">
        <v>751</v>
      </c>
      <c r="D114" s="237" t="s">
        <v>752</v>
      </c>
      <c r="E114" s="237" t="s">
        <v>753</v>
      </c>
      <c r="F114" s="237" t="s">
        <v>611</v>
      </c>
      <c r="G114" s="223">
        <v>12</v>
      </c>
      <c r="H114" s="311">
        <v>1440000</v>
      </c>
      <c r="I114" s="288">
        <v>836800</v>
      </c>
      <c r="J114" s="237">
        <v>100</v>
      </c>
      <c r="K114" s="288">
        <v>89520</v>
      </c>
      <c r="M114" s="123">
        <f t="shared" si="14"/>
        <v>1440000</v>
      </c>
      <c r="N114" s="128">
        <f t="shared" si="15"/>
        <v>115200</v>
      </c>
      <c r="O114" s="123">
        <f t="shared" si="16"/>
        <v>1324800</v>
      </c>
      <c r="P114" s="128">
        <f t="shared" si="17"/>
        <v>464960</v>
      </c>
      <c r="Q114" s="127">
        <f t="shared" si="18"/>
        <v>859840</v>
      </c>
      <c r="R114" s="123">
        <f t="shared" si="19"/>
        <v>92976</v>
      </c>
      <c r="S114" s="124">
        <f t="shared" si="20"/>
        <v>7748</v>
      </c>
      <c r="T114" s="125">
        <f t="shared" si="21"/>
        <v>12</v>
      </c>
      <c r="U114" s="129">
        <f t="shared" si="22"/>
        <v>92976</v>
      </c>
    </row>
    <row r="115" spans="1:21">
      <c r="A115" s="234">
        <v>112</v>
      </c>
      <c r="B115" s="235" t="s">
        <v>754</v>
      </c>
      <c r="C115" s="235" t="s">
        <v>755</v>
      </c>
      <c r="D115" s="235" t="s">
        <v>756</v>
      </c>
      <c r="E115" s="235" t="s">
        <v>491</v>
      </c>
      <c r="F115" s="235" t="s">
        <v>373</v>
      </c>
      <c r="G115" s="223">
        <v>12</v>
      </c>
      <c r="H115" s="310">
        <v>540000</v>
      </c>
      <c r="I115" s="287">
        <v>188800</v>
      </c>
      <c r="J115" s="235">
        <v>100</v>
      </c>
      <c r="K115" s="287">
        <v>13216</v>
      </c>
      <c r="M115" s="123">
        <f t="shared" si="14"/>
        <v>540000</v>
      </c>
      <c r="N115" s="128">
        <f t="shared" si="15"/>
        <v>43200</v>
      </c>
      <c r="O115" s="123">
        <f t="shared" si="16"/>
        <v>496800</v>
      </c>
      <c r="P115" s="128">
        <f t="shared" si="17"/>
        <v>299360</v>
      </c>
      <c r="Q115" s="127">
        <f t="shared" si="18"/>
        <v>197440</v>
      </c>
      <c r="R115" s="123">
        <f t="shared" si="19"/>
        <v>13820.800000000001</v>
      </c>
      <c r="S115" s="124">
        <f t="shared" si="20"/>
        <v>1151.7333333333333</v>
      </c>
      <c r="T115" s="125">
        <f t="shared" si="21"/>
        <v>12</v>
      </c>
      <c r="U115" s="129">
        <f t="shared" si="22"/>
        <v>13820.8</v>
      </c>
    </row>
    <row r="116" spans="1:21">
      <c r="A116" s="234">
        <v>113</v>
      </c>
      <c r="B116" s="237" t="s">
        <v>757</v>
      </c>
      <c r="C116" s="237" t="s">
        <v>433</v>
      </c>
      <c r="D116" s="237" t="s">
        <v>748</v>
      </c>
      <c r="E116" s="238"/>
      <c r="F116" s="237" t="s">
        <v>400</v>
      </c>
      <c r="G116" s="223">
        <v>12</v>
      </c>
      <c r="H116" s="311">
        <v>540000</v>
      </c>
      <c r="I116" s="288">
        <v>188800</v>
      </c>
      <c r="J116" s="237">
        <v>100</v>
      </c>
      <c r="K116" s="288">
        <v>13216</v>
      </c>
      <c r="M116" s="123">
        <f t="shared" si="14"/>
        <v>540000</v>
      </c>
      <c r="N116" s="128">
        <f t="shared" si="15"/>
        <v>43200</v>
      </c>
      <c r="O116" s="123">
        <f t="shared" si="16"/>
        <v>496800</v>
      </c>
      <c r="P116" s="128">
        <f t="shared" si="17"/>
        <v>299360</v>
      </c>
      <c r="Q116" s="127">
        <f t="shared" si="18"/>
        <v>197440</v>
      </c>
      <c r="R116" s="123">
        <f t="shared" si="19"/>
        <v>13820.800000000001</v>
      </c>
      <c r="S116" s="124">
        <f t="shared" si="20"/>
        <v>1151.7333333333333</v>
      </c>
      <c r="T116" s="125">
        <f t="shared" si="21"/>
        <v>12</v>
      </c>
      <c r="U116" s="129">
        <f t="shared" si="22"/>
        <v>13820.8</v>
      </c>
    </row>
    <row r="117" spans="1:21" ht="26.25">
      <c r="A117" s="234">
        <v>114</v>
      </c>
      <c r="B117" s="235" t="s">
        <v>758</v>
      </c>
      <c r="C117" s="235" t="s">
        <v>759</v>
      </c>
      <c r="D117" s="235" t="s">
        <v>760</v>
      </c>
      <c r="E117" s="240"/>
      <c r="F117" s="235" t="s">
        <v>761</v>
      </c>
      <c r="G117" s="223">
        <v>12</v>
      </c>
      <c r="H117" s="310">
        <v>1200000</v>
      </c>
      <c r="I117" s="287">
        <v>664000</v>
      </c>
      <c r="J117" s="235">
        <v>100</v>
      </c>
      <c r="K117" s="287">
        <v>63600</v>
      </c>
      <c r="M117" s="123">
        <f t="shared" si="14"/>
        <v>1200000</v>
      </c>
      <c r="N117" s="128">
        <f t="shared" si="15"/>
        <v>96000</v>
      </c>
      <c r="O117" s="123">
        <f t="shared" si="16"/>
        <v>1104000</v>
      </c>
      <c r="P117" s="128">
        <f t="shared" si="17"/>
        <v>420800</v>
      </c>
      <c r="Q117" s="127">
        <f t="shared" si="18"/>
        <v>683200</v>
      </c>
      <c r="R117" s="123">
        <f t="shared" si="19"/>
        <v>66480</v>
      </c>
      <c r="S117" s="124">
        <f t="shared" si="20"/>
        <v>5540</v>
      </c>
      <c r="T117" s="125">
        <f t="shared" si="21"/>
        <v>12</v>
      </c>
      <c r="U117" s="129">
        <f t="shared" si="22"/>
        <v>66480</v>
      </c>
    </row>
    <row r="118" spans="1:21">
      <c r="A118" s="234">
        <v>115</v>
      </c>
      <c r="B118" s="237" t="s">
        <v>762</v>
      </c>
      <c r="C118" s="237" t="s">
        <v>483</v>
      </c>
      <c r="D118" s="237" t="s">
        <v>763</v>
      </c>
      <c r="E118" s="238"/>
      <c r="F118" s="237" t="s">
        <v>373</v>
      </c>
      <c r="G118" s="223">
        <v>12</v>
      </c>
      <c r="H118" s="311">
        <v>540000</v>
      </c>
      <c r="I118" s="288">
        <v>188800</v>
      </c>
      <c r="J118" s="237">
        <v>100</v>
      </c>
      <c r="K118" s="288">
        <v>13216</v>
      </c>
      <c r="M118" s="123">
        <f t="shared" si="14"/>
        <v>540000</v>
      </c>
      <c r="N118" s="128">
        <f t="shared" si="15"/>
        <v>43200</v>
      </c>
      <c r="O118" s="123">
        <f t="shared" si="16"/>
        <v>496800</v>
      </c>
      <c r="P118" s="128">
        <f t="shared" si="17"/>
        <v>299360</v>
      </c>
      <c r="Q118" s="127">
        <f t="shared" si="18"/>
        <v>197440</v>
      </c>
      <c r="R118" s="123">
        <f t="shared" si="19"/>
        <v>13820.800000000001</v>
      </c>
      <c r="S118" s="124">
        <f t="shared" si="20"/>
        <v>1151.7333333333333</v>
      </c>
      <c r="T118" s="125">
        <f t="shared" si="21"/>
        <v>12</v>
      </c>
      <c r="U118" s="129">
        <f t="shared" si="22"/>
        <v>13820.8</v>
      </c>
    </row>
    <row r="119" spans="1:21">
      <c r="A119" s="234">
        <v>116</v>
      </c>
      <c r="B119" s="235" t="s">
        <v>764</v>
      </c>
      <c r="C119" s="235" t="s">
        <v>765</v>
      </c>
      <c r="D119" s="235" t="s">
        <v>766</v>
      </c>
      <c r="E119" s="240"/>
      <c r="F119" s="235" t="s">
        <v>709</v>
      </c>
      <c r="G119" s="223">
        <v>12</v>
      </c>
      <c r="H119" s="310">
        <v>420000</v>
      </c>
      <c r="I119" s="287">
        <v>102400</v>
      </c>
      <c r="J119" s="235">
        <v>100</v>
      </c>
      <c r="K119" s="287">
        <v>7168</v>
      </c>
      <c r="M119" s="123">
        <f t="shared" si="14"/>
        <v>420000</v>
      </c>
      <c r="N119" s="128">
        <f t="shared" si="15"/>
        <v>33600</v>
      </c>
      <c r="O119" s="123">
        <f t="shared" si="16"/>
        <v>386400</v>
      </c>
      <c r="P119" s="128">
        <f t="shared" si="17"/>
        <v>277280</v>
      </c>
      <c r="Q119" s="127">
        <f t="shared" si="18"/>
        <v>109120</v>
      </c>
      <c r="R119" s="123">
        <f t="shared" si="19"/>
        <v>7638.4000000000005</v>
      </c>
      <c r="S119" s="124">
        <f t="shared" si="20"/>
        <v>636.53333333333342</v>
      </c>
      <c r="T119" s="125">
        <f t="shared" si="21"/>
        <v>12</v>
      </c>
      <c r="U119" s="129">
        <f t="shared" si="22"/>
        <v>7638.4000000000015</v>
      </c>
    </row>
    <row r="120" spans="1:21" ht="26.25">
      <c r="A120" s="234">
        <v>117</v>
      </c>
      <c r="B120" s="237" t="s">
        <v>767</v>
      </c>
      <c r="C120" s="237" t="s">
        <v>768</v>
      </c>
      <c r="D120" s="237" t="s">
        <v>769</v>
      </c>
      <c r="E120" s="237" t="s">
        <v>770</v>
      </c>
      <c r="F120" s="237" t="s">
        <v>519</v>
      </c>
      <c r="G120" s="223">
        <v>12</v>
      </c>
      <c r="H120" s="311">
        <v>540000</v>
      </c>
      <c r="I120" s="288">
        <v>188800</v>
      </c>
      <c r="J120" s="237">
        <v>100</v>
      </c>
      <c r="K120" s="288">
        <v>13216</v>
      </c>
      <c r="M120" s="123">
        <f t="shared" si="14"/>
        <v>540000</v>
      </c>
      <c r="N120" s="128">
        <f t="shared" si="15"/>
        <v>43200</v>
      </c>
      <c r="O120" s="123">
        <f t="shared" si="16"/>
        <v>496800</v>
      </c>
      <c r="P120" s="128">
        <f t="shared" si="17"/>
        <v>299360</v>
      </c>
      <c r="Q120" s="127">
        <f t="shared" si="18"/>
        <v>197440</v>
      </c>
      <c r="R120" s="123">
        <f t="shared" si="19"/>
        <v>13820.800000000001</v>
      </c>
      <c r="S120" s="124">
        <f t="shared" si="20"/>
        <v>1151.7333333333333</v>
      </c>
      <c r="T120" s="125">
        <f t="shared" si="21"/>
        <v>12</v>
      </c>
      <c r="U120" s="129">
        <f t="shared" si="22"/>
        <v>13820.8</v>
      </c>
    </row>
    <row r="121" spans="1:21">
      <c r="A121" s="234">
        <v>118</v>
      </c>
      <c r="B121" s="235" t="s">
        <v>771</v>
      </c>
      <c r="C121" s="235" t="s">
        <v>772</v>
      </c>
      <c r="D121" s="235" t="s">
        <v>773</v>
      </c>
      <c r="E121" s="235" t="s">
        <v>774</v>
      </c>
      <c r="F121" s="235" t="s">
        <v>583</v>
      </c>
      <c r="G121" s="223">
        <v>12</v>
      </c>
      <c r="H121" s="310">
        <v>480000</v>
      </c>
      <c r="I121" s="287">
        <v>145600</v>
      </c>
      <c r="J121" s="235">
        <v>100</v>
      </c>
      <c r="K121" s="287">
        <v>10192</v>
      </c>
      <c r="M121" s="123">
        <f t="shared" si="14"/>
        <v>480000</v>
      </c>
      <c r="N121" s="128">
        <f t="shared" si="15"/>
        <v>38400</v>
      </c>
      <c r="O121" s="123">
        <f t="shared" si="16"/>
        <v>441600</v>
      </c>
      <c r="P121" s="128">
        <f t="shared" si="17"/>
        <v>288320</v>
      </c>
      <c r="Q121" s="127">
        <f t="shared" si="18"/>
        <v>153280</v>
      </c>
      <c r="R121" s="123">
        <f t="shared" si="19"/>
        <v>10729.6</v>
      </c>
      <c r="S121" s="124">
        <f t="shared" si="20"/>
        <v>894.13333333333333</v>
      </c>
      <c r="T121" s="125">
        <f t="shared" si="21"/>
        <v>12</v>
      </c>
      <c r="U121" s="129">
        <f t="shared" si="22"/>
        <v>10729.6</v>
      </c>
    </row>
    <row r="122" spans="1:21">
      <c r="A122" s="234">
        <v>119</v>
      </c>
      <c r="B122" s="237" t="s">
        <v>775</v>
      </c>
      <c r="C122" s="237" t="s">
        <v>452</v>
      </c>
      <c r="D122" s="237" t="s">
        <v>776</v>
      </c>
      <c r="E122" s="238"/>
      <c r="F122" s="237" t="s">
        <v>507</v>
      </c>
      <c r="G122" s="223">
        <v>12</v>
      </c>
      <c r="H122" s="311">
        <v>420000</v>
      </c>
      <c r="I122" s="288">
        <v>102400</v>
      </c>
      <c r="J122" s="237">
        <v>100</v>
      </c>
      <c r="K122" s="288">
        <v>7168</v>
      </c>
      <c r="M122" s="123">
        <f t="shared" si="14"/>
        <v>420000</v>
      </c>
      <c r="N122" s="128">
        <f t="shared" si="15"/>
        <v>33600</v>
      </c>
      <c r="O122" s="123">
        <f t="shared" si="16"/>
        <v>386400</v>
      </c>
      <c r="P122" s="128">
        <f t="shared" si="17"/>
        <v>277280</v>
      </c>
      <c r="Q122" s="127">
        <f t="shared" si="18"/>
        <v>109120</v>
      </c>
      <c r="R122" s="123">
        <f t="shared" si="19"/>
        <v>7638.4000000000005</v>
      </c>
      <c r="S122" s="124">
        <f t="shared" si="20"/>
        <v>636.53333333333342</v>
      </c>
      <c r="T122" s="125">
        <f t="shared" si="21"/>
        <v>12</v>
      </c>
      <c r="U122" s="129">
        <f t="shared" si="22"/>
        <v>7638.4000000000015</v>
      </c>
    </row>
    <row r="123" spans="1:21">
      <c r="A123" s="234">
        <v>120</v>
      </c>
      <c r="B123" s="235" t="s">
        <v>777</v>
      </c>
      <c r="C123" s="235" t="s">
        <v>778</v>
      </c>
      <c r="D123" s="235" t="s">
        <v>618</v>
      </c>
      <c r="E123" s="235" t="s">
        <v>779</v>
      </c>
      <c r="F123" s="235" t="s">
        <v>780</v>
      </c>
      <c r="G123" s="223">
        <v>12</v>
      </c>
      <c r="H123" s="310">
        <v>480000</v>
      </c>
      <c r="I123" s="287">
        <v>145600</v>
      </c>
      <c r="J123" s="235">
        <v>100</v>
      </c>
      <c r="K123" s="287">
        <v>10192</v>
      </c>
      <c r="M123" s="123">
        <f t="shared" si="14"/>
        <v>480000</v>
      </c>
      <c r="N123" s="128">
        <f t="shared" si="15"/>
        <v>38400</v>
      </c>
      <c r="O123" s="123">
        <f t="shared" si="16"/>
        <v>441600</v>
      </c>
      <c r="P123" s="128">
        <f t="shared" si="17"/>
        <v>288320</v>
      </c>
      <c r="Q123" s="127">
        <f t="shared" si="18"/>
        <v>153280</v>
      </c>
      <c r="R123" s="123">
        <f t="shared" si="19"/>
        <v>10729.6</v>
      </c>
      <c r="S123" s="124">
        <f t="shared" si="20"/>
        <v>894.13333333333333</v>
      </c>
      <c r="T123" s="125">
        <f t="shared" si="21"/>
        <v>12</v>
      </c>
      <c r="U123" s="129">
        <f t="shared" si="22"/>
        <v>10729.6</v>
      </c>
    </row>
    <row r="124" spans="1:21">
      <c r="A124" s="234">
        <v>121</v>
      </c>
      <c r="B124" s="235" t="s">
        <v>781</v>
      </c>
      <c r="C124" s="235" t="s">
        <v>782</v>
      </c>
      <c r="D124" s="235" t="s">
        <v>783</v>
      </c>
      <c r="E124" s="240"/>
      <c r="F124" s="235" t="s">
        <v>702</v>
      </c>
      <c r="G124" s="223">
        <v>12</v>
      </c>
      <c r="H124" s="310">
        <v>720000</v>
      </c>
      <c r="I124" s="287">
        <v>318400</v>
      </c>
      <c r="J124" s="235">
        <v>100</v>
      </c>
      <c r="K124" s="287">
        <v>23024</v>
      </c>
      <c r="M124" s="123">
        <f t="shared" si="14"/>
        <v>720000</v>
      </c>
      <c r="N124" s="128">
        <f t="shared" si="15"/>
        <v>57600</v>
      </c>
      <c r="O124" s="123">
        <f t="shared" si="16"/>
        <v>662400</v>
      </c>
      <c r="P124" s="128">
        <f t="shared" si="17"/>
        <v>332480</v>
      </c>
      <c r="Q124" s="127">
        <f t="shared" si="18"/>
        <v>329920</v>
      </c>
      <c r="R124" s="123">
        <f t="shared" si="19"/>
        <v>24291.200000000001</v>
      </c>
      <c r="S124" s="124">
        <f t="shared" si="20"/>
        <v>2024.2666666666667</v>
      </c>
      <c r="T124" s="125">
        <f t="shared" si="21"/>
        <v>12</v>
      </c>
      <c r="U124" s="129">
        <f t="shared" si="22"/>
        <v>24291.200000000001</v>
      </c>
    </row>
    <row r="125" spans="1:21">
      <c r="A125" s="234">
        <v>122</v>
      </c>
      <c r="B125" s="296" t="s">
        <v>784</v>
      </c>
      <c r="C125" s="296" t="s">
        <v>785</v>
      </c>
      <c r="D125" s="296" t="s">
        <v>786</v>
      </c>
      <c r="E125" s="297"/>
      <c r="F125" s="296" t="s">
        <v>412</v>
      </c>
      <c r="G125" s="223">
        <v>12</v>
      </c>
      <c r="H125" s="313">
        <v>420000</v>
      </c>
      <c r="I125" s="298">
        <v>102400</v>
      </c>
      <c r="J125" s="296">
        <v>100</v>
      </c>
      <c r="K125" s="298">
        <v>7168</v>
      </c>
      <c r="M125" s="299">
        <f t="shared" si="14"/>
        <v>420000</v>
      </c>
      <c r="N125" s="128">
        <f t="shared" si="15"/>
        <v>33600</v>
      </c>
      <c r="O125" s="123">
        <f t="shared" si="16"/>
        <v>386400</v>
      </c>
      <c r="P125" s="128">
        <f t="shared" si="17"/>
        <v>277280</v>
      </c>
      <c r="Q125" s="127">
        <f t="shared" si="18"/>
        <v>109120</v>
      </c>
      <c r="R125" s="123">
        <f t="shared" si="19"/>
        <v>7638.4000000000005</v>
      </c>
      <c r="S125" s="124">
        <f t="shared" si="20"/>
        <v>636.53333333333342</v>
      </c>
      <c r="T125" s="125">
        <f t="shared" si="21"/>
        <v>12</v>
      </c>
      <c r="U125" s="129">
        <f t="shared" si="22"/>
        <v>7638.4000000000015</v>
      </c>
    </row>
    <row r="126" spans="1:21">
      <c r="A126" s="223">
        <v>123</v>
      </c>
      <c r="B126" s="240"/>
      <c r="C126" s="314" t="s">
        <v>808</v>
      </c>
      <c r="D126" s="314" t="s">
        <v>809</v>
      </c>
      <c r="E126" s="314" t="s">
        <v>810</v>
      </c>
      <c r="F126" s="314"/>
      <c r="G126" s="315">
        <v>12</v>
      </c>
      <c r="H126" s="316">
        <v>20000000</v>
      </c>
      <c r="I126" s="314"/>
      <c r="J126" s="314"/>
      <c r="K126" s="314"/>
      <c r="L126" s="314"/>
      <c r="M126" s="317">
        <v>8000000</v>
      </c>
      <c r="N126" s="318">
        <v>0</v>
      </c>
      <c r="O126" s="317">
        <f t="shared" si="16"/>
        <v>8000000</v>
      </c>
      <c r="P126" s="318">
        <f t="shared" si="17"/>
        <v>1800000</v>
      </c>
      <c r="Q126" s="319">
        <f t="shared" si="18"/>
        <v>6200000</v>
      </c>
      <c r="R126" s="317">
        <f t="shared" si="19"/>
        <v>1280000</v>
      </c>
      <c r="S126" s="320">
        <f t="shared" si="20"/>
        <v>106666.66666666667</v>
      </c>
      <c r="T126" s="321">
        <f t="shared" si="21"/>
        <v>12</v>
      </c>
      <c r="U126" s="322">
        <f t="shared" si="22"/>
        <v>1280000</v>
      </c>
    </row>
    <row r="127" spans="1:21">
      <c r="M127" s="290">
        <f>SUM(M4:M126)</f>
        <v>78816000</v>
      </c>
      <c r="U127" s="290">
        <f>SUM(U4:U126)</f>
        <v>3423008</v>
      </c>
    </row>
  </sheetData>
  <pageMargins left="0.75" right="0.75" top="1" bottom="1" header="0.5" footer="0.5"/>
  <pageSetup scale="69"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EB16-36DC-4BFF-BFBE-F6FD2F38C094}">
  <dimension ref="A1:T128"/>
  <sheetViews>
    <sheetView view="pageBreakPreview" topLeftCell="A124" zoomScaleNormal="100" workbookViewId="0">
      <selection activeCell="G128" sqref="G128"/>
    </sheetView>
  </sheetViews>
  <sheetFormatPr defaultColWidth="8.76171875" defaultRowHeight="15"/>
  <cols>
    <col min="1" max="1" width="5.390625" style="223" customWidth="1"/>
    <col min="2" max="2" width="14.15625" style="219" customWidth="1"/>
    <col min="3" max="3" width="12.13671875" style="219" customWidth="1"/>
    <col min="4" max="4" width="13.484375" style="219" customWidth="1"/>
    <col min="5" max="6" width="17.6640625" style="219" customWidth="1"/>
    <col min="7" max="7" width="21.171875" style="219" customWidth="1"/>
    <col min="8" max="8" width="16.44921875" style="219" bestFit="1" customWidth="1"/>
    <col min="9" max="9" width="11.4609375" style="219" customWidth="1"/>
    <col min="10" max="10" width="14.29296875" style="219" bestFit="1" customWidth="1"/>
    <col min="11" max="11" width="8.76171875" style="219"/>
    <col min="12" max="12" width="15.640625" style="219" bestFit="1" customWidth="1"/>
    <col min="13" max="13" width="12.67578125" style="219" bestFit="1" customWidth="1"/>
    <col min="14" max="15" width="14.5625" style="219" bestFit="1" customWidth="1"/>
    <col min="16" max="16" width="19.55078125" style="219" bestFit="1" customWidth="1"/>
    <col min="17" max="17" width="14.5625" style="219" bestFit="1" customWidth="1"/>
    <col min="18" max="19" width="8.76171875" style="219"/>
    <col min="20" max="20" width="13.34765625" style="219" bestFit="1" customWidth="1"/>
    <col min="21" max="16384" width="8.76171875" style="219"/>
  </cols>
  <sheetData>
    <row r="1" spans="1:20" ht="21">
      <c r="A1" s="241" t="s">
        <v>242</v>
      </c>
      <c r="B1" s="242"/>
      <c r="C1" s="242"/>
      <c r="D1" s="242"/>
      <c r="E1" s="243"/>
      <c r="F1" s="243"/>
      <c r="G1" s="216"/>
      <c r="H1" s="216"/>
      <c r="I1" s="216"/>
      <c r="J1" s="218"/>
    </row>
    <row r="2" spans="1:20" ht="21">
      <c r="A2" s="244" t="s">
        <v>787</v>
      </c>
      <c r="B2" s="245"/>
      <c r="C2" s="245"/>
      <c r="D2" s="245"/>
      <c r="E2" s="246"/>
      <c r="F2" s="246"/>
      <c r="J2" s="224"/>
    </row>
    <row r="3" spans="1:20" ht="15.75" thickBot="1">
      <c r="A3" s="247"/>
      <c r="B3" s="248"/>
      <c r="C3" s="248"/>
      <c r="D3" s="248"/>
      <c r="E3" s="248"/>
      <c r="F3" s="248"/>
      <c r="G3" s="248"/>
      <c r="J3" s="224"/>
    </row>
    <row r="4" spans="1:20" ht="42" thickBot="1">
      <c r="A4" s="249" t="s">
        <v>788</v>
      </c>
      <c r="B4" s="250" t="s">
        <v>346</v>
      </c>
      <c r="C4" s="250" t="s">
        <v>19</v>
      </c>
      <c r="D4" s="251" t="s">
        <v>347</v>
      </c>
      <c r="E4" s="250" t="s">
        <v>22</v>
      </c>
      <c r="F4" s="250"/>
      <c r="G4" s="250" t="s">
        <v>349</v>
      </c>
      <c r="H4" s="251" t="s">
        <v>350</v>
      </c>
      <c r="I4" s="251" t="s">
        <v>134</v>
      </c>
      <c r="J4" s="252" t="s">
        <v>351</v>
      </c>
      <c r="L4" s="121" t="s">
        <v>188</v>
      </c>
      <c r="M4" s="120" t="s">
        <v>195</v>
      </c>
      <c r="N4" s="121" t="s">
        <v>237</v>
      </c>
      <c r="O4" s="120" t="s">
        <v>189</v>
      </c>
      <c r="P4" s="120" t="s">
        <v>190</v>
      </c>
      <c r="Q4" s="120" t="s">
        <v>191</v>
      </c>
      <c r="R4" s="120" t="s">
        <v>192</v>
      </c>
      <c r="S4" s="120" t="s">
        <v>193</v>
      </c>
      <c r="T4" s="120" t="s">
        <v>194</v>
      </c>
    </row>
    <row r="5" spans="1:20" ht="18.75">
      <c r="A5" s="253">
        <v>1</v>
      </c>
      <c r="B5" s="254" t="s">
        <v>353</v>
      </c>
      <c r="C5" s="254" t="s">
        <v>354</v>
      </c>
      <c r="D5" s="255"/>
      <c r="E5" s="254" t="s">
        <v>355</v>
      </c>
      <c r="F5" s="257">
        <v>12</v>
      </c>
      <c r="G5" s="291">
        <v>540000</v>
      </c>
      <c r="H5" s="291">
        <v>188800</v>
      </c>
      <c r="I5" s="254">
        <v>100</v>
      </c>
      <c r="J5" s="291">
        <v>13216</v>
      </c>
      <c r="L5" s="123">
        <f>G5</f>
        <v>540000</v>
      </c>
      <c r="M5" s="128">
        <f t="shared" ref="M5" si="0">L5*0.08</f>
        <v>43200</v>
      </c>
      <c r="N5" s="123">
        <f>L5-M5</f>
        <v>496800</v>
      </c>
      <c r="O5" s="128">
        <f>IF(N5&lt;=300000,0,IF(N5&gt;=20000000,(N5*0.21),(N5*0.2)+200000))</f>
        <v>299360</v>
      </c>
      <c r="P5" s="127">
        <f t="shared" ref="P5" si="1">+L5-O5-M5</f>
        <v>197440</v>
      </c>
      <c r="Q5" s="123">
        <f t="shared" ref="Q5" si="2">IF(O5=0,(L5*0.01),IF(P5&lt;=0,0.01*L5,IF(AND(P5&gt;0,P5&lt;=300000),P5*7%,IF(AND(P5&gt;=300000,P5&lt;600000),21000+(P5-300000)*11%,IF(AND(P5&gt;=600000,P5&lt;1100000),54000+(P5-600000)*15%,IF(AND(P5&gt;=1100000,P5&lt;1600000),129000+(P5-1100000)*19%,IF(AND(P5&gt;=1600000,P5&lt;3200000),224000+(P5-1600000)*21%,560000+(P5-3200000)*24%)))))))</f>
        <v>13820.800000000001</v>
      </c>
      <c r="R5" s="124">
        <f t="shared" ref="R5" si="3">Q5/12</f>
        <v>1151.7333333333333</v>
      </c>
      <c r="S5" s="125">
        <f>F5</f>
        <v>12</v>
      </c>
      <c r="T5" s="129">
        <f t="shared" ref="T5" si="4">+R5*S5</f>
        <v>13820.8</v>
      </c>
    </row>
    <row r="6" spans="1:20" ht="18.75">
      <c r="A6" s="256">
        <v>2</v>
      </c>
      <c r="B6" s="257" t="s">
        <v>357</v>
      </c>
      <c r="C6" s="257" t="s">
        <v>358</v>
      </c>
      <c r="D6" s="257" t="s">
        <v>359</v>
      </c>
      <c r="E6" s="257" t="s">
        <v>360</v>
      </c>
      <c r="F6" s="257">
        <v>12</v>
      </c>
      <c r="G6" s="292">
        <v>960000</v>
      </c>
      <c r="H6" s="292">
        <v>491200</v>
      </c>
      <c r="I6" s="257">
        <v>100</v>
      </c>
      <c r="J6" s="292">
        <v>42032</v>
      </c>
      <c r="L6" s="123">
        <f t="shared" ref="L6:L69" si="5">G6</f>
        <v>960000</v>
      </c>
      <c r="M6" s="128">
        <f t="shared" ref="M6:M69" si="6">L6*0.08</f>
        <v>76800</v>
      </c>
      <c r="N6" s="123">
        <f t="shared" ref="N6:N69" si="7">L6-M6</f>
        <v>883200</v>
      </c>
      <c r="O6" s="128">
        <f t="shared" ref="O6:O69" si="8">IF(N6&lt;=300000,0,IF(N6&gt;=20000000,(N6*0.21),(N6*0.2)+200000))</f>
        <v>376640</v>
      </c>
      <c r="P6" s="127">
        <f t="shared" ref="P6:P69" si="9">+L6-O6-M6</f>
        <v>506560</v>
      </c>
      <c r="Q6" s="123">
        <f t="shared" ref="Q6:Q69" si="10">IF(O6=0,(L6*0.01),IF(P6&lt;=0,0.01*L6,IF(AND(P6&gt;0,P6&lt;=300000),P6*7%,IF(AND(P6&gt;=300000,P6&lt;600000),21000+(P6-300000)*11%,IF(AND(P6&gt;=600000,P6&lt;1100000),54000+(P6-600000)*15%,IF(AND(P6&gt;=1100000,P6&lt;1600000),129000+(P6-1100000)*19%,IF(AND(P6&gt;=1600000,P6&lt;3200000),224000+(P6-1600000)*21%,560000+(P6-3200000)*24%)))))))</f>
        <v>43721.599999999999</v>
      </c>
      <c r="R6" s="124">
        <f t="shared" ref="R6:R69" si="11">Q6/12</f>
        <v>3643.4666666666667</v>
      </c>
      <c r="S6" s="125">
        <f t="shared" ref="S6:S69" si="12">F6</f>
        <v>12</v>
      </c>
      <c r="T6" s="129">
        <f t="shared" ref="T6:T69" si="13">+R6*S6</f>
        <v>43721.599999999999</v>
      </c>
    </row>
    <row r="7" spans="1:20" ht="18.75">
      <c r="A7" s="256">
        <v>3</v>
      </c>
      <c r="B7" s="258" t="s">
        <v>362</v>
      </c>
      <c r="C7" s="258" t="s">
        <v>363</v>
      </c>
      <c r="D7" s="259"/>
      <c r="E7" s="258" t="s">
        <v>364</v>
      </c>
      <c r="F7" s="257">
        <v>12</v>
      </c>
      <c r="G7" s="293">
        <v>660000</v>
      </c>
      <c r="H7" s="293">
        <v>275200</v>
      </c>
      <c r="I7" s="258">
        <v>100</v>
      </c>
      <c r="J7" s="293">
        <v>19264</v>
      </c>
      <c r="L7" s="123">
        <f t="shared" si="5"/>
        <v>660000</v>
      </c>
      <c r="M7" s="128">
        <f t="shared" si="6"/>
        <v>52800</v>
      </c>
      <c r="N7" s="123">
        <f t="shared" si="7"/>
        <v>607200</v>
      </c>
      <c r="O7" s="128">
        <f t="shared" si="8"/>
        <v>321440</v>
      </c>
      <c r="P7" s="127">
        <f t="shared" si="9"/>
        <v>285760</v>
      </c>
      <c r="Q7" s="123">
        <f t="shared" si="10"/>
        <v>20003.2</v>
      </c>
      <c r="R7" s="124">
        <f t="shared" si="11"/>
        <v>1666.9333333333334</v>
      </c>
      <c r="S7" s="125">
        <f t="shared" si="12"/>
        <v>12</v>
      </c>
      <c r="T7" s="129">
        <f t="shared" si="13"/>
        <v>20003.2</v>
      </c>
    </row>
    <row r="8" spans="1:20" ht="51.75">
      <c r="A8" s="256">
        <v>4</v>
      </c>
      <c r="B8" s="257" t="s">
        <v>366</v>
      </c>
      <c r="C8" s="257" t="s">
        <v>367</v>
      </c>
      <c r="D8" s="260"/>
      <c r="E8" s="257" t="s">
        <v>368</v>
      </c>
      <c r="F8" s="257">
        <v>12</v>
      </c>
      <c r="G8" s="292">
        <v>600000</v>
      </c>
      <c r="H8" s="292">
        <v>232000</v>
      </c>
      <c r="I8" s="257">
        <v>100</v>
      </c>
      <c r="J8" s="292">
        <v>16240</v>
      </c>
      <c r="L8" s="123">
        <f t="shared" si="5"/>
        <v>600000</v>
      </c>
      <c r="M8" s="128">
        <f t="shared" si="6"/>
        <v>48000</v>
      </c>
      <c r="N8" s="123">
        <f t="shared" si="7"/>
        <v>552000</v>
      </c>
      <c r="O8" s="128">
        <f t="shared" si="8"/>
        <v>310400</v>
      </c>
      <c r="P8" s="127">
        <f t="shared" si="9"/>
        <v>241600</v>
      </c>
      <c r="Q8" s="123">
        <f t="shared" si="10"/>
        <v>16912</v>
      </c>
      <c r="R8" s="124">
        <f t="shared" si="11"/>
        <v>1409.3333333333333</v>
      </c>
      <c r="S8" s="125">
        <f t="shared" si="12"/>
        <v>12</v>
      </c>
      <c r="T8" s="129">
        <f t="shared" si="13"/>
        <v>16912</v>
      </c>
    </row>
    <row r="9" spans="1:20" ht="18.75">
      <c r="A9" s="256">
        <v>5</v>
      </c>
      <c r="B9" s="258" t="s">
        <v>370</v>
      </c>
      <c r="C9" s="258" t="s">
        <v>371</v>
      </c>
      <c r="D9" s="258" t="s">
        <v>372</v>
      </c>
      <c r="E9" s="258" t="s">
        <v>373</v>
      </c>
      <c r="F9" s="257">
        <v>12</v>
      </c>
      <c r="G9" s="293">
        <v>600000</v>
      </c>
      <c r="H9" s="293">
        <v>232000</v>
      </c>
      <c r="I9" s="258">
        <v>100</v>
      </c>
      <c r="J9" s="293">
        <v>16240</v>
      </c>
      <c r="L9" s="123">
        <f t="shared" si="5"/>
        <v>600000</v>
      </c>
      <c r="M9" s="128">
        <f t="shared" si="6"/>
        <v>48000</v>
      </c>
      <c r="N9" s="123">
        <f t="shared" si="7"/>
        <v>552000</v>
      </c>
      <c r="O9" s="128">
        <f t="shared" si="8"/>
        <v>310400</v>
      </c>
      <c r="P9" s="127">
        <f t="shared" si="9"/>
        <v>241600</v>
      </c>
      <c r="Q9" s="123">
        <f t="shared" si="10"/>
        <v>16912</v>
      </c>
      <c r="R9" s="124">
        <f t="shared" si="11"/>
        <v>1409.3333333333333</v>
      </c>
      <c r="S9" s="125">
        <f t="shared" si="12"/>
        <v>12</v>
      </c>
      <c r="T9" s="129">
        <f t="shared" si="13"/>
        <v>16912</v>
      </c>
    </row>
    <row r="10" spans="1:20" ht="18.75">
      <c r="A10" s="256">
        <v>6</v>
      </c>
      <c r="B10" s="257" t="s">
        <v>375</v>
      </c>
      <c r="C10" s="257" t="s">
        <v>376</v>
      </c>
      <c r="D10" s="260"/>
      <c r="E10" s="257" t="s">
        <v>377</v>
      </c>
      <c r="F10" s="257">
        <v>12</v>
      </c>
      <c r="G10" s="292">
        <v>420000</v>
      </c>
      <c r="H10" s="292">
        <v>102400</v>
      </c>
      <c r="I10" s="257">
        <v>100</v>
      </c>
      <c r="J10" s="292">
        <v>7168</v>
      </c>
      <c r="L10" s="123">
        <f t="shared" si="5"/>
        <v>420000</v>
      </c>
      <c r="M10" s="128">
        <f t="shared" si="6"/>
        <v>33600</v>
      </c>
      <c r="N10" s="123">
        <f t="shared" si="7"/>
        <v>386400</v>
      </c>
      <c r="O10" s="128">
        <f t="shared" si="8"/>
        <v>277280</v>
      </c>
      <c r="P10" s="127">
        <f t="shared" si="9"/>
        <v>109120</v>
      </c>
      <c r="Q10" s="123">
        <f t="shared" si="10"/>
        <v>7638.4000000000005</v>
      </c>
      <c r="R10" s="124">
        <f t="shared" si="11"/>
        <v>636.53333333333342</v>
      </c>
      <c r="S10" s="125">
        <f t="shared" si="12"/>
        <v>12</v>
      </c>
      <c r="T10" s="129">
        <f t="shared" si="13"/>
        <v>7638.4000000000015</v>
      </c>
    </row>
    <row r="11" spans="1:20" ht="18.75">
      <c r="A11" s="256">
        <v>7</v>
      </c>
      <c r="B11" s="258" t="s">
        <v>379</v>
      </c>
      <c r="C11" s="258" t="s">
        <v>380</v>
      </c>
      <c r="D11" s="258" t="s">
        <v>381</v>
      </c>
      <c r="E11" s="258" t="s">
        <v>382</v>
      </c>
      <c r="F11" s="257">
        <v>12</v>
      </c>
      <c r="G11" s="293">
        <v>420000</v>
      </c>
      <c r="H11" s="293">
        <v>102400</v>
      </c>
      <c r="I11" s="258">
        <v>100</v>
      </c>
      <c r="J11" s="293">
        <v>7168</v>
      </c>
      <c r="L11" s="123">
        <f t="shared" si="5"/>
        <v>420000</v>
      </c>
      <c r="M11" s="128">
        <f t="shared" si="6"/>
        <v>33600</v>
      </c>
      <c r="N11" s="123">
        <f t="shared" si="7"/>
        <v>386400</v>
      </c>
      <c r="O11" s="128">
        <f t="shared" si="8"/>
        <v>277280</v>
      </c>
      <c r="P11" s="127">
        <f t="shared" si="9"/>
        <v>109120</v>
      </c>
      <c r="Q11" s="123">
        <f t="shared" si="10"/>
        <v>7638.4000000000005</v>
      </c>
      <c r="R11" s="124">
        <f t="shared" si="11"/>
        <v>636.53333333333342</v>
      </c>
      <c r="S11" s="125">
        <f t="shared" si="12"/>
        <v>12</v>
      </c>
      <c r="T11" s="129">
        <f t="shared" si="13"/>
        <v>7638.4000000000015</v>
      </c>
    </row>
    <row r="12" spans="1:20" ht="18.75">
      <c r="A12" s="256">
        <v>8</v>
      </c>
      <c r="B12" s="257" t="s">
        <v>384</v>
      </c>
      <c r="C12" s="257" t="s">
        <v>385</v>
      </c>
      <c r="D12" s="257" t="s">
        <v>386</v>
      </c>
      <c r="E12" s="257" t="s">
        <v>373</v>
      </c>
      <c r="F12" s="257">
        <v>12</v>
      </c>
      <c r="G12" s="292">
        <v>540000</v>
      </c>
      <c r="H12" s="292">
        <v>188800</v>
      </c>
      <c r="I12" s="257">
        <v>100</v>
      </c>
      <c r="J12" s="292">
        <v>13216</v>
      </c>
      <c r="L12" s="123">
        <f t="shared" si="5"/>
        <v>540000</v>
      </c>
      <c r="M12" s="128">
        <f t="shared" si="6"/>
        <v>43200</v>
      </c>
      <c r="N12" s="123">
        <f t="shared" si="7"/>
        <v>496800</v>
      </c>
      <c r="O12" s="128">
        <f t="shared" si="8"/>
        <v>299360</v>
      </c>
      <c r="P12" s="127">
        <f t="shared" si="9"/>
        <v>197440</v>
      </c>
      <c r="Q12" s="123">
        <f t="shared" si="10"/>
        <v>13820.800000000001</v>
      </c>
      <c r="R12" s="124">
        <f t="shared" si="11"/>
        <v>1151.7333333333333</v>
      </c>
      <c r="S12" s="125">
        <f t="shared" si="12"/>
        <v>12</v>
      </c>
      <c r="T12" s="129">
        <f t="shared" si="13"/>
        <v>13820.8</v>
      </c>
    </row>
    <row r="13" spans="1:20" ht="18.75">
      <c r="A13" s="256">
        <v>9</v>
      </c>
      <c r="B13" s="258" t="s">
        <v>388</v>
      </c>
      <c r="C13" s="258" t="s">
        <v>389</v>
      </c>
      <c r="D13" s="259"/>
      <c r="E13" s="258" t="s">
        <v>390</v>
      </c>
      <c r="F13" s="257">
        <v>12</v>
      </c>
      <c r="G13" s="293">
        <v>480000</v>
      </c>
      <c r="H13" s="293">
        <v>145600</v>
      </c>
      <c r="I13" s="258">
        <v>100</v>
      </c>
      <c r="J13" s="293">
        <v>10192</v>
      </c>
      <c r="L13" s="123">
        <f t="shared" si="5"/>
        <v>480000</v>
      </c>
      <c r="M13" s="128">
        <f t="shared" si="6"/>
        <v>38400</v>
      </c>
      <c r="N13" s="123">
        <f t="shared" si="7"/>
        <v>441600</v>
      </c>
      <c r="O13" s="128">
        <f t="shared" si="8"/>
        <v>288320</v>
      </c>
      <c r="P13" s="127">
        <f t="shared" si="9"/>
        <v>153280</v>
      </c>
      <c r="Q13" s="123">
        <f t="shared" si="10"/>
        <v>10729.6</v>
      </c>
      <c r="R13" s="124">
        <f t="shared" si="11"/>
        <v>894.13333333333333</v>
      </c>
      <c r="S13" s="125">
        <f t="shared" si="12"/>
        <v>12</v>
      </c>
      <c r="T13" s="129">
        <f t="shared" si="13"/>
        <v>10729.6</v>
      </c>
    </row>
    <row r="14" spans="1:20" ht="35.25">
      <c r="A14" s="256">
        <v>10</v>
      </c>
      <c r="B14" s="257" t="s">
        <v>392</v>
      </c>
      <c r="C14" s="257" t="s">
        <v>393</v>
      </c>
      <c r="D14" s="260"/>
      <c r="E14" s="257" t="s">
        <v>394</v>
      </c>
      <c r="F14" s="257">
        <v>12</v>
      </c>
      <c r="G14" s="292">
        <v>660000</v>
      </c>
      <c r="H14" s="292">
        <v>275200</v>
      </c>
      <c r="I14" s="257">
        <v>100</v>
      </c>
      <c r="J14" s="292">
        <v>19264</v>
      </c>
      <c r="L14" s="123">
        <f t="shared" si="5"/>
        <v>660000</v>
      </c>
      <c r="M14" s="128">
        <f t="shared" si="6"/>
        <v>52800</v>
      </c>
      <c r="N14" s="123">
        <f t="shared" si="7"/>
        <v>607200</v>
      </c>
      <c r="O14" s="128">
        <f t="shared" si="8"/>
        <v>321440</v>
      </c>
      <c r="P14" s="127">
        <f t="shared" si="9"/>
        <v>285760</v>
      </c>
      <c r="Q14" s="123">
        <f t="shared" si="10"/>
        <v>20003.2</v>
      </c>
      <c r="R14" s="124">
        <f t="shared" si="11"/>
        <v>1666.9333333333334</v>
      </c>
      <c r="S14" s="125">
        <f t="shared" si="12"/>
        <v>12</v>
      </c>
      <c r="T14" s="129">
        <f t="shared" si="13"/>
        <v>20003.2</v>
      </c>
    </row>
    <row r="15" spans="1:20" ht="18.75">
      <c r="A15" s="256">
        <v>11</v>
      </c>
      <c r="B15" s="258" t="s">
        <v>396</v>
      </c>
      <c r="C15" s="258" t="s">
        <v>397</v>
      </c>
      <c r="D15" s="259"/>
      <c r="E15" s="258" t="s">
        <v>390</v>
      </c>
      <c r="F15" s="257">
        <v>12</v>
      </c>
      <c r="G15" s="293">
        <v>480000</v>
      </c>
      <c r="H15" s="293">
        <v>145600</v>
      </c>
      <c r="I15" s="258">
        <v>100</v>
      </c>
      <c r="J15" s="293">
        <v>10192</v>
      </c>
      <c r="L15" s="123">
        <f t="shared" si="5"/>
        <v>480000</v>
      </c>
      <c r="M15" s="128">
        <f t="shared" si="6"/>
        <v>38400</v>
      </c>
      <c r="N15" s="123">
        <f t="shared" si="7"/>
        <v>441600</v>
      </c>
      <c r="O15" s="128">
        <f t="shared" si="8"/>
        <v>288320</v>
      </c>
      <c r="P15" s="127">
        <f t="shared" si="9"/>
        <v>153280</v>
      </c>
      <c r="Q15" s="123">
        <f t="shared" si="10"/>
        <v>10729.6</v>
      </c>
      <c r="R15" s="124">
        <f t="shared" si="11"/>
        <v>894.13333333333333</v>
      </c>
      <c r="S15" s="125">
        <f t="shared" si="12"/>
        <v>12</v>
      </c>
      <c r="T15" s="129">
        <f t="shared" si="13"/>
        <v>10729.6</v>
      </c>
    </row>
    <row r="16" spans="1:20" ht="18.75">
      <c r="A16" s="256">
        <v>12</v>
      </c>
      <c r="B16" s="257" t="s">
        <v>399</v>
      </c>
      <c r="C16" s="257" t="s">
        <v>389</v>
      </c>
      <c r="D16" s="260"/>
      <c r="E16" s="257" t="s">
        <v>400</v>
      </c>
      <c r="F16" s="257">
        <v>12</v>
      </c>
      <c r="G16" s="292">
        <v>540000</v>
      </c>
      <c r="H16" s="292">
        <v>188800</v>
      </c>
      <c r="I16" s="257">
        <v>100</v>
      </c>
      <c r="J16" s="292">
        <v>13216</v>
      </c>
      <c r="L16" s="123">
        <f t="shared" si="5"/>
        <v>540000</v>
      </c>
      <c r="M16" s="128">
        <f t="shared" si="6"/>
        <v>43200</v>
      </c>
      <c r="N16" s="123">
        <f t="shared" si="7"/>
        <v>496800</v>
      </c>
      <c r="O16" s="128">
        <f t="shared" si="8"/>
        <v>299360</v>
      </c>
      <c r="P16" s="127">
        <f t="shared" si="9"/>
        <v>197440</v>
      </c>
      <c r="Q16" s="123">
        <f t="shared" si="10"/>
        <v>13820.800000000001</v>
      </c>
      <c r="R16" s="124">
        <f t="shared" si="11"/>
        <v>1151.7333333333333</v>
      </c>
      <c r="S16" s="125">
        <f t="shared" si="12"/>
        <v>12</v>
      </c>
      <c r="T16" s="129">
        <f t="shared" si="13"/>
        <v>13820.8</v>
      </c>
    </row>
    <row r="17" spans="1:20" ht="18.75">
      <c r="A17" s="256">
        <v>13</v>
      </c>
      <c r="B17" s="258" t="s">
        <v>402</v>
      </c>
      <c r="C17" s="258" t="s">
        <v>403</v>
      </c>
      <c r="D17" s="258" t="s">
        <v>404</v>
      </c>
      <c r="E17" s="258" t="s">
        <v>400</v>
      </c>
      <c r="F17" s="257">
        <v>12</v>
      </c>
      <c r="G17" s="293">
        <v>540000</v>
      </c>
      <c r="H17" s="293">
        <v>188800</v>
      </c>
      <c r="I17" s="258">
        <v>100</v>
      </c>
      <c r="J17" s="293">
        <v>13216</v>
      </c>
      <c r="L17" s="123">
        <f t="shared" si="5"/>
        <v>540000</v>
      </c>
      <c r="M17" s="128">
        <f t="shared" si="6"/>
        <v>43200</v>
      </c>
      <c r="N17" s="123">
        <f t="shared" si="7"/>
        <v>496800</v>
      </c>
      <c r="O17" s="128">
        <f t="shared" si="8"/>
        <v>299360</v>
      </c>
      <c r="P17" s="127">
        <f t="shared" si="9"/>
        <v>197440</v>
      </c>
      <c r="Q17" s="123">
        <f t="shared" si="10"/>
        <v>13820.800000000001</v>
      </c>
      <c r="R17" s="124">
        <f t="shared" si="11"/>
        <v>1151.7333333333333</v>
      </c>
      <c r="S17" s="125">
        <f t="shared" si="12"/>
        <v>12</v>
      </c>
      <c r="T17" s="129">
        <f t="shared" si="13"/>
        <v>13820.8</v>
      </c>
    </row>
    <row r="18" spans="1:20" ht="18.75">
      <c r="A18" s="256">
        <v>14</v>
      </c>
      <c r="B18" s="257" t="s">
        <v>406</v>
      </c>
      <c r="C18" s="257" t="s">
        <v>407</v>
      </c>
      <c r="D18" s="260"/>
      <c r="E18" s="257" t="s">
        <v>390</v>
      </c>
      <c r="F18" s="257">
        <v>12</v>
      </c>
      <c r="G18" s="292">
        <v>480000</v>
      </c>
      <c r="H18" s="292">
        <v>145600</v>
      </c>
      <c r="I18" s="257">
        <v>100</v>
      </c>
      <c r="J18" s="292">
        <v>10192</v>
      </c>
      <c r="L18" s="123">
        <f t="shared" si="5"/>
        <v>480000</v>
      </c>
      <c r="M18" s="128">
        <f t="shared" si="6"/>
        <v>38400</v>
      </c>
      <c r="N18" s="123">
        <f t="shared" si="7"/>
        <v>441600</v>
      </c>
      <c r="O18" s="128">
        <f t="shared" si="8"/>
        <v>288320</v>
      </c>
      <c r="P18" s="127">
        <f t="shared" si="9"/>
        <v>153280</v>
      </c>
      <c r="Q18" s="123">
        <f t="shared" si="10"/>
        <v>10729.6</v>
      </c>
      <c r="R18" s="124">
        <f t="shared" si="11"/>
        <v>894.13333333333333</v>
      </c>
      <c r="S18" s="125">
        <f t="shared" si="12"/>
        <v>12</v>
      </c>
      <c r="T18" s="129">
        <f t="shared" si="13"/>
        <v>10729.6</v>
      </c>
    </row>
    <row r="19" spans="1:20" ht="18.75">
      <c r="A19" s="256">
        <v>15</v>
      </c>
      <c r="B19" s="258" t="s">
        <v>409</v>
      </c>
      <c r="C19" s="258" t="s">
        <v>410</v>
      </c>
      <c r="D19" s="258" t="s">
        <v>411</v>
      </c>
      <c r="E19" s="258" t="s">
        <v>412</v>
      </c>
      <c r="F19" s="257">
        <v>12</v>
      </c>
      <c r="G19" s="293">
        <v>420000</v>
      </c>
      <c r="H19" s="293">
        <v>102400</v>
      </c>
      <c r="I19" s="258">
        <v>100</v>
      </c>
      <c r="J19" s="293">
        <v>7168</v>
      </c>
      <c r="L19" s="123">
        <f t="shared" si="5"/>
        <v>420000</v>
      </c>
      <c r="M19" s="128">
        <f t="shared" si="6"/>
        <v>33600</v>
      </c>
      <c r="N19" s="123">
        <f t="shared" si="7"/>
        <v>386400</v>
      </c>
      <c r="O19" s="128">
        <f t="shared" si="8"/>
        <v>277280</v>
      </c>
      <c r="P19" s="127">
        <f t="shared" si="9"/>
        <v>109120</v>
      </c>
      <c r="Q19" s="123">
        <f t="shared" si="10"/>
        <v>7638.4000000000005</v>
      </c>
      <c r="R19" s="124">
        <f t="shared" si="11"/>
        <v>636.53333333333342</v>
      </c>
      <c r="S19" s="125">
        <f t="shared" si="12"/>
        <v>12</v>
      </c>
      <c r="T19" s="129">
        <f t="shared" si="13"/>
        <v>7638.4000000000015</v>
      </c>
    </row>
    <row r="20" spans="1:20" ht="18.75">
      <c r="A20" s="256">
        <v>16</v>
      </c>
      <c r="B20" s="257" t="s">
        <v>414</v>
      </c>
      <c r="C20" s="257" t="s">
        <v>415</v>
      </c>
      <c r="D20" s="257" t="s">
        <v>416</v>
      </c>
      <c r="E20" s="257" t="s">
        <v>373</v>
      </c>
      <c r="F20" s="257">
        <v>12</v>
      </c>
      <c r="G20" s="292">
        <v>540000</v>
      </c>
      <c r="H20" s="292">
        <v>188800</v>
      </c>
      <c r="I20" s="257">
        <v>100</v>
      </c>
      <c r="J20" s="292">
        <v>13216</v>
      </c>
      <c r="L20" s="123">
        <f t="shared" si="5"/>
        <v>540000</v>
      </c>
      <c r="M20" s="128">
        <f t="shared" si="6"/>
        <v>43200</v>
      </c>
      <c r="N20" s="123">
        <f t="shared" si="7"/>
        <v>496800</v>
      </c>
      <c r="O20" s="128">
        <f t="shared" si="8"/>
        <v>299360</v>
      </c>
      <c r="P20" s="127">
        <f t="shared" si="9"/>
        <v>197440</v>
      </c>
      <c r="Q20" s="123">
        <f t="shared" si="10"/>
        <v>13820.800000000001</v>
      </c>
      <c r="R20" s="124">
        <f t="shared" si="11"/>
        <v>1151.7333333333333</v>
      </c>
      <c r="S20" s="125">
        <f t="shared" si="12"/>
        <v>12</v>
      </c>
      <c r="T20" s="129">
        <f t="shared" si="13"/>
        <v>13820.8</v>
      </c>
    </row>
    <row r="21" spans="1:20" ht="18.75">
      <c r="A21" s="256">
        <v>17</v>
      </c>
      <c r="B21" s="258" t="s">
        <v>418</v>
      </c>
      <c r="C21" s="258" t="s">
        <v>419</v>
      </c>
      <c r="D21" s="258" t="s">
        <v>420</v>
      </c>
      <c r="E21" s="258" t="s">
        <v>390</v>
      </c>
      <c r="F21" s="257">
        <v>12</v>
      </c>
      <c r="G21" s="293">
        <v>480000</v>
      </c>
      <c r="H21" s="293">
        <v>145600</v>
      </c>
      <c r="I21" s="258">
        <v>100</v>
      </c>
      <c r="J21" s="293">
        <v>10192</v>
      </c>
      <c r="L21" s="123">
        <f t="shared" si="5"/>
        <v>480000</v>
      </c>
      <c r="M21" s="128">
        <f t="shared" si="6"/>
        <v>38400</v>
      </c>
      <c r="N21" s="123">
        <f t="shared" si="7"/>
        <v>441600</v>
      </c>
      <c r="O21" s="128">
        <f t="shared" si="8"/>
        <v>288320</v>
      </c>
      <c r="P21" s="127">
        <f t="shared" si="9"/>
        <v>153280</v>
      </c>
      <c r="Q21" s="123">
        <f t="shared" si="10"/>
        <v>10729.6</v>
      </c>
      <c r="R21" s="124">
        <f t="shared" si="11"/>
        <v>894.13333333333333</v>
      </c>
      <c r="S21" s="125">
        <f t="shared" si="12"/>
        <v>12</v>
      </c>
      <c r="T21" s="129">
        <f t="shared" si="13"/>
        <v>10729.6</v>
      </c>
    </row>
    <row r="22" spans="1:20" ht="18.75">
      <c r="A22" s="256">
        <v>18</v>
      </c>
      <c r="B22" s="257" t="s">
        <v>422</v>
      </c>
      <c r="C22" s="257" t="s">
        <v>423</v>
      </c>
      <c r="D22" s="260"/>
      <c r="E22" s="257" t="s">
        <v>412</v>
      </c>
      <c r="F22" s="257">
        <v>12</v>
      </c>
      <c r="G22" s="292">
        <v>420000</v>
      </c>
      <c r="H22" s="292">
        <v>102400</v>
      </c>
      <c r="I22" s="257">
        <v>100</v>
      </c>
      <c r="J22" s="292">
        <v>7168</v>
      </c>
      <c r="L22" s="123">
        <f t="shared" si="5"/>
        <v>420000</v>
      </c>
      <c r="M22" s="128">
        <f t="shared" si="6"/>
        <v>33600</v>
      </c>
      <c r="N22" s="123">
        <f t="shared" si="7"/>
        <v>386400</v>
      </c>
      <c r="O22" s="128">
        <f t="shared" si="8"/>
        <v>277280</v>
      </c>
      <c r="P22" s="127">
        <f t="shared" si="9"/>
        <v>109120</v>
      </c>
      <c r="Q22" s="123">
        <f t="shared" si="10"/>
        <v>7638.4000000000005</v>
      </c>
      <c r="R22" s="124">
        <f t="shared" si="11"/>
        <v>636.53333333333342</v>
      </c>
      <c r="S22" s="125">
        <f t="shared" si="12"/>
        <v>12</v>
      </c>
      <c r="T22" s="129">
        <f t="shared" si="13"/>
        <v>7638.4000000000015</v>
      </c>
    </row>
    <row r="23" spans="1:20" ht="18.75">
      <c r="A23" s="256">
        <v>19</v>
      </c>
      <c r="B23" s="258" t="s">
        <v>425</v>
      </c>
      <c r="C23" s="258" t="s">
        <v>426</v>
      </c>
      <c r="D23" s="258" t="s">
        <v>427</v>
      </c>
      <c r="E23" s="258" t="s">
        <v>382</v>
      </c>
      <c r="F23" s="257">
        <v>12</v>
      </c>
      <c r="G23" s="293">
        <v>420000</v>
      </c>
      <c r="H23" s="293">
        <v>102400</v>
      </c>
      <c r="I23" s="258">
        <v>100</v>
      </c>
      <c r="J23" s="293">
        <v>7168</v>
      </c>
      <c r="L23" s="123">
        <f t="shared" si="5"/>
        <v>420000</v>
      </c>
      <c r="M23" s="128">
        <f t="shared" si="6"/>
        <v>33600</v>
      </c>
      <c r="N23" s="123">
        <f t="shared" si="7"/>
        <v>386400</v>
      </c>
      <c r="O23" s="128">
        <f t="shared" si="8"/>
        <v>277280</v>
      </c>
      <c r="P23" s="127">
        <f t="shared" si="9"/>
        <v>109120</v>
      </c>
      <c r="Q23" s="123">
        <f t="shared" si="10"/>
        <v>7638.4000000000005</v>
      </c>
      <c r="R23" s="124">
        <f t="shared" si="11"/>
        <v>636.53333333333342</v>
      </c>
      <c r="S23" s="125">
        <f t="shared" si="12"/>
        <v>12</v>
      </c>
      <c r="T23" s="129">
        <f t="shared" si="13"/>
        <v>7638.4000000000015</v>
      </c>
    </row>
    <row r="24" spans="1:20" ht="35.25">
      <c r="A24" s="256">
        <v>20</v>
      </c>
      <c r="B24" s="257" t="s">
        <v>429</v>
      </c>
      <c r="C24" s="257" t="s">
        <v>430</v>
      </c>
      <c r="D24" s="260"/>
      <c r="E24" s="257" t="s">
        <v>431</v>
      </c>
      <c r="F24" s="257">
        <v>12</v>
      </c>
      <c r="G24" s="292">
        <v>480000</v>
      </c>
      <c r="H24" s="292">
        <v>145600</v>
      </c>
      <c r="I24" s="257">
        <v>100</v>
      </c>
      <c r="J24" s="292">
        <v>10192</v>
      </c>
      <c r="L24" s="123">
        <f t="shared" si="5"/>
        <v>480000</v>
      </c>
      <c r="M24" s="128">
        <f t="shared" si="6"/>
        <v>38400</v>
      </c>
      <c r="N24" s="123">
        <f t="shared" si="7"/>
        <v>441600</v>
      </c>
      <c r="O24" s="128">
        <f t="shared" si="8"/>
        <v>288320</v>
      </c>
      <c r="P24" s="127">
        <f t="shared" si="9"/>
        <v>153280</v>
      </c>
      <c r="Q24" s="123">
        <f t="shared" si="10"/>
        <v>10729.6</v>
      </c>
      <c r="R24" s="124">
        <f t="shared" si="11"/>
        <v>894.13333333333333</v>
      </c>
      <c r="S24" s="125">
        <f t="shared" si="12"/>
        <v>12</v>
      </c>
      <c r="T24" s="129">
        <f t="shared" si="13"/>
        <v>10729.6</v>
      </c>
    </row>
    <row r="25" spans="1:20" ht="35.25">
      <c r="A25" s="256">
        <v>21</v>
      </c>
      <c r="B25" s="258" t="s">
        <v>433</v>
      </c>
      <c r="C25" s="258" t="s">
        <v>434</v>
      </c>
      <c r="D25" s="259"/>
      <c r="E25" s="258" t="s">
        <v>435</v>
      </c>
      <c r="F25" s="257">
        <v>12</v>
      </c>
      <c r="G25" s="293">
        <v>540000</v>
      </c>
      <c r="H25" s="293">
        <v>188800</v>
      </c>
      <c r="I25" s="258">
        <v>100</v>
      </c>
      <c r="J25" s="293">
        <v>13216</v>
      </c>
      <c r="L25" s="123">
        <f t="shared" si="5"/>
        <v>540000</v>
      </c>
      <c r="M25" s="128">
        <f t="shared" si="6"/>
        <v>43200</v>
      </c>
      <c r="N25" s="123">
        <f t="shared" si="7"/>
        <v>496800</v>
      </c>
      <c r="O25" s="128">
        <f t="shared" si="8"/>
        <v>299360</v>
      </c>
      <c r="P25" s="127">
        <f t="shared" si="9"/>
        <v>197440</v>
      </c>
      <c r="Q25" s="123">
        <f t="shared" si="10"/>
        <v>13820.800000000001</v>
      </c>
      <c r="R25" s="124">
        <f t="shared" si="11"/>
        <v>1151.7333333333333</v>
      </c>
      <c r="S25" s="125">
        <f t="shared" si="12"/>
        <v>12</v>
      </c>
      <c r="T25" s="129">
        <f t="shared" si="13"/>
        <v>13820.8</v>
      </c>
    </row>
    <row r="26" spans="1:20" ht="18.75">
      <c r="A26" s="256">
        <v>22</v>
      </c>
      <c r="B26" s="257" t="s">
        <v>437</v>
      </c>
      <c r="C26" s="257" t="s">
        <v>438</v>
      </c>
      <c r="D26" s="260"/>
      <c r="E26" s="257" t="s">
        <v>390</v>
      </c>
      <c r="F26" s="257">
        <v>12</v>
      </c>
      <c r="G26" s="292">
        <v>480000</v>
      </c>
      <c r="H26" s="292">
        <v>145600</v>
      </c>
      <c r="I26" s="257">
        <v>100</v>
      </c>
      <c r="J26" s="292">
        <v>10192</v>
      </c>
      <c r="L26" s="123">
        <f t="shared" si="5"/>
        <v>480000</v>
      </c>
      <c r="M26" s="128">
        <f t="shared" si="6"/>
        <v>38400</v>
      </c>
      <c r="N26" s="123">
        <f t="shared" si="7"/>
        <v>441600</v>
      </c>
      <c r="O26" s="128">
        <f t="shared" si="8"/>
        <v>288320</v>
      </c>
      <c r="P26" s="127">
        <f t="shared" si="9"/>
        <v>153280</v>
      </c>
      <c r="Q26" s="123">
        <f t="shared" si="10"/>
        <v>10729.6</v>
      </c>
      <c r="R26" s="124">
        <f t="shared" si="11"/>
        <v>894.13333333333333</v>
      </c>
      <c r="S26" s="125">
        <f t="shared" si="12"/>
        <v>12</v>
      </c>
      <c r="T26" s="129">
        <f t="shared" si="13"/>
        <v>10729.6</v>
      </c>
    </row>
    <row r="27" spans="1:20" ht="18.75">
      <c r="A27" s="256">
        <v>23</v>
      </c>
      <c r="B27" s="258" t="s">
        <v>440</v>
      </c>
      <c r="C27" s="258" t="s">
        <v>441</v>
      </c>
      <c r="D27" s="259"/>
      <c r="E27" s="258" t="s">
        <v>412</v>
      </c>
      <c r="F27" s="257">
        <v>12</v>
      </c>
      <c r="G27" s="293">
        <v>420000</v>
      </c>
      <c r="H27" s="293">
        <v>102400</v>
      </c>
      <c r="I27" s="258">
        <v>100</v>
      </c>
      <c r="J27" s="293">
        <v>7168</v>
      </c>
      <c r="L27" s="123">
        <f t="shared" si="5"/>
        <v>420000</v>
      </c>
      <c r="M27" s="128">
        <f t="shared" si="6"/>
        <v>33600</v>
      </c>
      <c r="N27" s="123">
        <f t="shared" si="7"/>
        <v>386400</v>
      </c>
      <c r="O27" s="128">
        <f t="shared" si="8"/>
        <v>277280</v>
      </c>
      <c r="P27" s="127">
        <f t="shared" si="9"/>
        <v>109120</v>
      </c>
      <c r="Q27" s="123">
        <f t="shared" si="10"/>
        <v>7638.4000000000005</v>
      </c>
      <c r="R27" s="124">
        <f t="shared" si="11"/>
        <v>636.53333333333342</v>
      </c>
      <c r="S27" s="125">
        <f t="shared" si="12"/>
        <v>12</v>
      </c>
      <c r="T27" s="129">
        <f t="shared" si="13"/>
        <v>7638.4000000000015</v>
      </c>
    </row>
    <row r="28" spans="1:20" ht="18.75">
      <c r="A28" s="256">
        <v>24</v>
      </c>
      <c r="B28" s="257" t="s">
        <v>443</v>
      </c>
      <c r="C28" s="257" t="s">
        <v>444</v>
      </c>
      <c r="D28" s="257" t="s">
        <v>445</v>
      </c>
      <c r="E28" s="257" t="s">
        <v>390</v>
      </c>
      <c r="F28" s="257">
        <v>12</v>
      </c>
      <c r="G28" s="292">
        <v>480000</v>
      </c>
      <c r="H28" s="292">
        <v>145600</v>
      </c>
      <c r="I28" s="257">
        <v>100</v>
      </c>
      <c r="J28" s="292">
        <v>10192</v>
      </c>
      <c r="L28" s="123">
        <f t="shared" si="5"/>
        <v>480000</v>
      </c>
      <c r="M28" s="128">
        <f t="shared" si="6"/>
        <v>38400</v>
      </c>
      <c r="N28" s="123">
        <f t="shared" si="7"/>
        <v>441600</v>
      </c>
      <c r="O28" s="128">
        <f t="shared" si="8"/>
        <v>288320</v>
      </c>
      <c r="P28" s="127">
        <f t="shared" si="9"/>
        <v>153280</v>
      </c>
      <c r="Q28" s="123">
        <f t="shared" si="10"/>
        <v>10729.6</v>
      </c>
      <c r="R28" s="124">
        <f t="shared" si="11"/>
        <v>894.13333333333333</v>
      </c>
      <c r="S28" s="125">
        <f t="shared" si="12"/>
        <v>12</v>
      </c>
      <c r="T28" s="129">
        <f t="shared" si="13"/>
        <v>10729.6</v>
      </c>
    </row>
    <row r="29" spans="1:20" ht="18.75">
      <c r="A29" s="256">
        <v>25</v>
      </c>
      <c r="B29" s="258" t="s">
        <v>447</v>
      </c>
      <c r="C29" s="258" t="s">
        <v>448</v>
      </c>
      <c r="D29" s="258" t="s">
        <v>449</v>
      </c>
      <c r="E29" s="258" t="s">
        <v>373</v>
      </c>
      <c r="F29" s="257">
        <v>12</v>
      </c>
      <c r="G29" s="293">
        <v>660000</v>
      </c>
      <c r="H29" s="293">
        <v>275200</v>
      </c>
      <c r="I29" s="258">
        <v>100</v>
      </c>
      <c r="J29" s="293">
        <v>19264</v>
      </c>
      <c r="L29" s="123">
        <f t="shared" si="5"/>
        <v>660000</v>
      </c>
      <c r="M29" s="128">
        <f t="shared" si="6"/>
        <v>52800</v>
      </c>
      <c r="N29" s="123">
        <f t="shared" si="7"/>
        <v>607200</v>
      </c>
      <c r="O29" s="128">
        <f t="shared" si="8"/>
        <v>321440</v>
      </c>
      <c r="P29" s="127">
        <f t="shared" si="9"/>
        <v>285760</v>
      </c>
      <c r="Q29" s="123">
        <f t="shared" si="10"/>
        <v>20003.2</v>
      </c>
      <c r="R29" s="124">
        <f t="shared" si="11"/>
        <v>1666.9333333333334</v>
      </c>
      <c r="S29" s="125">
        <f t="shared" si="12"/>
        <v>12</v>
      </c>
      <c r="T29" s="129">
        <f t="shared" si="13"/>
        <v>20003.2</v>
      </c>
    </row>
    <row r="30" spans="1:20" ht="18.75">
      <c r="A30" s="256">
        <v>26</v>
      </c>
      <c r="B30" s="257" t="s">
        <v>451</v>
      </c>
      <c r="C30" s="257" t="s">
        <v>452</v>
      </c>
      <c r="D30" s="260"/>
      <c r="E30" s="257" t="s">
        <v>373</v>
      </c>
      <c r="F30" s="257">
        <v>12</v>
      </c>
      <c r="G30" s="292">
        <v>540000</v>
      </c>
      <c r="H30" s="292">
        <v>188800</v>
      </c>
      <c r="I30" s="257">
        <v>100</v>
      </c>
      <c r="J30" s="292">
        <v>13216</v>
      </c>
      <c r="L30" s="123">
        <f t="shared" si="5"/>
        <v>540000</v>
      </c>
      <c r="M30" s="128">
        <f t="shared" si="6"/>
        <v>43200</v>
      </c>
      <c r="N30" s="123">
        <f t="shared" si="7"/>
        <v>496800</v>
      </c>
      <c r="O30" s="128">
        <f t="shared" si="8"/>
        <v>299360</v>
      </c>
      <c r="P30" s="127">
        <f t="shared" si="9"/>
        <v>197440</v>
      </c>
      <c r="Q30" s="123">
        <f t="shared" si="10"/>
        <v>13820.800000000001</v>
      </c>
      <c r="R30" s="124">
        <f t="shared" si="11"/>
        <v>1151.7333333333333</v>
      </c>
      <c r="S30" s="125">
        <f t="shared" si="12"/>
        <v>12</v>
      </c>
      <c r="T30" s="129">
        <f t="shared" si="13"/>
        <v>13820.8</v>
      </c>
    </row>
    <row r="31" spans="1:20" ht="35.25">
      <c r="A31" s="256">
        <v>27</v>
      </c>
      <c r="B31" s="258" t="s">
        <v>454</v>
      </c>
      <c r="C31" s="258" t="s">
        <v>455</v>
      </c>
      <c r="D31" s="259"/>
      <c r="E31" s="258" t="s">
        <v>456</v>
      </c>
      <c r="F31" s="257">
        <v>12</v>
      </c>
      <c r="G31" s="293">
        <v>540000</v>
      </c>
      <c r="H31" s="293">
        <v>188800</v>
      </c>
      <c r="I31" s="258">
        <v>100</v>
      </c>
      <c r="J31" s="293">
        <v>13216</v>
      </c>
      <c r="L31" s="123">
        <f t="shared" si="5"/>
        <v>540000</v>
      </c>
      <c r="M31" s="128">
        <f t="shared" si="6"/>
        <v>43200</v>
      </c>
      <c r="N31" s="123">
        <f t="shared" si="7"/>
        <v>496800</v>
      </c>
      <c r="O31" s="128">
        <f t="shared" si="8"/>
        <v>299360</v>
      </c>
      <c r="P31" s="127">
        <f t="shared" si="9"/>
        <v>197440</v>
      </c>
      <c r="Q31" s="123">
        <f t="shared" si="10"/>
        <v>13820.800000000001</v>
      </c>
      <c r="R31" s="124">
        <f t="shared" si="11"/>
        <v>1151.7333333333333</v>
      </c>
      <c r="S31" s="125">
        <f t="shared" si="12"/>
        <v>12</v>
      </c>
      <c r="T31" s="129">
        <f t="shared" si="13"/>
        <v>13820.8</v>
      </c>
    </row>
    <row r="32" spans="1:20" ht="35.25">
      <c r="A32" s="256">
        <v>28</v>
      </c>
      <c r="B32" s="257" t="s">
        <v>458</v>
      </c>
      <c r="C32" s="257" t="s">
        <v>459</v>
      </c>
      <c r="D32" s="257" t="s">
        <v>460</v>
      </c>
      <c r="E32" s="257" t="s">
        <v>461</v>
      </c>
      <c r="F32" s="257">
        <v>12</v>
      </c>
      <c r="G32" s="292">
        <v>960000</v>
      </c>
      <c r="H32" s="292">
        <v>491200</v>
      </c>
      <c r="I32" s="257">
        <v>100</v>
      </c>
      <c r="J32" s="292">
        <v>42032</v>
      </c>
      <c r="L32" s="123">
        <f t="shared" si="5"/>
        <v>960000</v>
      </c>
      <c r="M32" s="128">
        <f t="shared" si="6"/>
        <v>76800</v>
      </c>
      <c r="N32" s="123">
        <f t="shared" si="7"/>
        <v>883200</v>
      </c>
      <c r="O32" s="128">
        <f t="shared" si="8"/>
        <v>376640</v>
      </c>
      <c r="P32" s="127">
        <f t="shared" si="9"/>
        <v>506560</v>
      </c>
      <c r="Q32" s="123">
        <f t="shared" si="10"/>
        <v>43721.599999999999</v>
      </c>
      <c r="R32" s="124">
        <f t="shared" si="11"/>
        <v>3643.4666666666667</v>
      </c>
      <c r="S32" s="125">
        <f t="shared" si="12"/>
        <v>12</v>
      </c>
      <c r="T32" s="129">
        <f t="shared" si="13"/>
        <v>43721.599999999999</v>
      </c>
    </row>
    <row r="33" spans="1:20" ht="35.25">
      <c r="A33" s="256">
        <v>29</v>
      </c>
      <c r="B33" s="258" t="s">
        <v>463</v>
      </c>
      <c r="C33" s="258" t="s">
        <v>464</v>
      </c>
      <c r="D33" s="258" t="s">
        <v>465</v>
      </c>
      <c r="E33" s="258" t="s">
        <v>466</v>
      </c>
      <c r="F33" s="257">
        <v>12</v>
      </c>
      <c r="G33" s="293">
        <v>660000</v>
      </c>
      <c r="H33" s="293">
        <v>275200</v>
      </c>
      <c r="I33" s="258">
        <v>100</v>
      </c>
      <c r="J33" s="293">
        <v>19264</v>
      </c>
      <c r="L33" s="123">
        <f t="shared" si="5"/>
        <v>660000</v>
      </c>
      <c r="M33" s="128">
        <f t="shared" si="6"/>
        <v>52800</v>
      </c>
      <c r="N33" s="123">
        <f t="shared" si="7"/>
        <v>607200</v>
      </c>
      <c r="O33" s="128">
        <f t="shared" si="8"/>
        <v>321440</v>
      </c>
      <c r="P33" s="127">
        <f t="shared" si="9"/>
        <v>285760</v>
      </c>
      <c r="Q33" s="123">
        <f t="shared" si="10"/>
        <v>20003.2</v>
      </c>
      <c r="R33" s="124">
        <f t="shared" si="11"/>
        <v>1666.9333333333334</v>
      </c>
      <c r="S33" s="125">
        <f t="shared" si="12"/>
        <v>12</v>
      </c>
      <c r="T33" s="129">
        <f t="shared" si="13"/>
        <v>20003.2</v>
      </c>
    </row>
    <row r="34" spans="1:20" ht="35.25">
      <c r="A34" s="256">
        <v>30</v>
      </c>
      <c r="B34" s="257" t="s">
        <v>468</v>
      </c>
      <c r="C34" s="257" t="s">
        <v>469</v>
      </c>
      <c r="D34" s="260"/>
      <c r="E34" s="257" t="s">
        <v>470</v>
      </c>
      <c r="F34" s="257">
        <v>12</v>
      </c>
      <c r="G34" s="292">
        <v>660000</v>
      </c>
      <c r="H34" s="292">
        <v>275200</v>
      </c>
      <c r="I34" s="257">
        <v>100</v>
      </c>
      <c r="J34" s="292">
        <v>19264</v>
      </c>
      <c r="L34" s="123">
        <f t="shared" si="5"/>
        <v>660000</v>
      </c>
      <c r="M34" s="128">
        <f t="shared" si="6"/>
        <v>52800</v>
      </c>
      <c r="N34" s="123">
        <f t="shared" si="7"/>
        <v>607200</v>
      </c>
      <c r="O34" s="128">
        <f t="shared" si="8"/>
        <v>321440</v>
      </c>
      <c r="P34" s="127">
        <f t="shared" si="9"/>
        <v>285760</v>
      </c>
      <c r="Q34" s="123">
        <f t="shared" si="10"/>
        <v>20003.2</v>
      </c>
      <c r="R34" s="124">
        <f t="shared" si="11"/>
        <v>1666.9333333333334</v>
      </c>
      <c r="S34" s="125">
        <f t="shared" si="12"/>
        <v>12</v>
      </c>
      <c r="T34" s="129">
        <f t="shared" si="13"/>
        <v>20003.2</v>
      </c>
    </row>
    <row r="35" spans="1:20" ht="18.75">
      <c r="A35" s="256">
        <v>31</v>
      </c>
      <c r="B35" s="258" t="s">
        <v>472</v>
      </c>
      <c r="C35" s="258" t="s">
        <v>473</v>
      </c>
      <c r="D35" s="259"/>
      <c r="E35" s="258" t="s">
        <v>412</v>
      </c>
      <c r="F35" s="257">
        <v>12</v>
      </c>
      <c r="G35" s="293">
        <v>420000</v>
      </c>
      <c r="H35" s="293">
        <v>102400</v>
      </c>
      <c r="I35" s="258">
        <v>100</v>
      </c>
      <c r="J35" s="293">
        <v>7168</v>
      </c>
      <c r="L35" s="123">
        <f t="shared" si="5"/>
        <v>420000</v>
      </c>
      <c r="M35" s="128">
        <f t="shared" si="6"/>
        <v>33600</v>
      </c>
      <c r="N35" s="123">
        <f t="shared" si="7"/>
        <v>386400</v>
      </c>
      <c r="O35" s="128">
        <f t="shared" si="8"/>
        <v>277280</v>
      </c>
      <c r="P35" s="127">
        <f t="shared" si="9"/>
        <v>109120</v>
      </c>
      <c r="Q35" s="123">
        <f t="shared" si="10"/>
        <v>7638.4000000000005</v>
      </c>
      <c r="R35" s="124">
        <f t="shared" si="11"/>
        <v>636.53333333333342</v>
      </c>
      <c r="S35" s="125">
        <f t="shared" si="12"/>
        <v>12</v>
      </c>
      <c r="T35" s="129">
        <f t="shared" si="13"/>
        <v>7638.4000000000015</v>
      </c>
    </row>
    <row r="36" spans="1:20" ht="35.25">
      <c r="A36" s="256">
        <v>32</v>
      </c>
      <c r="B36" s="257" t="s">
        <v>475</v>
      </c>
      <c r="C36" s="257" t="s">
        <v>476</v>
      </c>
      <c r="D36" s="260"/>
      <c r="E36" s="257" t="s">
        <v>477</v>
      </c>
      <c r="F36" s="257">
        <v>12</v>
      </c>
      <c r="G36" s="292">
        <v>600000</v>
      </c>
      <c r="H36" s="292">
        <v>232000</v>
      </c>
      <c r="I36" s="257">
        <v>100</v>
      </c>
      <c r="J36" s="292">
        <v>16240</v>
      </c>
      <c r="L36" s="123">
        <f t="shared" si="5"/>
        <v>600000</v>
      </c>
      <c r="M36" s="128">
        <f t="shared" si="6"/>
        <v>48000</v>
      </c>
      <c r="N36" s="123">
        <f t="shared" si="7"/>
        <v>552000</v>
      </c>
      <c r="O36" s="128">
        <f t="shared" si="8"/>
        <v>310400</v>
      </c>
      <c r="P36" s="127">
        <f t="shared" si="9"/>
        <v>241600</v>
      </c>
      <c r="Q36" s="123">
        <f t="shared" si="10"/>
        <v>16912</v>
      </c>
      <c r="R36" s="124">
        <f t="shared" si="11"/>
        <v>1409.3333333333333</v>
      </c>
      <c r="S36" s="125">
        <f t="shared" si="12"/>
        <v>12</v>
      </c>
      <c r="T36" s="129">
        <f t="shared" si="13"/>
        <v>16912</v>
      </c>
    </row>
    <row r="37" spans="1:20" ht="35.25">
      <c r="A37" s="256">
        <v>33</v>
      </c>
      <c r="B37" s="258" t="s">
        <v>479</v>
      </c>
      <c r="C37" s="258" t="s">
        <v>480</v>
      </c>
      <c r="D37" s="259"/>
      <c r="E37" s="258" t="s">
        <v>481</v>
      </c>
      <c r="F37" s="257">
        <v>12</v>
      </c>
      <c r="G37" s="293">
        <v>660000</v>
      </c>
      <c r="H37" s="293">
        <v>275200</v>
      </c>
      <c r="I37" s="258">
        <v>100</v>
      </c>
      <c r="J37" s="293">
        <v>19264</v>
      </c>
      <c r="L37" s="123">
        <f t="shared" si="5"/>
        <v>660000</v>
      </c>
      <c r="M37" s="128">
        <f t="shared" si="6"/>
        <v>52800</v>
      </c>
      <c r="N37" s="123">
        <f t="shared" si="7"/>
        <v>607200</v>
      </c>
      <c r="O37" s="128">
        <f t="shared" si="8"/>
        <v>321440</v>
      </c>
      <c r="P37" s="127">
        <f t="shared" si="9"/>
        <v>285760</v>
      </c>
      <c r="Q37" s="123">
        <f t="shared" si="10"/>
        <v>20003.2</v>
      </c>
      <c r="R37" s="124">
        <f t="shared" si="11"/>
        <v>1666.9333333333334</v>
      </c>
      <c r="S37" s="125">
        <f t="shared" si="12"/>
        <v>12</v>
      </c>
      <c r="T37" s="129">
        <f t="shared" si="13"/>
        <v>20003.2</v>
      </c>
    </row>
    <row r="38" spans="1:20" ht="35.25">
      <c r="A38" s="256">
        <v>34</v>
      </c>
      <c r="B38" s="257" t="s">
        <v>483</v>
      </c>
      <c r="C38" s="257" t="s">
        <v>484</v>
      </c>
      <c r="D38" s="257" t="s">
        <v>485</v>
      </c>
      <c r="E38" s="257" t="s">
        <v>486</v>
      </c>
      <c r="F38" s="257">
        <v>12</v>
      </c>
      <c r="G38" s="292">
        <v>960000</v>
      </c>
      <c r="H38" s="292">
        <v>491200</v>
      </c>
      <c r="I38" s="257">
        <v>100</v>
      </c>
      <c r="J38" s="292">
        <v>42032</v>
      </c>
      <c r="L38" s="123">
        <f t="shared" si="5"/>
        <v>960000</v>
      </c>
      <c r="M38" s="128">
        <f t="shared" si="6"/>
        <v>76800</v>
      </c>
      <c r="N38" s="123">
        <f t="shared" si="7"/>
        <v>883200</v>
      </c>
      <c r="O38" s="128">
        <f t="shared" si="8"/>
        <v>376640</v>
      </c>
      <c r="P38" s="127">
        <f t="shared" si="9"/>
        <v>506560</v>
      </c>
      <c r="Q38" s="123">
        <f t="shared" si="10"/>
        <v>43721.599999999999</v>
      </c>
      <c r="R38" s="124">
        <f t="shared" si="11"/>
        <v>3643.4666666666667</v>
      </c>
      <c r="S38" s="125">
        <f t="shared" si="12"/>
        <v>12</v>
      </c>
      <c r="T38" s="129">
        <f t="shared" si="13"/>
        <v>43721.599999999999</v>
      </c>
    </row>
    <row r="39" spans="1:20" ht="18.75">
      <c r="A39" s="256">
        <v>35</v>
      </c>
      <c r="B39" s="258" t="s">
        <v>404</v>
      </c>
      <c r="C39" s="258" t="s">
        <v>488</v>
      </c>
      <c r="D39" s="258" t="s">
        <v>489</v>
      </c>
      <c r="E39" s="258" t="s">
        <v>400</v>
      </c>
      <c r="F39" s="257">
        <v>12</v>
      </c>
      <c r="G39" s="293">
        <v>540000</v>
      </c>
      <c r="H39" s="293">
        <v>188800</v>
      </c>
      <c r="I39" s="258">
        <v>100</v>
      </c>
      <c r="J39" s="293">
        <v>13216</v>
      </c>
      <c r="L39" s="123">
        <f t="shared" si="5"/>
        <v>540000</v>
      </c>
      <c r="M39" s="128">
        <f t="shared" si="6"/>
        <v>43200</v>
      </c>
      <c r="N39" s="123">
        <f t="shared" si="7"/>
        <v>496800</v>
      </c>
      <c r="O39" s="128">
        <f t="shared" si="8"/>
        <v>299360</v>
      </c>
      <c r="P39" s="127">
        <f t="shared" si="9"/>
        <v>197440</v>
      </c>
      <c r="Q39" s="123">
        <f t="shared" si="10"/>
        <v>13820.800000000001</v>
      </c>
      <c r="R39" s="124">
        <f t="shared" si="11"/>
        <v>1151.7333333333333</v>
      </c>
      <c r="S39" s="125">
        <f t="shared" si="12"/>
        <v>12</v>
      </c>
      <c r="T39" s="129">
        <f t="shared" si="13"/>
        <v>13820.8</v>
      </c>
    </row>
    <row r="40" spans="1:20" ht="18.75">
      <c r="A40" s="256">
        <v>36</v>
      </c>
      <c r="B40" s="257" t="s">
        <v>491</v>
      </c>
      <c r="C40" s="257" t="s">
        <v>492</v>
      </c>
      <c r="D40" s="257" t="s">
        <v>493</v>
      </c>
      <c r="E40" s="257" t="s">
        <v>373</v>
      </c>
      <c r="F40" s="257">
        <v>12</v>
      </c>
      <c r="G40" s="292">
        <v>540000</v>
      </c>
      <c r="H40" s="292">
        <v>188800</v>
      </c>
      <c r="I40" s="257">
        <v>100</v>
      </c>
      <c r="J40" s="292">
        <v>13216</v>
      </c>
      <c r="L40" s="123">
        <f t="shared" si="5"/>
        <v>540000</v>
      </c>
      <c r="M40" s="128">
        <f t="shared" si="6"/>
        <v>43200</v>
      </c>
      <c r="N40" s="123">
        <f t="shared" si="7"/>
        <v>496800</v>
      </c>
      <c r="O40" s="128">
        <f t="shared" si="8"/>
        <v>299360</v>
      </c>
      <c r="P40" s="127">
        <f t="shared" si="9"/>
        <v>197440</v>
      </c>
      <c r="Q40" s="123">
        <f t="shared" si="10"/>
        <v>13820.800000000001</v>
      </c>
      <c r="R40" s="124">
        <f t="shared" si="11"/>
        <v>1151.7333333333333</v>
      </c>
      <c r="S40" s="125">
        <f t="shared" si="12"/>
        <v>12</v>
      </c>
      <c r="T40" s="129">
        <f t="shared" si="13"/>
        <v>13820.8</v>
      </c>
    </row>
    <row r="41" spans="1:20" ht="18.75">
      <c r="A41" s="256">
        <v>37</v>
      </c>
      <c r="B41" s="258" t="s">
        <v>495</v>
      </c>
      <c r="C41" s="258" t="s">
        <v>496</v>
      </c>
      <c r="D41" s="258" t="s">
        <v>460</v>
      </c>
      <c r="E41" s="258" t="s">
        <v>400</v>
      </c>
      <c r="F41" s="257">
        <v>12</v>
      </c>
      <c r="G41" s="293">
        <v>540000</v>
      </c>
      <c r="H41" s="293">
        <v>188800</v>
      </c>
      <c r="I41" s="258">
        <v>100</v>
      </c>
      <c r="J41" s="293">
        <v>13216</v>
      </c>
      <c r="L41" s="123">
        <f t="shared" si="5"/>
        <v>540000</v>
      </c>
      <c r="M41" s="128">
        <f t="shared" si="6"/>
        <v>43200</v>
      </c>
      <c r="N41" s="123">
        <f t="shared" si="7"/>
        <v>496800</v>
      </c>
      <c r="O41" s="128">
        <f t="shared" si="8"/>
        <v>299360</v>
      </c>
      <c r="P41" s="127">
        <f t="shared" si="9"/>
        <v>197440</v>
      </c>
      <c r="Q41" s="123">
        <f t="shared" si="10"/>
        <v>13820.800000000001</v>
      </c>
      <c r="R41" s="124">
        <f t="shared" si="11"/>
        <v>1151.7333333333333</v>
      </c>
      <c r="S41" s="125">
        <f t="shared" si="12"/>
        <v>12</v>
      </c>
      <c r="T41" s="129">
        <f t="shared" si="13"/>
        <v>13820.8</v>
      </c>
    </row>
    <row r="42" spans="1:20" ht="18.75">
      <c r="A42" s="256">
        <v>38</v>
      </c>
      <c r="B42" s="257" t="s">
        <v>498</v>
      </c>
      <c r="C42" s="257" t="s">
        <v>499</v>
      </c>
      <c r="D42" s="257" t="s">
        <v>500</v>
      </c>
      <c r="E42" s="257" t="s">
        <v>390</v>
      </c>
      <c r="F42" s="257">
        <v>12</v>
      </c>
      <c r="G42" s="292">
        <v>480000</v>
      </c>
      <c r="H42" s="292">
        <v>145600</v>
      </c>
      <c r="I42" s="257">
        <v>100</v>
      </c>
      <c r="J42" s="292">
        <v>10192</v>
      </c>
      <c r="L42" s="123">
        <f t="shared" si="5"/>
        <v>480000</v>
      </c>
      <c r="M42" s="128">
        <f t="shared" si="6"/>
        <v>38400</v>
      </c>
      <c r="N42" s="123">
        <f t="shared" si="7"/>
        <v>441600</v>
      </c>
      <c r="O42" s="128">
        <f t="shared" si="8"/>
        <v>288320</v>
      </c>
      <c r="P42" s="127">
        <f t="shared" si="9"/>
        <v>153280</v>
      </c>
      <c r="Q42" s="123">
        <f t="shared" si="10"/>
        <v>10729.6</v>
      </c>
      <c r="R42" s="124">
        <f t="shared" si="11"/>
        <v>894.13333333333333</v>
      </c>
      <c r="S42" s="125">
        <f t="shared" si="12"/>
        <v>12</v>
      </c>
      <c r="T42" s="129">
        <f t="shared" si="13"/>
        <v>10729.6</v>
      </c>
    </row>
    <row r="43" spans="1:20" ht="18.75">
      <c r="A43" s="256">
        <v>39</v>
      </c>
      <c r="B43" s="258" t="s">
        <v>502</v>
      </c>
      <c r="C43" s="258" t="s">
        <v>503</v>
      </c>
      <c r="D43" s="259"/>
      <c r="E43" s="258" t="s">
        <v>390</v>
      </c>
      <c r="F43" s="257">
        <v>12</v>
      </c>
      <c r="G43" s="293">
        <v>480000</v>
      </c>
      <c r="H43" s="293">
        <v>145600</v>
      </c>
      <c r="I43" s="258">
        <v>100</v>
      </c>
      <c r="J43" s="293">
        <v>10192</v>
      </c>
      <c r="L43" s="123">
        <f t="shared" si="5"/>
        <v>480000</v>
      </c>
      <c r="M43" s="128">
        <f t="shared" si="6"/>
        <v>38400</v>
      </c>
      <c r="N43" s="123">
        <f t="shared" si="7"/>
        <v>441600</v>
      </c>
      <c r="O43" s="128">
        <f t="shared" si="8"/>
        <v>288320</v>
      </c>
      <c r="P43" s="127">
        <f t="shared" si="9"/>
        <v>153280</v>
      </c>
      <c r="Q43" s="123">
        <f t="shared" si="10"/>
        <v>10729.6</v>
      </c>
      <c r="R43" s="124">
        <f t="shared" si="11"/>
        <v>894.13333333333333</v>
      </c>
      <c r="S43" s="125">
        <f t="shared" si="12"/>
        <v>12</v>
      </c>
      <c r="T43" s="129">
        <f t="shared" si="13"/>
        <v>10729.6</v>
      </c>
    </row>
    <row r="44" spans="1:20" ht="18.75">
      <c r="A44" s="256">
        <v>40</v>
      </c>
      <c r="B44" s="257" t="s">
        <v>505</v>
      </c>
      <c r="C44" s="257" t="s">
        <v>506</v>
      </c>
      <c r="D44" s="260"/>
      <c r="E44" s="257" t="s">
        <v>507</v>
      </c>
      <c r="F44" s="257">
        <v>12</v>
      </c>
      <c r="G44" s="292">
        <v>420000</v>
      </c>
      <c r="H44" s="292">
        <v>102400</v>
      </c>
      <c r="I44" s="257">
        <v>100</v>
      </c>
      <c r="J44" s="292">
        <v>7168</v>
      </c>
      <c r="L44" s="123">
        <f t="shared" si="5"/>
        <v>420000</v>
      </c>
      <c r="M44" s="128">
        <f t="shared" si="6"/>
        <v>33600</v>
      </c>
      <c r="N44" s="123">
        <f t="shared" si="7"/>
        <v>386400</v>
      </c>
      <c r="O44" s="128">
        <f t="shared" si="8"/>
        <v>277280</v>
      </c>
      <c r="P44" s="127">
        <f t="shared" si="9"/>
        <v>109120</v>
      </c>
      <c r="Q44" s="123">
        <f t="shared" si="10"/>
        <v>7638.4000000000005</v>
      </c>
      <c r="R44" s="124">
        <f t="shared" si="11"/>
        <v>636.53333333333342</v>
      </c>
      <c r="S44" s="125">
        <f t="shared" si="12"/>
        <v>12</v>
      </c>
      <c r="T44" s="129">
        <f t="shared" si="13"/>
        <v>7638.4000000000015</v>
      </c>
    </row>
    <row r="45" spans="1:20" ht="35.25">
      <c r="A45" s="256">
        <v>41</v>
      </c>
      <c r="B45" s="258" t="s">
        <v>509</v>
      </c>
      <c r="C45" s="258" t="s">
        <v>510</v>
      </c>
      <c r="D45" s="259"/>
      <c r="E45" s="258" t="s">
        <v>511</v>
      </c>
      <c r="F45" s="257">
        <v>12</v>
      </c>
      <c r="G45" s="293">
        <v>420000</v>
      </c>
      <c r="H45" s="293">
        <v>102400</v>
      </c>
      <c r="I45" s="258">
        <v>100</v>
      </c>
      <c r="J45" s="293">
        <v>7168</v>
      </c>
      <c r="L45" s="123">
        <f t="shared" si="5"/>
        <v>420000</v>
      </c>
      <c r="M45" s="128">
        <f t="shared" si="6"/>
        <v>33600</v>
      </c>
      <c r="N45" s="123">
        <f t="shared" si="7"/>
        <v>386400</v>
      </c>
      <c r="O45" s="128">
        <f t="shared" si="8"/>
        <v>277280</v>
      </c>
      <c r="P45" s="127">
        <f t="shared" si="9"/>
        <v>109120</v>
      </c>
      <c r="Q45" s="123">
        <f t="shared" si="10"/>
        <v>7638.4000000000005</v>
      </c>
      <c r="R45" s="124">
        <f t="shared" si="11"/>
        <v>636.53333333333342</v>
      </c>
      <c r="S45" s="125">
        <f t="shared" si="12"/>
        <v>12</v>
      </c>
      <c r="T45" s="129">
        <f t="shared" si="13"/>
        <v>7638.4000000000015</v>
      </c>
    </row>
    <row r="46" spans="1:20" ht="18.75">
      <c r="A46" s="256">
        <v>42</v>
      </c>
      <c r="B46" s="257" t="s">
        <v>513</v>
      </c>
      <c r="C46" s="257" t="s">
        <v>514</v>
      </c>
      <c r="D46" s="257" t="s">
        <v>515</v>
      </c>
      <c r="E46" s="257" t="s">
        <v>390</v>
      </c>
      <c r="F46" s="257">
        <v>12</v>
      </c>
      <c r="G46" s="292">
        <v>480000</v>
      </c>
      <c r="H46" s="292">
        <v>145600</v>
      </c>
      <c r="I46" s="257">
        <v>100</v>
      </c>
      <c r="J46" s="292">
        <v>10192</v>
      </c>
      <c r="L46" s="123">
        <f t="shared" si="5"/>
        <v>480000</v>
      </c>
      <c r="M46" s="128">
        <f t="shared" si="6"/>
        <v>38400</v>
      </c>
      <c r="N46" s="123">
        <f t="shared" si="7"/>
        <v>441600</v>
      </c>
      <c r="O46" s="128">
        <f t="shared" si="8"/>
        <v>288320</v>
      </c>
      <c r="P46" s="127">
        <f t="shared" si="9"/>
        <v>153280</v>
      </c>
      <c r="Q46" s="123">
        <f t="shared" si="10"/>
        <v>10729.6</v>
      </c>
      <c r="R46" s="124">
        <f t="shared" si="11"/>
        <v>894.13333333333333</v>
      </c>
      <c r="S46" s="125">
        <f t="shared" si="12"/>
        <v>12</v>
      </c>
      <c r="T46" s="129">
        <f t="shared" si="13"/>
        <v>10729.6</v>
      </c>
    </row>
    <row r="47" spans="1:20" ht="35.25">
      <c r="A47" s="256">
        <v>43</v>
      </c>
      <c r="B47" s="258" t="s">
        <v>517</v>
      </c>
      <c r="C47" s="258" t="s">
        <v>518</v>
      </c>
      <c r="D47" s="259"/>
      <c r="E47" s="258" t="s">
        <v>519</v>
      </c>
      <c r="F47" s="257">
        <v>12</v>
      </c>
      <c r="G47" s="293">
        <v>480000</v>
      </c>
      <c r="H47" s="293">
        <v>145600</v>
      </c>
      <c r="I47" s="258">
        <v>100</v>
      </c>
      <c r="J47" s="293">
        <v>10192</v>
      </c>
      <c r="L47" s="123">
        <f t="shared" si="5"/>
        <v>480000</v>
      </c>
      <c r="M47" s="128">
        <f t="shared" si="6"/>
        <v>38400</v>
      </c>
      <c r="N47" s="123">
        <f t="shared" si="7"/>
        <v>441600</v>
      </c>
      <c r="O47" s="128">
        <f t="shared" si="8"/>
        <v>288320</v>
      </c>
      <c r="P47" s="127">
        <f t="shared" si="9"/>
        <v>153280</v>
      </c>
      <c r="Q47" s="123">
        <f t="shared" si="10"/>
        <v>10729.6</v>
      </c>
      <c r="R47" s="124">
        <f t="shared" si="11"/>
        <v>894.13333333333333</v>
      </c>
      <c r="S47" s="125">
        <f t="shared" si="12"/>
        <v>12</v>
      </c>
      <c r="T47" s="129">
        <f t="shared" si="13"/>
        <v>10729.6</v>
      </c>
    </row>
    <row r="48" spans="1:20" ht="35.25">
      <c r="A48" s="256">
        <v>44</v>
      </c>
      <c r="B48" s="257" t="s">
        <v>521</v>
      </c>
      <c r="C48" s="257" t="s">
        <v>522</v>
      </c>
      <c r="D48" s="260"/>
      <c r="E48" s="257" t="s">
        <v>523</v>
      </c>
      <c r="F48" s="257">
        <v>12</v>
      </c>
      <c r="G48" s="292">
        <v>600000</v>
      </c>
      <c r="H48" s="292">
        <v>232000</v>
      </c>
      <c r="I48" s="257">
        <v>100</v>
      </c>
      <c r="J48" s="292">
        <v>16240</v>
      </c>
      <c r="L48" s="123">
        <f t="shared" si="5"/>
        <v>600000</v>
      </c>
      <c r="M48" s="128">
        <f t="shared" si="6"/>
        <v>48000</v>
      </c>
      <c r="N48" s="123">
        <f t="shared" si="7"/>
        <v>552000</v>
      </c>
      <c r="O48" s="128">
        <f t="shared" si="8"/>
        <v>310400</v>
      </c>
      <c r="P48" s="127">
        <f t="shared" si="9"/>
        <v>241600</v>
      </c>
      <c r="Q48" s="123">
        <f t="shared" si="10"/>
        <v>16912</v>
      </c>
      <c r="R48" s="124">
        <f t="shared" si="11"/>
        <v>1409.3333333333333</v>
      </c>
      <c r="S48" s="125">
        <f t="shared" si="12"/>
        <v>12</v>
      </c>
      <c r="T48" s="129">
        <f t="shared" si="13"/>
        <v>16912</v>
      </c>
    </row>
    <row r="49" spans="1:20" ht="18.75">
      <c r="A49" s="256">
        <v>45</v>
      </c>
      <c r="B49" s="258" t="s">
        <v>525</v>
      </c>
      <c r="C49" s="258" t="s">
        <v>526</v>
      </c>
      <c r="D49" s="259"/>
      <c r="E49" s="258" t="s">
        <v>400</v>
      </c>
      <c r="F49" s="257">
        <v>12</v>
      </c>
      <c r="G49" s="293">
        <v>540000</v>
      </c>
      <c r="H49" s="293">
        <v>188800</v>
      </c>
      <c r="I49" s="258">
        <v>100</v>
      </c>
      <c r="J49" s="293">
        <v>13216</v>
      </c>
      <c r="L49" s="123">
        <f t="shared" si="5"/>
        <v>540000</v>
      </c>
      <c r="M49" s="128">
        <f t="shared" si="6"/>
        <v>43200</v>
      </c>
      <c r="N49" s="123">
        <f t="shared" si="7"/>
        <v>496800</v>
      </c>
      <c r="O49" s="128">
        <f t="shared" si="8"/>
        <v>299360</v>
      </c>
      <c r="P49" s="127">
        <f t="shared" si="9"/>
        <v>197440</v>
      </c>
      <c r="Q49" s="123">
        <f t="shared" si="10"/>
        <v>13820.800000000001</v>
      </c>
      <c r="R49" s="124">
        <f t="shared" si="11"/>
        <v>1151.7333333333333</v>
      </c>
      <c r="S49" s="125">
        <f t="shared" si="12"/>
        <v>12</v>
      </c>
      <c r="T49" s="129">
        <f t="shared" si="13"/>
        <v>13820.8</v>
      </c>
    </row>
    <row r="50" spans="1:20" ht="18.75">
      <c r="A50" s="256">
        <v>46</v>
      </c>
      <c r="B50" s="257" t="s">
        <v>528</v>
      </c>
      <c r="C50" s="257" t="s">
        <v>491</v>
      </c>
      <c r="D50" s="257" t="s">
        <v>529</v>
      </c>
      <c r="E50" s="257" t="s">
        <v>373</v>
      </c>
      <c r="F50" s="257">
        <v>12</v>
      </c>
      <c r="G50" s="292">
        <v>540000</v>
      </c>
      <c r="H50" s="292">
        <v>188800</v>
      </c>
      <c r="I50" s="257">
        <v>100</v>
      </c>
      <c r="J50" s="292">
        <v>13216</v>
      </c>
      <c r="L50" s="123">
        <f t="shared" si="5"/>
        <v>540000</v>
      </c>
      <c r="M50" s="128">
        <f t="shared" si="6"/>
        <v>43200</v>
      </c>
      <c r="N50" s="123">
        <f t="shared" si="7"/>
        <v>496800</v>
      </c>
      <c r="O50" s="128">
        <f t="shared" si="8"/>
        <v>299360</v>
      </c>
      <c r="P50" s="127">
        <f t="shared" si="9"/>
        <v>197440</v>
      </c>
      <c r="Q50" s="123">
        <f t="shared" si="10"/>
        <v>13820.800000000001</v>
      </c>
      <c r="R50" s="124">
        <f t="shared" si="11"/>
        <v>1151.7333333333333</v>
      </c>
      <c r="S50" s="125">
        <f t="shared" si="12"/>
        <v>12</v>
      </c>
      <c r="T50" s="129">
        <f t="shared" si="13"/>
        <v>13820.8</v>
      </c>
    </row>
    <row r="51" spans="1:20" ht="18.75">
      <c r="A51" s="256">
        <v>47</v>
      </c>
      <c r="B51" s="258" t="s">
        <v>531</v>
      </c>
      <c r="C51" s="258" t="s">
        <v>532</v>
      </c>
      <c r="D51" s="258" t="s">
        <v>533</v>
      </c>
      <c r="E51" s="258" t="s">
        <v>534</v>
      </c>
      <c r="F51" s="257">
        <v>12</v>
      </c>
      <c r="G51" s="293">
        <v>1560000</v>
      </c>
      <c r="H51" s="293">
        <v>923200</v>
      </c>
      <c r="I51" s="258">
        <v>100</v>
      </c>
      <c r="J51" s="293">
        <v>102480</v>
      </c>
      <c r="L51" s="123">
        <f t="shared" si="5"/>
        <v>1560000</v>
      </c>
      <c r="M51" s="128">
        <f t="shared" si="6"/>
        <v>124800</v>
      </c>
      <c r="N51" s="123">
        <f t="shared" si="7"/>
        <v>1435200</v>
      </c>
      <c r="O51" s="128">
        <f t="shared" si="8"/>
        <v>487040</v>
      </c>
      <c r="P51" s="127">
        <f t="shared" si="9"/>
        <v>948160</v>
      </c>
      <c r="Q51" s="123">
        <f t="shared" si="10"/>
        <v>106224</v>
      </c>
      <c r="R51" s="124">
        <f t="shared" si="11"/>
        <v>8852</v>
      </c>
      <c r="S51" s="125">
        <f t="shared" si="12"/>
        <v>12</v>
      </c>
      <c r="T51" s="129">
        <f t="shared" si="13"/>
        <v>106224</v>
      </c>
    </row>
    <row r="52" spans="1:20" ht="18.75">
      <c r="A52" s="256">
        <v>48</v>
      </c>
      <c r="B52" s="257" t="s">
        <v>536</v>
      </c>
      <c r="C52" s="257" t="s">
        <v>537</v>
      </c>
      <c r="D52" s="257" t="s">
        <v>538</v>
      </c>
      <c r="E52" s="257" t="s">
        <v>400</v>
      </c>
      <c r="F52" s="257">
        <v>12</v>
      </c>
      <c r="G52" s="292">
        <v>540000</v>
      </c>
      <c r="H52" s="292">
        <v>188800</v>
      </c>
      <c r="I52" s="257">
        <v>100</v>
      </c>
      <c r="J52" s="292">
        <v>13216</v>
      </c>
      <c r="L52" s="123">
        <f t="shared" si="5"/>
        <v>540000</v>
      </c>
      <c r="M52" s="128">
        <f t="shared" si="6"/>
        <v>43200</v>
      </c>
      <c r="N52" s="123">
        <f t="shared" si="7"/>
        <v>496800</v>
      </c>
      <c r="O52" s="128">
        <f t="shared" si="8"/>
        <v>299360</v>
      </c>
      <c r="P52" s="127">
        <f t="shared" si="9"/>
        <v>197440</v>
      </c>
      <c r="Q52" s="123">
        <f t="shared" si="10"/>
        <v>13820.800000000001</v>
      </c>
      <c r="R52" s="124">
        <f t="shared" si="11"/>
        <v>1151.7333333333333</v>
      </c>
      <c r="S52" s="125">
        <f t="shared" si="12"/>
        <v>12</v>
      </c>
      <c r="T52" s="129">
        <f t="shared" si="13"/>
        <v>13820.8</v>
      </c>
    </row>
    <row r="53" spans="1:20" ht="18.75">
      <c r="A53" s="256">
        <v>49</v>
      </c>
      <c r="B53" s="258" t="s">
        <v>540</v>
      </c>
      <c r="C53" s="258" t="s">
        <v>541</v>
      </c>
      <c r="D53" s="258" t="s">
        <v>542</v>
      </c>
      <c r="E53" s="258" t="s">
        <v>543</v>
      </c>
      <c r="F53" s="257">
        <v>12</v>
      </c>
      <c r="G53" s="293">
        <v>840000</v>
      </c>
      <c r="H53" s="293">
        <v>404800</v>
      </c>
      <c r="I53" s="258">
        <v>100</v>
      </c>
      <c r="J53" s="293">
        <v>32528</v>
      </c>
      <c r="L53" s="123">
        <f t="shared" si="5"/>
        <v>840000</v>
      </c>
      <c r="M53" s="128">
        <f t="shared" si="6"/>
        <v>67200</v>
      </c>
      <c r="N53" s="123">
        <f t="shared" si="7"/>
        <v>772800</v>
      </c>
      <c r="O53" s="128">
        <f t="shared" si="8"/>
        <v>354560</v>
      </c>
      <c r="P53" s="127">
        <f t="shared" si="9"/>
        <v>418240</v>
      </c>
      <c r="Q53" s="123">
        <f t="shared" si="10"/>
        <v>34006.400000000001</v>
      </c>
      <c r="R53" s="124">
        <f t="shared" si="11"/>
        <v>2833.8666666666668</v>
      </c>
      <c r="S53" s="125">
        <f t="shared" si="12"/>
        <v>12</v>
      </c>
      <c r="T53" s="129">
        <f t="shared" si="13"/>
        <v>34006.400000000001</v>
      </c>
    </row>
    <row r="54" spans="1:20" ht="35.25">
      <c r="A54" s="256">
        <v>50</v>
      </c>
      <c r="B54" s="257" t="s">
        <v>545</v>
      </c>
      <c r="C54" s="257" t="s">
        <v>546</v>
      </c>
      <c r="D54" s="257" t="s">
        <v>547</v>
      </c>
      <c r="E54" s="257" t="s">
        <v>486</v>
      </c>
      <c r="F54" s="257">
        <v>12</v>
      </c>
      <c r="G54" s="292">
        <v>960000</v>
      </c>
      <c r="H54" s="292">
        <v>491200</v>
      </c>
      <c r="I54" s="257">
        <v>100</v>
      </c>
      <c r="J54" s="292">
        <v>42032</v>
      </c>
      <c r="L54" s="123">
        <f t="shared" si="5"/>
        <v>960000</v>
      </c>
      <c r="M54" s="128">
        <f t="shared" si="6"/>
        <v>76800</v>
      </c>
      <c r="N54" s="123">
        <f t="shared" si="7"/>
        <v>883200</v>
      </c>
      <c r="O54" s="128">
        <f t="shared" si="8"/>
        <v>376640</v>
      </c>
      <c r="P54" s="127">
        <f t="shared" si="9"/>
        <v>506560</v>
      </c>
      <c r="Q54" s="123">
        <f t="shared" si="10"/>
        <v>43721.599999999999</v>
      </c>
      <c r="R54" s="124">
        <f t="shared" si="11"/>
        <v>3643.4666666666667</v>
      </c>
      <c r="S54" s="125">
        <f t="shared" si="12"/>
        <v>12</v>
      </c>
      <c r="T54" s="129">
        <f t="shared" si="13"/>
        <v>43721.599999999999</v>
      </c>
    </row>
    <row r="55" spans="1:20" ht="18.75">
      <c r="A55" s="256">
        <v>51</v>
      </c>
      <c r="B55" s="258" t="s">
        <v>549</v>
      </c>
      <c r="C55" s="258" t="s">
        <v>550</v>
      </c>
      <c r="D55" s="258" t="s">
        <v>551</v>
      </c>
      <c r="E55" s="258" t="s">
        <v>552</v>
      </c>
      <c r="F55" s="257">
        <v>12</v>
      </c>
      <c r="G55" s="293">
        <v>660000</v>
      </c>
      <c r="H55" s="293">
        <v>275200</v>
      </c>
      <c r="I55" s="258">
        <v>100</v>
      </c>
      <c r="J55" s="293">
        <v>19264</v>
      </c>
      <c r="L55" s="123">
        <f t="shared" si="5"/>
        <v>660000</v>
      </c>
      <c r="M55" s="128">
        <f t="shared" si="6"/>
        <v>52800</v>
      </c>
      <c r="N55" s="123">
        <f t="shared" si="7"/>
        <v>607200</v>
      </c>
      <c r="O55" s="128">
        <f t="shared" si="8"/>
        <v>321440</v>
      </c>
      <c r="P55" s="127">
        <f t="shared" si="9"/>
        <v>285760</v>
      </c>
      <c r="Q55" s="123">
        <f t="shared" si="10"/>
        <v>20003.2</v>
      </c>
      <c r="R55" s="124">
        <f t="shared" si="11"/>
        <v>1666.9333333333334</v>
      </c>
      <c r="S55" s="125">
        <f t="shared" si="12"/>
        <v>12</v>
      </c>
      <c r="T55" s="129">
        <f t="shared" si="13"/>
        <v>20003.2</v>
      </c>
    </row>
    <row r="56" spans="1:20" ht="18.75">
      <c r="A56" s="256">
        <v>52</v>
      </c>
      <c r="B56" s="257" t="s">
        <v>554</v>
      </c>
      <c r="C56" s="257" t="s">
        <v>555</v>
      </c>
      <c r="D56" s="260"/>
      <c r="E56" s="257" t="s">
        <v>556</v>
      </c>
      <c r="F56" s="257">
        <v>12</v>
      </c>
      <c r="G56" s="292">
        <v>480000</v>
      </c>
      <c r="H56" s="292">
        <v>145600</v>
      </c>
      <c r="I56" s="257">
        <v>100</v>
      </c>
      <c r="J56" s="292">
        <v>10192</v>
      </c>
      <c r="L56" s="123">
        <f t="shared" si="5"/>
        <v>480000</v>
      </c>
      <c r="M56" s="128">
        <f t="shared" si="6"/>
        <v>38400</v>
      </c>
      <c r="N56" s="123">
        <f t="shared" si="7"/>
        <v>441600</v>
      </c>
      <c r="O56" s="128">
        <f t="shared" si="8"/>
        <v>288320</v>
      </c>
      <c r="P56" s="127">
        <f t="shared" si="9"/>
        <v>153280</v>
      </c>
      <c r="Q56" s="123">
        <f t="shared" si="10"/>
        <v>10729.6</v>
      </c>
      <c r="R56" s="124">
        <f t="shared" si="11"/>
        <v>894.13333333333333</v>
      </c>
      <c r="S56" s="125">
        <f t="shared" si="12"/>
        <v>12</v>
      </c>
      <c r="T56" s="129">
        <f t="shared" si="13"/>
        <v>10729.6</v>
      </c>
    </row>
    <row r="57" spans="1:20" ht="18.75">
      <c r="A57" s="256">
        <v>53</v>
      </c>
      <c r="B57" s="258" t="s">
        <v>558</v>
      </c>
      <c r="C57" s="258" t="s">
        <v>559</v>
      </c>
      <c r="D57" s="258" t="s">
        <v>560</v>
      </c>
      <c r="E57" s="258" t="s">
        <v>390</v>
      </c>
      <c r="F57" s="257">
        <v>12</v>
      </c>
      <c r="G57" s="293">
        <v>480000</v>
      </c>
      <c r="H57" s="293">
        <v>145600</v>
      </c>
      <c r="I57" s="258">
        <v>100</v>
      </c>
      <c r="J57" s="293">
        <v>10192</v>
      </c>
      <c r="L57" s="123">
        <f t="shared" si="5"/>
        <v>480000</v>
      </c>
      <c r="M57" s="128">
        <f t="shared" si="6"/>
        <v>38400</v>
      </c>
      <c r="N57" s="123">
        <f t="shared" si="7"/>
        <v>441600</v>
      </c>
      <c r="O57" s="128">
        <f t="shared" si="8"/>
        <v>288320</v>
      </c>
      <c r="P57" s="127">
        <f t="shared" si="9"/>
        <v>153280</v>
      </c>
      <c r="Q57" s="123">
        <f t="shared" si="10"/>
        <v>10729.6</v>
      </c>
      <c r="R57" s="124">
        <f t="shared" si="11"/>
        <v>894.13333333333333</v>
      </c>
      <c r="S57" s="125">
        <f t="shared" si="12"/>
        <v>12</v>
      </c>
      <c r="T57" s="129">
        <f t="shared" si="13"/>
        <v>10729.6</v>
      </c>
    </row>
    <row r="58" spans="1:20" ht="18.75">
      <c r="A58" s="256">
        <v>54</v>
      </c>
      <c r="B58" s="257" t="s">
        <v>415</v>
      </c>
      <c r="C58" s="257" t="s">
        <v>562</v>
      </c>
      <c r="D58" s="257" t="s">
        <v>563</v>
      </c>
      <c r="E58" s="257" t="s">
        <v>373</v>
      </c>
      <c r="F58" s="257">
        <v>12</v>
      </c>
      <c r="G58" s="292">
        <v>540000</v>
      </c>
      <c r="H58" s="292">
        <v>188800</v>
      </c>
      <c r="I58" s="257">
        <v>100</v>
      </c>
      <c r="J58" s="292">
        <v>13216</v>
      </c>
      <c r="L58" s="123">
        <f t="shared" si="5"/>
        <v>540000</v>
      </c>
      <c r="M58" s="128">
        <f t="shared" si="6"/>
        <v>43200</v>
      </c>
      <c r="N58" s="123">
        <f t="shared" si="7"/>
        <v>496800</v>
      </c>
      <c r="O58" s="128">
        <f t="shared" si="8"/>
        <v>299360</v>
      </c>
      <c r="P58" s="127">
        <f t="shared" si="9"/>
        <v>197440</v>
      </c>
      <c r="Q58" s="123">
        <f t="shared" si="10"/>
        <v>13820.800000000001</v>
      </c>
      <c r="R58" s="124">
        <f t="shared" si="11"/>
        <v>1151.7333333333333</v>
      </c>
      <c r="S58" s="125">
        <f t="shared" si="12"/>
        <v>12</v>
      </c>
      <c r="T58" s="129">
        <f t="shared" si="13"/>
        <v>13820.8</v>
      </c>
    </row>
    <row r="59" spans="1:20" ht="18.75">
      <c r="A59" s="256">
        <v>55</v>
      </c>
      <c r="B59" s="258" t="s">
        <v>565</v>
      </c>
      <c r="C59" s="258" t="s">
        <v>566</v>
      </c>
      <c r="D59" s="258" t="s">
        <v>567</v>
      </c>
      <c r="E59" s="258" t="s">
        <v>568</v>
      </c>
      <c r="F59" s="257">
        <v>12</v>
      </c>
      <c r="G59" s="293">
        <v>480000</v>
      </c>
      <c r="H59" s="293">
        <v>145600</v>
      </c>
      <c r="I59" s="258">
        <v>100</v>
      </c>
      <c r="J59" s="293">
        <v>10192</v>
      </c>
      <c r="L59" s="123">
        <f t="shared" si="5"/>
        <v>480000</v>
      </c>
      <c r="M59" s="128">
        <f t="shared" si="6"/>
        <v>38400</v>
      </c>
      <c r="N59" s="123">
        <f t="shared" si="7"/>
        <v>441600</v>
      </c>
      <c r="O59" s="128">
        <f t="shared" si="8"/>
        <v>288320</v>
      </c>
      <c r="P59" s="127">
        <f t="shared" si="9"/>
        <v>153280</v>
      </c>
      <c r="Q59" s="123">
        <f t="shared" si="10"/>
        <v>10729.6</v>
      </c>
      <c r="R59" s="124">
        <f t="shared" si="11"/>
        <v>894.13333333333333</v>
      </c>
      <c r="S59" s="125">
        <f t="shared" si="12"/>
        <v>12</v>
      </c>
      <c r="T59" s="129">
        <f t="shared" si="13"/>
        <v>10729.6</v>
      </c>
    </row>
    <row r="60" spans="1:20" ht="35.25">
      <c r="A60" s="256">
        <v>56</v>
      </c>
      <c r="B60" s="257" t="s">
        <v>570</v>
      </c>
      <c r="C60" s="257" t="s">
        <v>571</v>
      </c>
      <c r="D60" s="260"/>
      <c r="E60" s="257" t="s">
        <v>461</v>
      </c>
      <c r="F60" s="257">
        <v>12</v>
      </c>
      <c r="G60" s="292">
        <v>660000</v>
      </c>
      <c r="H60" s="292">
        <v>275200</v>
      </c>
      <c r="I60" s="257">
        <v>100</v>
      </c>
      <c r="J60" s="292">
        <v>19264</v>
      </c>
      <c r="L60" s="123">
        <f t="shared" si="5"/>
        <v>660000</v>
      </c>
      <c r="M60" s="128">
        <f t="shared" si="6"/>
        <v>52800</v>
      </c>
      <c r="N60" s="123">
        <f t="shared" si="7"/>
        <v>607200</v>
      </c>
      <c r="O60" s="128">
        <f t="shared" si="8"/>
        <v>321440</v>
      </c>
      <c r="P60" s="127">
        <f t="shared" si="9"/>
        <v>285760</v>
      </c>
      <c r="Q60" s="123">
        <f t="shared" si="10"/>
        <v>20003.2</v>
      </c>
      <c r="R60" s="124">
        <f t="shared" si="11"/>
        <v>1666.9333333333334</v>
      </c>
      <c r="S60" s="125">
        <f t="shared" si="12"/>
        <v>12</v>
      </c>
      <c r="T60" s="129">
        <f t="shared" si="13"/>
        <v>20003.2</v>
      </c>
    </row>
    <row r="61" spans="1:20" ht="18.75">
      <c r="A61" s="256">
        <v>57</v>
      </c>
      <c r="B61" s="258" t="s">
        <v>573</v>
      </c>
      <c r="C61" s="258" t="s">
        <v>574</v>
      </c>
      <c r="D61" s="259"/>
      <c r="E61" s="258" t="s">
        <v>373</v>
      </c>
      <c r="F61" s="257">
        <v>12</v>
      </c>
      <c r="G61" s="293">
        <v>660000</v>
      </c>
      <c r="H61" s="293">
        <v>275200</v>
      </c>
      <c r="I61" s="258">
        <v>100</v>
      </c>
      <c r="J61" s="293">
        <v>19264</v>
      </c>
      <c r="L61" s="123">
        <f t="shared" si="5"/>
        <v>660000</v>
      </c>
      <c r="M61" s="128">
        <f t="shared" si="6"/>
        <v>52800</v>
      </c>
      <c r="N61" s="123">
        <f t="shared" si="7"/>
        <v>607200</v>
      </c>
      <c r="O61" s="128">
        <f t="shared" si="8"/>
        <v>321440</v>
      </c>
      <c r="P61" s="127">
        <f t="shared" si="9"/>
        <v>285760</v>
      </c>
      <c r="Q61" s="123">
        <f t="shared" si="10"/>
        <v>20003.2</v>
      </c>
      <c r="R61" s="124">
        <f t="shared" si="11"/>
        <v>1666.9333333333334</v>
      </c>
      <c r="S61" s="125">
        <f t="shared" si="12"/>
        <v>12</v>
      </c>
      <c r="T61" s="129">
        <f t="shared" si="13"/>
        <v>20003.2</v>
      </c>
    </row>
    <row r="62" spans="1:20" ht="18.75">
      <c r="A62" s="256">
        <v>58</v>
      </c>
      <c r="B62" s="257" t="s">
        <v>576</v>
      </c>
      <c r="C62" s="257" t="s">
        <v>577</v>
      </c>
      <c r="D62" s="257" t="s">
        <v>578</v>
      </c>
      <c r="E62" s="257" t="s">
        <v>412</v>
      </c>
      <c r="F62" s="257">
        <v>12</v>
      </c>
      <c r="G62" s="292">
        <v>420000</v>
      </c>
      <c r="H62" s="292">
        <v>102400</v>
      </c>
      <c r="I62" s="257">
        <v>100</v>
      </c>
      <c r="J62" s="292">
        <v>7168</v>
      </c>
      <c r="L62" s="123">
        <f t="shared" si="5"/>
        <v>420000</v>
      </c>
      <c r="M62" s="128">
        <f t="shared" si="6"/>
        <v>33600</v>
      </c>
      <c r="N62" s="123">
        <f t="shared" si="7"/>
        <v>386400</v>
      </c>
      <c r="O62" s="128">
        <f t="shared" si="8"/>
        <v>277280</v>
      </c>
      <c r="P62" s="127">
        <f t="shared" si="9"/>
        <v>109120</v>
      </c>
      <c r="Q62" s="123">
        <f t="shared" si="10"/>
        <v>7638.4000000000005</v>
      </c>
      <c r="R62" s="124">
        <f t="shared" si="11"/>
        <v>636.53333333333342</v>
      </c>
      <c r="S62" s="125">
        <f t="shared" si="12"/>
        <v>12</v>
      </c>
      <c r="T62" s="129">
        <f t="shared" si="13"/>
        <v>7638.4000000000015</v>
      </c>
    </row>
    <row r="63" spans="1:20" ht="35.25">
      <c r="A63" s="256">
        <v>59</v>
      </c>
      <c r="B63" s="258" t="s">
        <v>580</v>
      </c>
      <c r="C63" s="258" t="s">
        <v>581</v>
      </c>
      <c r="D63" s="258" t="s">
        <v>582</v>
      </c>
      <c r="E63" s="258" t="s">
        <v>583</v>
      </c>
      <c r="F63" s="257">
        <v>12</v>
      </c>
      <c r="G63" s="293">
        <v>480000</v>
      </c>
      <c r="H63" s="293">
        <v>145600</v>
      </c>
      <c r="I63" s="258">
        <v>100</v>
      </c>
      <c r="J63" s="293">
        <v>10192</v>
      </c>
      <c r="L63" s="123">
        <f t="shared" si="5"/>
        <v>480000</v>
      </c>
      <c r="M63" s="128">
        <f t="shared" si="6"/>
        <v>38400</v>
      </c>
      <c r="N63" s="123">
        <f t="shared" si="7"/>
        <v>441600</v>
      </c>
      <c r="O63" s="128">
        <f t="shared" si="8"/>
        <v>288320</v>
      </c>
      <c r="P63" s="127">
        <f t="shared" si="9"/>
        <v>153280</v>
      </c>
      <c r="Q63" s="123">
        <f t="shared" si="10"/>
        <v>10729.6</v>
      </c>
      <c r="R63" s="124">
        <f t="shared" si="11"/>
        <v>894.13333333333333</v>
      </c>
      <c r="S63" s="125">
        <f t="shared" si="12"/>
        <v>12</v>
      </c>
      <c r="T63" s="129">
        <f t="shared" si="13"/>
        <v>10729.6</v>
      </c>
    </row>
    <row r="64" spans="1:20" ht="18.75">
      <c r="A64" s="256">
        <v>60</v>
      </c>
      <c r="B64" s="257" t="s">
        <v>585</v>
      </c>
      <c r="C64" s="257" t="s">
        <v>415</v>
      </c>
      <c r="D64" s="260"/>
      <c r="E64" s="257" t="s">
        <v>364</v>
      </c>
      <c r="F64" s="257">
        <v>12</v>
      </c>
      <c r="G64" s="292">
        <v>660000</v>
      </c>
      <c r="H64" s="292">
        <v>275200</v>
      </c>
      <c r="I64" s="257">
        <v>100</v>
      </c>
      <c r="J64" s="292">
        <v>19264</v>
      </c>
      <c r="L64" s="123">
        <f t="shared" si="5"/>
        <v>660000</v>
      </c>
      <c r="M64" s="128">
        <f t="shared" si="6"/>
        <v>52800</v>
      </c>
      <c r="N64" s="123">
        <f t="shared" si="7"/>
        <v>607200</v>
      </c>
      <c r="O64" s="128">
        <f t="shared" si="8"/>
        <v>321440</v>
      </c>
      <c r="P64" s="127">
        <f t="shared" si="9"/>
        <v>285760</v>
      </c>
      <c r="Q64" s="123">
        <f t="shared" si="10"/>
        <v>20003.2</v>
      </c>
      <c r="R64" s="124">
        <f t="shared" si="11"/>
        <v>1666.9333333333334</v>
      </c>
      <c r="S64" s="125">
        <f t="shared" si="12"/>
        <v>12</v>
      </c>
      <c r="T64" s="129">
        <f t="shared" si="13"/>
        <v>20003.2</v>
      </c>
    </row>
    <row r="65" spans="1:20" ht="18.75">
      <c r="A65" s="256">
        <v>61</v>
      </c>
      <c r="B65" s="258" t="s">
        <v>587</v>
      </c>
      <c r="C65" s="258" t="s">
        <v>588</v>
      </c>
      <c r="D65" s="259"/>
      <c r="E65" s="258" t="s">
        <v>400</v>
      </c>
      <c r="F65" s="257">
        <v>12</v>
      </c>
      <c r="G65" s="293">
        <v>540000</v>
      </c>
      <c r="H65" s="293">
        <v>188800</v>
      </c>
      <c r="I65" s="258">
        <v>100</v>
      </c>
      <c r="J65" s="293">
        <v>13216</v>
      </c>
      <c r="L65" s="123">
        <f t="shared" si="5"/>
        <v>540000</v>
      </c>
      <c r="M65" s="128">
        <f t="shared" si="6"/>
        <v>43200</v>
      </c>
      <c r="N65" s="123">
        <f t="shared" si="7"/>
        <v>496800</v>
      </c>
      <c r="O65" s="128">
        <f t="shared" si="8"/>
        <v>299360</v>
      </c>
      <c r="P65" s="127">
        <f t="shared" si="9"/>
        <v>197440</v>
      </c>
      <c r="Q65" s="123">
        <f t="shared" si="10"/>
        <v>13820.800000000001</v>
      </c>
      <c r="R65" s="124">
        <f t="shared" si="11"/>
        <v>1151.7333333333333</v>
      </c>
      <c r="S65" s="125">
        <f t="shared" si="12"/>
        <v>12</v>
      </c>
      <c r="T65" s="129">
        <f t="shared" si="13"/>
        <v>13820.8</v>
      </c>
    </row>
    <row r="66" spans="1:20" ht="18.75">
      <c r="A66" s="256">
        <v>62</v>
      </c>
      <c r="B66" s="257" t="s">
        <v>459</v>
      </c>
      <c r="C66" s="257" t="s">
        <v>590</v>
      </c>
      <c r="D66" s="257" t="s">
        <v>591</v>
      </c>
      <c r="E66" s="257" t="s">
        <v>373</v>
      </c>
      <c r="F66" s="257">
        <v>12</v>
      </c>
      <c r="G66" s="292">
        <v>540000</v>
      </c>
      <c r="H66" s="292">
        <v>188800</v>
      </c>
      <c r="I66" s="257">
        <v>100</v>
      </c>
      <c r="J66" s="292">
        <v>13216</v>
      </c>
      <c r="L66" s="123">
        <f t="shared" si="5"/>
        <v>540000</v>
      </c>
      <c r="M66" s="128">
        <f t="shared" si="6"/>
        <v>43200</v>
      </c>
      <c r="N66" s="123">
        <f t="shared" si="7"/>
        <v>496800</v>
      </c>
      <c r="O66" s="128">
        <f t="shared" si="8"/>
        <v>299360</v>
      </c>
      <c r="P66" s="127">
        <f t="shared" si="9"/>
        <v>197440</v>
      </c>
      <c r="Q66" s="123">
        <f t="shared" si="10"/>
        <v>13820.800000000001</v>
      </c>
      <c r="R66" s="124">
        <f t="shared" si="11"/>
        <v>1151.7333333333333</v>
      </c>
      <c r="S66" s="125">
        <f t="shared" si="12"/>
        <v>12</v>
      </c>
      <c r="T66" s="129">
        <f t="shared" si="13"/>
        <v>13820.8</v>
      </c>
    </row>
    <row r="67" spans="1:20" ht="35.25">
      <c r="A67" s="256">
        <v>63</v>
      </c>
      <c r="B67" s="258" t="s">
        <v>593</v>
      </c>
      <c r="C67" s="258" t="s">
        <v>594</v>
      </c>
      <c r="D67" s="259"/>
      <c r="E67" s="258" t="s">
        <v>377</v>
      </c>
      <c r="F67" s="257">
        <v>12</v>
      </c>
      <c r="G67" s="293">
        <v>540000</v>
      </c>
      <c r="H67" s="293">
        <v>188800</v>
      </c>
      <c r="I67" s="258">
        <v>100</v>
      </c>
      <c r="J67" s="293">
        <v>13216</v>
      </c>
      <c r="L67" s="123">
        <f t="shared" si="5"/>
        <v>540000</v>
      </c>
      <c r="M67" s="128">
        <f t="shared" si="6"/>
        <v>43200</v>
      </c>
      <c r="N67" s="123">
        <f t="shared" si="7"/>
        <v>496800</v>
      </c>
      <c r="O67" s="128">
        <f t="shared" si="8"/>
        <v>299360</v>
      </c>
      <c r="P67" s="127">
        <f t="shared" si="9"/>
        <v>197440</v>
      </c>
      <c r="Q67" s="123">
        <f t="shared" si="10"/>
        <v>13820.800000000001</v>
      </c>
      <c r="R67" s="124">
        <f t="shared" si="11"/>
        <v>1151.7333333333333</v>
      </c>
      <c r="S67" s="125">
        <f t="shared" si="12"/>
        <v>12</v>
      </c>
      <c r="T67" s="129">
        <f t="shared" si="13"/>
        <v>13820.8</v>
      </c>
    </row>
    <row r="68" spans="1:20" ht="35.25">
      <c r="A68" s="256">
        <v>64</v>
      </c>
      <c r="B68" s="257" t="s">
        <v>596</v>
      </c>
      <c r="C68" s="257" t="s">
        <v>597</v>
      </c>
      <c r="D68" s="260"/>
      <c r="E68" s="257" t="s">
        <v>519</v>
      </c>
      <c r="F68" s="257">
        <v>12</v>
      </c>
      <c r="G68" s="292">
        <v>540000</v>
      </c>
      <c r="H68" s="292">
        <v>188800</v>
      </c>
      <c r="I68" s="257">
        <v>100</v>
      </c>
      <c r="J68" s="292">
        <v>13216</v>
      </c>
      <c r="L68" s="123">
        <f t="shared" si="5"/>
        <v>540000</v>
      </c>
      <c r="M68" s="128">
        <f t="shared" si="6"/>
        <v>43200</v>
      </c>
      <c r="N68" s="123">
        <f t="shared" si="7"/>
        <v>496800</v>
      </c>
      <c r="O68" s="128">
        <f t="shared" si="8"/>
        <v>299360</v>
      </c>
      <c r="P68" s="127">
        <f t="shared" si="9"/>
        <v>197440</v>
      </c>
      <c r="Q68" s="123">
        <f t="shared" si="10"/>
        <v>13820.800000000001</v>
      </c>
      <c r="R68" s="124">
        <f t="shared" si="11"/>
        <v>1151.7333333333333</v>
      </c>
      <c r="S68" s="125">
        <f t="shared" si="12"/>
        <v>12</v>
      </c>
      <c r="T68" s="129">
        <f t="shared" si="13"/>
        <v>13820.8</v>
      </c>
    </row>
    <row r="69" spans="1:20" ht="18.75">
      <c r="A69" s="256">
        <v>65</v>
      </c>
      <c r="B69" s="258" t="s">
        <v>598</v>
      </c>
      <c r="C69" s="258" t="s">
        <v>599</v>
      </c>
      <c r="D69" s="259"/>
      <c r="E69" s="258" t="s">
        <v>600</v>
      </c>
      <c r="F69" s="257">
        <v>12</v>
      </c>
      <c r="G69" s="293">
        <v>1200000</v>
      </c>
      <c r="H69" s="293">
        <v>664000</v>
      </c>
      <c r="I69" s="258">
        <v>100</v>
      </c>
      <c r="J69" s="293">
        <v>63600</v>
      </c>
      <c r="L69" s="123">
        <f t="shared" si="5"/>
        <v>1200000</v>
      </c>
      <c r="M69" s="128">
        <f t="shared" si="6"/>
        <v>96000</v>
      </c>
      <c r="N69" s="123">
        <f t="shared" si="7"/>
        <v>1104000</v>
      </c>
      <c r="O69" s="128">
        <f t="shared" si="8"/>
        <v>420800</v>
      </c>
      <c r="P69" s="127">
        <f t="shared" si="9"/>
        <v>683200</v>
      </c>
      <c r="Q69" s="123">
        <f t="shared" si="10"/>
        <v>66480</v>
      </c>
      <c r="R69" s="124">
        <f t="shared" si="11"/>
        <v>5540</v>
      </c>
      <c r="S69" s="125">
        <f t="shared" si="12"/>
        <v>12</v>
      </c>
      <c r="T69" s="129">
        <f t="shared" si="13"/>
        <v>66480</v>
      </c>
    </row>
    <row r="70" spans="1:20" ht="18.75">
      <c r="A70" s="256">
        <v>66</v>
      </c>
      <c r="B70" s="257" t="s">
        <v>602</v>
      </c>
      <c r="C70" s="257" t="s">
        <v>603</v>
      </c>
      <c r="D70" s="260"/>
      <c r="E70" s="257" t="s">
        <v>400</v>
      </c>
      <c r="F70" s="257">
        <v>12</v>
      </c>
      <c r="G70" s="292">
        <v>540000</v>
      </c>
      <c r="H70" s="292">
        <v>188800</v>
      </c>
      <c r="I70" s="257">
        <v>100</v>
      </c>
      <c r="J70" s="292">
        <v>13216</v>
      </c>
      <c r="L70" s="123">
        <f t="shared" ref="L70:L126" si="14">G70</f>
        <v>540000</v>
      </c>
      <c r="M70" s="128">
        <f t="shared" ref="M70:M127" si="15">L70*0.08</f>
        <v>43200</v>
      </c>
      <c r="N70" s="123">
        <f t="shared" ref="N70:N127" si="16">L70-M70</f>
        <v>496800</v>
      </c>
      <c r="O70" s="128">
        <f t="shared" ref="O70:O127" si="17">IF(N70&lt;=300000,0,IF(N70&gt;=20000000,(N70*0.21),(N70*0.2)+200000))</f>
        <v>299360</v>
      </c>
      <c r="P70" s="127">
        <f t="shared" ref="P70:P127" si="18">+L70-O70-M70</f>
        <v>197440</v>
      </c>
      <c r="Q70" s="123">
        <f t="shared" ref="Q70:Q127" si="19">IF(O70=0,(L70*0.01),IF(P70&lt;=0,0.01*L70,IF(AND(P70&gt;0,P70&lt;=300000),P70*7%,IF(AND(P70&gt;=300000,P70&lt;600000),21000+(P70-300000)*11%,IF(AND(P70&gt;=600000,P70&lt;1100000),54000+(P70-600000)*15%,IF(AND(P70&gt;=1100000,P70&lt;1600000),129000+(P70-1100000)*19%,IF(AND(P70&gt;=1600000,P70&lt;3200000),224000+(P70-1600000)*21%,560000+(P70-3200000)*24%)))))))</f>
        <v>13820.800000000001</v>
      </c>
      <c r="R70" s="124">
        <f t="shared" ref="R70:R127" si="20">Q70/12</f>
        <v>1151.7333333333333</v>
      </c>
      <c r="S70" s="125">
        <f t="shared" ref="S70:S127" si="21">F70</f>
        <v>12</v>
      </c>
      <c r="T70" s="129">
        <f t="shared" ref="T70:T127" si="22">+R70*S70</f>
        <v>13820.8</v>
      </c>
    </row>
    <row r="71" spans="1:20" ht="18.75">
      <c r="A71" s="256">
        <v>67</v>
      </c>
      <c r="B71" s="258" t="s">
        <v>605</v>
      </c>
      <c r="C71" s="258" t="s">
        <v>606</v>
      </c>
      <c r="D71" s="259"/>
      <c r="E71" s="258" t="s">
        <v>412</v>
      </c>
      <c r="F71" s="257">
        <v>12</v>
      </c>
      <c r="G71" s="293">
        <v>420000</v>
      </c>
      <c r="H71" s="293">
        <v>102400</v>
      </c>
      <c r="I71" s="258">
        <v>100</v>
      </c>
      <c r="J71" s="293">
        <v>7168</v>
      </c>
      <c r="L71" s="123">
        <f t="shared" si="14"/>
        <v>420000</v>
      </c>
      <c r="M71" s="128">
        <f t="shared" si="15"/>
        <v>33600</v>
      </c>
      <c r="N71" s="123">
        <f t="shared" si="16"/>
        <v>386400</v>
      </c>
      <c r="O71" s="128">
        <f t="shared" si="17"/>
        <v>277280</v>
      </c>
      <c r="P71" s="127">
        <f t="shared" si="18"/>
        <v>109120</v>
      </c>
      <c r="Q71" s="123">
        <f t="shared" si="19"/>
        <v>7638.4000000000005</v>
      </c>
      <c r="R71" s="124">
        <f t="shared" si="20"/>
        <v>636.53333333333342</v>
      </c>
      <c r="S71" s="125">
        <f t="shared" si="21"/>
        <v>12</v>
      </c>
      <c r="T71" s="129">
        <f t="shared" si="22"/>
        <v>7638.4000000000015</v>
      </c>
    </row>
    <row r="72" spans="1:20" s="327" customFormat="1" ht="18.75">
      <c r="A72" s="325">
        <v>68</v>
      </c>
      <c r="B72" s="323" t="s">
        <v>608</v>
      </c>
      <c r="C72" s="323" t="s">
        <v>609</v>
      </c>
      <c r="D72" s="323" t="s">
        <v>610</v>
      </c>
      <c r="E72" s="323" t="s">
        <v>611</v>
      </c>
      <c r="F72" s="323">
        <v>12</v>
      </c>
      <c r="G72" s="326">
        <v>1800000</v>
      </c>
      <c r="H72" s="326">
        <v>1096000</v>
      </c>
      <c r="I72" s="323">
        <v>100</v>
      </c>
      <c r="J72" s="326">
        <v>128400</v>
      </c>
      <c r="L72" s="317">
        <f>G72</f>
        <v>1800000</v>
      </c>
      <c r="M72" s="318">
        <f t="shared" si="15"/>
        <v>144000</v>
      </c>
      <c r="N72" s="317">
        <f t="shared" si="16"/>
        <v>1656000</v>
      </c>
      <c r="O72" s="318">
        <f t="shared" si="17"/>
        <v>531200</v>
      </c>
      <c r="P72" s="319">
        <f t="shared" si="18"/>
        <v>1124800</v>
      </c>
      <c r="Q72" s="317">
        <f t="shared" si="19"/>
        <v>133712</v>
      </c>
      <c r="R72" s="320">
        <f t="shared" si="20"/>
        <v>11142.666666666666</v>
      </c>
      <c r="S72" s="321">
        <f t="shared" si="21"/>
        <v>12</v>
      </c>
      <c r="T72" s="322">
        <f t="shared" si="22"/>
        <v>133712</v>
      </c>
    </row>
    <row r="73" spans="1:20" ht="18.75">
      <c r="A73" s="256">
        <v>69</v>
      </c>
      <c r="B73" s="258" t="s">
        <v>613</v>
      </c>
      <c r="C73" s="258" t="s">
        <v>614</v>
      </c>
      <c r="D73" s="259"/>
      <c r="E73" s="258" t="s">
        <v>615</v>
      </c>
      <c r="F73" s="257">
        <v>12</v>
      </c>
      <c r="G73" s="293">
        <v>480000</v>
      </c>
      <c r="H73" s="293">
        <v>145600</v>
      </c>
      <c r="I73" s="258">
        <v>100</v>
      </c>
      <c r="J73" s="293">
        <v>10192</v>
      </c>
      <c r="L73" s="123">
        <f t="shared" si="14"/>
        <v>480000</v>
      </c>
      <c r="M73" s="128">
        <f t="shared" si="15"/>
        <v>38400</v>
      </c>
      <c r="N73" s="123">
        <f t="shared" si="16"/>
        <v>441600</v>
      </c>
      <c r="O73" s="128">
        <f t="shared" si="17"/>
        <v>288320</v>
      </c>
      <c r="P73" s="127">
        <f t="shared" si="18"/>
        <v>153280</v>
      </c>
      <c r="Q73" s="123">
        <f t="shared" si="19"/>
        <v>10729.6</v>
      </c>
      <c r="R73" s="124">
        <f t="shared" si="20"/>
        <v>894.13333333333333</v>
      </c>
      <c r="S73" s="125">
        <f t="shared" si="21"/>
        <v>12</v>
      </c>
      <c r="T73" s="129">
        <f t="shared" si="22"/>
        <v>10729.6</v>
      </c>
    </row>
    <row r="74" spans="1:20" ht="18.75">
      <c r="A74" s="256">
        <v>70</v>
      </c>
      <c r="B74" s="257" t="s">
        <v>617</v>
      </c>
      <c r="C74" s="257" t="s">
        <v>618</v>
      </c>
      <c r="D74" s="260"/>
      <c r="E74" s="257" t="s">
        <v>400</v>
      </c>
      <c r="F74" s="257">
        <v>12</v>
      </c>
      <c r="G74" s="292">
        <v>540000</v>
      </c>
      <c r="H74" s="292">
        <v>188800</v>
      </c>
      <c r="I74" s="257">
        <v>100</v>
      </c>
      <c r="J74" s="292">
        <v>13216</v>
      </c>
      <c r="L74" s="123">
        <f t="shared" si="14"/>
        <v>540000</v>
      </c>
      <c r="M74" s="128">
        <f t="shared" si="15"/>
        <v>43200</v>
      </c>
      <c r="N74" s="123">
        <f t="shared" si="16"/>
        <v>496800</v>
      </c>
      <c r="O74" s="128">
        <f t="shared" si="17"/>
        <v>299360</v>
      </c>
      <c r="P74" s="127">
        <f t="shared" si="18"/>
        <v>197440</v>
      </c>
      <c r="Q74" s="123">
        <f t="shared" si="19"/>
        <v>13820.800000000001</v>
      </c>
      <c r="R74" s="124">
        <f t="shared" si="20"/>
        <v>1151.7333333333333</v>
      </c>
      <c r="S74" s="125">
        <f t="shared" si="21"/>
        <v>12</v>
      </c>
      <c r="T74" s="129">
        <f t="shared" si="22"/>
        <v>13820.8</v>
      </c>
    </row>
    <row r="75" spans="1:20" ht="18.75">
      <c r="A75" s="256">
        <v>71</v>
      </c>
      <c r="B75" s="258" t="s">
        <v>620</v>
      </c>
      <c r="C75" s="258" t="s">
        <v>593</v>
      </c>
      <c r="D75" s="259"/>
      <c r="E75" s="258" t="s">
        <v>390</v>
      </c>
      <c r="F75" s="257">
        <v>12</v>
      </c>
      <c r="G75" s="293">
        <v>480000</v>
      </c>
      <c r="H75" s="293">
        <v>145600</v>
      </c>
      <c r="I75" s="258">
        <v>100</v>
      </c>
      <c r="J75" s="293">
        <v>10192</v>
      </c>
      <c r="L75" s="123">
        <f t="shared" si="14"/>
        <v>480000</v>
      </c>
      <c r="M75" s="128">
        <f t="shared" si="15"/>
        <v>38400</v>
      </c>
      <c r="N75" s="123">
        <f t="shared" si="16"/>
        <v>441600</v>
      </c>
      <c r="O75" s="128">
        <f t="shared" si="17"/>
        <v>288320</v>
      </c>
      <c r="P75" s="127">
        <f t="shared" si="18"/>
        <v>153280</v>
      </c>
      <c r="Q75" s="123">
        <f t="shared" si="19"/>
        <v>10729.6</v>
      </c>
      <c r="R75" s="124">
        <f t="shared" si="20"/>
        <v>894.13333333333333</v>
      </c>
      <c r="S75" s="125">
        <f t="shared" si="21"/>
        <v>12</v>
      </c>
      <c r="T75" s="129">
        <f t="shared" si="22"/>
        <v>10729.6</v>
      </c>
    </row>
    <row r="76" spans="1:20" ht="35.25">
      <c r="A76" s="256">
        <v>72</v>
      </c>
      <c r="B76" s="257" t="s">
        <v>620</v>
      </c>
      <c r="C76" s="257" t="s">
        <v>622</v>
      </c>
      <c r="D76" s="257" t="s">
        <v>427</v>
      </c>
      <c r="E76" s="257" t="s">
        <v>623</v>
      </c>
      <c r="F76" s="257">
        <v>12</v>
      </c>
      <c r="G76" s="292">
        <v>1020000</v>
      </c>
      <c r="H76" s="292">
        <v>534400</v>
      </c>
      <c r="I76" s="257">
        <v>100</v>
      </c>
      <c r="J76" s="292">
        <v>46784</v>
      </c>
      <c r="L76" s="123">
        <f t="shared" si="14"/>
        <v>1020000</v>
      </c>
      <c r="M76" s="128">
        <f t="shared" si="15"/>
        <v>81600</v>
      </c>
      <c r="N76" s="123">
        <f t="shared" si="16"/>
        <v>938400</v>
      </c>
      <c r="O76" s="128">
        <f t="shared" si="17"/>
        <v>387680</v>
      </c>
      <c r="P76" s="127">
        <f t="shared" si="18"/>
        <v>550720</v>
      </c>
      <c r="Q76" s="123">
        <f t="shared" si="19"/>
        <v>48579.199999999997</v>
      </c>
      <c r="R76" s="124">
        <f t="shared" si="20"/>
        <v>4048.2666666666664</v>
      </c>
      <c r="S76" s="125">
        <f t="shared" si="21"/>
        <v>12</v>
      </c>
      <c r="T76" s="129">
        <f t="shared" si="22"/>
        <v>48579.199999999997</v>
      </c>
    </row>
    <row r="77" spans="1:20" ht="35.25">
      <c r="A77" s="256">
        <v>73</v>
      </c>
      <c r="B77" s="258" t="s">
        <v>625</v>
      </c>
      <c r="C77" s="258" t="s">
        <v>626</v>
      </c>
      <c r="D77" s="259"/>
      <c r="E77" s="258" t="s">
        <v>400</v>
      </c>
      <c r="F77" s="257">
        <v>12</v>
      </c>
      <c r="G77" s="293">
        <v>540000</v>
      </c>
      <c r="H77" s="293">
        <v>188800</v>
      </c>
      <c r="I77" s="258">
        <v>100</v>
      </c>
      <c r="J77" s="293">
        <v>13216</v>
      </c>
      <c r="L77" s="123">
        <f t="shared" si="14"/>
        <v>540000</v>
      </c>
      <c r="M77" s="128">
        <f t="shared" si="15"/>
        <v>43200</v>
      </c>
      <c r="N77" s="123">
        <f t="shared" si="16"/>
        <v>496800</v>
      </c>
      <c r="O77" s="128">
        <f t="shared" si="17"/>
        <v>299360</v>
      </c>
      <c r="P77" s="127">
        <f t="shared" si="18"/>
        <v>197440</v>
      </c>
      <c r="Q77" s="123">
        <f t="shared" si="19"/>
        <v>13820.800000000001</v>
      </c>
      <c r="R77" s="124">
        <f t="shared" si="20"/>
        <v>1151.7333333333333</v>
      </c>
      <c r="S77" s="125">
        <f t="shared" si="21"/>
        <v>12</v>
      </c>
      <c r="T77" s="129">
        <f t="shared" si="22"/>
        <v>13820.8</v>
      </c>
    </row>
    <row r="78" spans="1:20" ht="35.25">
      <c r="A78" s="256">
        <v>74</v>
      </c>
      <c r="B78" s="257" t="s">
        <v>628</v>
      </c>
      <c r="C78" s="257" t="s">
        <v>629</v>
      </c>
      <c r="D78" s="257" t="s">
        <v>399</v>
      </c>
      <c r="E78" s="257" t="s">
        <v>630</v>
      </c>
      <c r="F78" s="257">
        <v>12</v>
      </c>
      <c r="G78" s="292">
        <v>660000</v>
      </c>
      <c r="H78" s="292">
        <v>275200</v>
      </c>
      <c r="I78" s="257">
        <v>100</v>
      </c>
      <c r="J78" s="292">
        <v>19264</v>
      </c>
      <c r="L78" s="123">
        <f t="shared" si="14"/>
        <v>660000</v>
      </c>
      <c r="M78" s="128">
        <f t="shared" si="15"/>
        <v>52800</v>
      </c>
      <c r="N78" s="123">
        <f t="shared" si="16"/>
        <v>607200</v>
      </c>
      <c r="O78" s="128">
        <f t="shared" si="17"/>
        <v>321440</v>
      </c>
      <c r="P78" s="127">
        <f t="shared" si="18"/>
        <v>285760</v>
      </c>
      <c r="Q78" s="123">
        <f t="shared" si="19"/>
        <v>20003.2</v>
      </c>
      <c r="R78" s="124">
        <f t="shared" si="20"/>
        <v>1666.9333333333334</v>
      </c>
      <c r="S78" s="125">
        <f t="shared" si="21"/>
        <v>12</v>
      </c>
      <c r="T78" s="129">
        <f t="shared" si="22"/>
        <v>20003.2</v>
      </c>
    </row>
    <row r="79" spans="1:20" ht="18.75">
      <c r="A79" s="256">
        <v>75</v>
      </c>
      <c r="B79" s="258" t="s">
        <v>632</v>
      </c>
      <c r="C79" s="258" t="s">
        <v>633</v>
      </c>
      <c r="D79" s="258" t="s">
        <v>634</v>
      </c>
      <c r="E79" s="258" t="s">
        <v>556</v>
      </c>
      <c r="F79" s="257">
        <v>12</v>
      </c>
      <c r="G79" s="293">
        <v>480000</v>
      </c>
      <c r="H79" s="293">
        <v>145600</v>
      </c>
      <c r="I79" s="258">
        <v>100</v>
      </c>
      <c r="J79" s="293">
        <v>10192</v>
      </c>
      <c r="L79" s="123">
        <f t="shared" si="14"/>
        <v>480000</v>
      </c>
      <c r="M79" s="128">
        <f t="shared" si="15"/>
        <v>38400</v>
      </c>
      <c r="N79" s="123">
        <f t="shared" si="16"/>
        <v>441600</v>
      </c>
      <c r="O79" s="128">
        <f t="shared" si="17"/>
        <v>288320</v>
      </c>
      <c r="P79" s="127">
        <f t="shared" si="18"/>
        <v>153280</v>
      </c>
      <c r="Q79" s="123">
        <f t="shared" si="19"/>
        <v>10729.6</v>
      </c>
      <c r="R79" s="124">
        <f t="shared" si="20"/>
        <v>894.13333333333333</v>
      </c>
      <c r="S79" s="125">
        <f t="shared" si="21"/>
        <v>12</v>
      </c>
      <c r="T79" s="129">
        <f t="shared" si="22"/>
        <v>10729.6</v>
      </c>
    </row>
    <row r="80" spans="1:20" ht="18.75">
      <c r="A80" s="256">
        <v>76</v>
      </c>
      <c r="B80" s="257" t="s">
        <v>458</v>
      </c>
      <c r="C80" s="257" t="s">
        <v>636</v>
      </c>
      <c r="D80" s="260"/>
      <c r="E80" s="257" t="s">
        <v>373</v>
      </c>
      <c r="F80" s="257">
        <v>12</v>
      </c>
      <c r="G80" s="292">
        <v>600000</v>
      </c>
      <c r="H80" s="292">
        <v>232000</v>
      </c>
      <c r="I80" s="257">
        <v>100</v>
      </c>
      <c r="J80" s="292">
        <v>16240</v>
      </c>
      <c r="L80" s="123">
        <f t="shared" si="14"/>
        <v>600000</v>
      </c>
      <c r="M80" s="128">
        <f t="shared" si="15"/>
        <v>48000</v>
      </c>
      <c r="N80" s="123">
        <f t="shared" si="16"/>
        <v>552000</v>
      </c>
      <c r="O80" s="128">
        <f t="shared" si="17"/>
        <v>310400</v>
      </c>
      <c r="P80" s="127">
        <f t="shared" si="18"/>
        <v>241600</v>
      </c>
      <c r="Q80" s="123">
        <f t="shared" si="19"/>
        <v>16912</v>
      </c>
      <c r="R80" s="124">
        <f t="shared" si="20"/>
        <v>1409.3333333333333</v>
      </c>
      <c r="S80" s="125">
        <f t="shared" si="21"/>
        <v>12</v>
      </c>
      <c r="T80" s="129">
        <f t="shared" si="22"/>
        <v>16912</v>
      </c>
    </row>
    <row r="81" spans="1:20" ht="18.75">
      <c r="A81" s="256">
        <v>77</v>
      </c>
      <c r="B81" s="258" t="s">
        <v>638</v>
      </c>
      <c r="C81" s="258" t="s">
        <v>639</v>
      </c>
      <c r="D81" s="259"/>
      <c r="E81" s="258" t="s">
        <v>412</v>
      </c>
      <c r="F81" s="257">
        <v>12</v>
      </c>
      <c r="G81" s="293">
        <v>420000</v>
      </c>
      <c r="H81" s="293">
        <v>102400</v>
      </c>
      <c r="I81" s="258">
        <v>100</v>
      </c>
      <c r="J81" s="293">
        <v>7168</v>
      </c>
      <c r="L81" s="123">
        <f t="shared" si="14"/>
        <v>420000</v>
      </c>
      <c r="M81" s="128">
        <f t="shared" si="15"/>
        <v>33600</v>
      </c>
      <c r="N81" s="123">
        <f t="shared" si="16"/>
        <v>386400</v>
      </c>
      <c r="O81" s="128">
        <f t="shared" si="17"/>
        <v>277280</v>
      </c>
      <c r="P81" s="127">
        <f t="shared" si="18"/>
        <v>109120</v>
      </c>
      <c r="Q81" s="123">
        <f t="shared" si="19"/>
        <v>7638.4000000000005</v>
      </c>
      <c r="R81" s="124">
        <f t="shared" si="20"/>
        <v>636.53333333333342</v>
      </c>
      <c r="S81" s="125">
        <f t="shared" si="21"/>
        <v>12</v>
      </c>
      <c r="T81" s="129">
        <f t="shared" si="22"/>
        <v>7638.4000000000015</v>
      </c>
    </row>
    <row r="82" spans="1:20" ht="18.75">
      <c r="A82" s="256">
        <v>78</v>
      </c>
      <c r="B82" s="257" t="s">
        <v>641</v>
      </c>
      <c r="C82" s="257" t="s">
        <v>465</v>
      </c>
      <c r="D82" s="257" t="s">
        <v>642</v>
      </c>
      <c r="E82" s="257" t="s">
        <v>373</v>
      </c>
      <c r="F82" s="257">
        <v>12</v>
      </c>
      <c r="G82" s="292">
        <v>540000</v>
      </c>
      <c r="H82" s="292">
        <v>188800</v>
      </c>
      <c r="I82" s="257">
        <v>100</v>
      </c>
      <c r="J82" s="292">
        <v>13216</v>
      </c>
      <c r="L82" s="123">
        <f t="shared" si="14"/>
        <v>540000</v>
      </c>
      <c r="M82" s="128">
        <f t="shared" si="15"/>
        <v>43200</v>
      </c>
      <c r="N82" s="123">
        <f t="shared" si="16"/>
        <v>496800</v>
      </c>
      <c r="O82" s="128">
        <f t="shared" si="17"/>
        <v>299360</v>
      </c>
      <c r="P82" s="127">
        <f t="shared" si="18"/>
        <v>197440</v>
      </c>
      <c r="Q82" s="123">
        <f t="shared" si="19"/>
        <v>13820.800000000001</v>
      </c>
      <c r="R82" s="124">
        <f t="shared" si="20"/>
        <v>1151.7333333333333</v>
      </c>
      <c r="S82" s="125">
        <f t="shared" si="21"/>
        <v>12</v>
      </c>
      <c r="T82" s="129">
        <f t="shared" si="22"/>
        <v>13820.8</v>
      </c>
    </row>
    <row r="83" spans="1:20" ht="18.75">
      <c r="A83" s="256">
        <v>79</v>
      </c>
      <c r="B83" s="258" t="s">
        <v>644</v>
      </c>
      <c r="C83" s="258" t="s">
        <v>645</v>
      </c>
      <c r="D83" s="259"/>
      <c r="E83" s="258" t="s">
        <v>373</v>
      </c>
      <c r="F83" s="257">
        <v>12</v>
      </c>
      <c r="G83" s="293">
        <v>540000</v>
      </c>
      <c r="H83" s="293">
        <v>188800</v>
      </c>
      <c r="I83" s="258">
        <v>100</v>
      </c>
      <c r="J83" s="293">
        <v>13216</v>
      </c>
      <c r="L83" s="123">
        <f t="shared" si="14"/>
        <v>540000</v>
      </c>
      <c r="M83" s="128">
        <f t="shared" si="15"/>
        <v>43200</v>
      </c>
      <c r="N83" s="123">
        <f t="shared" si="16"/>
        <v>496800</v>
      </c>
      <c r="O83" s="128">
        <f t="shared" si="17"/>
        <v>299360</v>
      </c>
      <c r="P83" s="127">
        <f t="shared" si="18"/>
        <v>197440</v>
      </c>
      <c r="Q83" s="123">
        <f t="shared" si="19"/>
        <v>13820.800000000001</v>
      </c>
      <c r="R83" s="124">
        <f t="shared" si="20"/>
        <v>1151.7333333333333</v>
      </c>
      <c r="S83" s="125">
        <f t="shared" si="21"/>
        <v>12</v>
      </c>
      <c r="T83" s="129">
        <f t="shared" si="22"/>
        <v>13820.8</v>
      </c>
    </row>
    <row r="84" spans="1:20" ht="35.25">
      <c r="A84" s="256">
        <v>80</v>
      </c>
      <c r="B84" s="257" t="s">
        <v>647</v>
      </c>
      <c r="C84" s="257" t="s">
        <v>648</v>
      </c>
      <c r="D84" s="260"/>
      <c r="E84" s="257" t="s">
        <v>649</v>
      </c>
      <c r="F84" s="257">
        <v>12</v>
      </c>
      <c r="G84" s="292">
        <v>480000</v>
      </c>
      <c r="H84" s="292">
        <v>145600</v>
      </c>
      <c r="I84" s="257">
        <v>100</v>
      </c>
      <c r="J84" s="292">
        <v>10192</v>
      </c>
      <c r="L84" s="123">
        <f t="shared" si="14"/>
        <v>480000</v>
      </c>
      <c r="M84" s="128">
        <f t="shared" si="15"/>
        <v>38400</v>
      </c>
      <c r="N84" s="123">
        <f t="shared" si="16"/>
        <v>441600</v>
      </c>
      <c r="O84" s="128">
        <f t="shared" si="17"/>
        <v>288320</v>
      </c>
      <c r="P84" s="127">
        <f t="shared" si="18"/>
        <v>153280</v>
      </c>
      <c r="Q84" s="123">
        <f t="shared" si="19"/>
        <v>10729.6</v>
      </c>
      <c r="R84" s="124">
        <f t="shared" si="20"/>
        <v>894.13333333333333</v>
      </c>
      <c r="S84" s="125">
        <f t="shared" si="21"/>
        <v>12</v>
      </c>
      <c r="T84" s="129">
        <f t="shared" si="22"/>
        <v>10729.6</v>
      </c>
    </row>
    <row r="85" spans="1:20" ht="18.75">
      <c r="A85" s="256">
        <v>81</v>
      </c>
      <c r="B85" s="258" t="s">
        <v>651</v>
      </c>
      <c r="C85" s="258" t="s">
        <v>652</v>
      </c>
      <c r="D85" s="259"/>
      <c r="E85" s="258" t="s">
        <v>382</v>
      </c>
      <c r="F85" s="257">
        <v>12</v>
      </c>
      <c r="G85" s="293">
        <v>420000</v>
      </c>
      <c r="H85" s="293">
        <v>102400</v>
      </c>
      <c r="I85" s="258">
        <v>100</v>
      </c>
      <c r="J85" s="293">
        <v>7168</v>
      </c>
      <c r="L85" s="123">
        <f t="shared" si="14"/>
        <v>420000</v>
      </c>
      <c r="M85" s="128">
        <f t="shared" si="15"/>
        <v>33600</v>
      </c>
      <c r="N85" s="123">
        <f t="shared" si="16"/>
        <v>386400</v>
      </c>
      <c r="O85" s="128">
        <f t="shared" si="17"/>
        <v>277280</v>
      </c>
      <c r="P85" s="127">
        <f t="shared" si="18"/>
        <v>109120</v>
      </c>
      <c r="Q85" s="123">
        <f t="shared" si="19"/>
        <v>7638.4000000000005</v>
      </c>
      <c r="R85" s="124">
        <f t="shared" si="20"/>
        <v>636.53333333333342</v>
      </c>
      <c r="S85" s="125">
        <f t="shared" si="21"/>
        <v>12</v>
      </c>
      <c r="T85" s="129">
        <f t="shared" si="22"/>
        <v>7638.4000000000015</v>
      </c>
    </row>
    <row r="86" spans="1:20" ht="18.75">
      <c r="A86" s="256">
        <v>82</v>
      </c>
      <c r="B86" s="257" t="s">
        <v>654</v>
      </c>
      <c r="C86" s="257" t="s">
        <v>655</v>
      </c>
      <c r="D86" s="257" t="s">
        <v>656</v>
      </c>
      <c r="E86" s="257" t="s">
        <v>657</v>
      </c>
      <c r="F86" s="257">
        <v>12</v>
      </c>
      <c r="G86" s="292">
        <v>420000</v>
      </c>
      <c r="H86" s="292">
        <v>102400</v>
      </c>
      <c r="I86" s="257">
        <v>100</v>
      </c>
      <c r="J86" s="292">
        <v>7168</v>
      </c>
      <c r="L86" s="123">
        <f t="shared" si="14"/>
        <v>420000</v>
      </c>
      <c r="M86" s="128">
        <f t="shared" si="15"/>
        <v>33600</v>
      </c>
      <c r="N86" s="123">
        <f t="shared" si="16"/>
        <v>386400</v>
      </c>
      <c r="O86" s="128">
        <f t="shared" si="17"/>
        <v>277280</v>
      </c>
      <c r="P86" s="127">
        <f t="shared" si="18"/>
        <v>109120</v>
      </c>
      <c r="Q86" s="123">
        <f t="shared" si="19"/>
        <v>7638.4000000000005</v>
      </c>
      <c r="R86" s="124">
        <f t="shared" si="20"/>
        <v>636.53333333333342</v>
      </c>
      <c r="S86" s="125">
        <f t="shared" si="21"/>
        <v>12</v>
      </c>
      <c r="T86" s="129">
        <f t="shared" si="22"/>
        <v>7638.4000000000015</v>
      </c>
    </row>
    <row r="87" spans="1:20" ht="35.25">
      <c r="A87" s="256">
        <v>83</v>
      </c>
      <c r="B87" s="258" t="s">
        <v>659</v>
      </c>
      <c r="C87" s="258" t="s">
        <v>660</v>
      </c>
      <c r="D87" s="259"/>
      <c r="E87" s="258" t="s">
        <v>373</v>
      </c>
      <c r="F87" s="257">
        <v>12</v>
      </c>
      <c r="G87" s="293">
        <v>540000</v>
      </c>
      <c r="H87" s="293">
        <v>188800</v>
      </c>
      <c r="I87" s="258">
        <v>100</v>
      </c>
      <c r="J87" s="293">
        <v>13216</v>
      </c>
      <c r="L87" s="123">
        <f t="shared" si="14"/>
        <v>540000</v>
      </c>
      <c r="M87" s="128">
        <f t="shared" si="15"/>
        <v>43200</v>
      </c>
      <c r="N87" s="123">
        <f t="shared" si="16"/>
        <v>496800</v>
      </c>
      <c r="O87" s="128">
        <f t="shared" si="17"/>
        <v>299360</v>
      </c>
      <c r="P87" s="127">
        <f t="shared" si="18"/>
        <v>197440</v>
      </c>
      <c r="Q87" s="123">
        <f t="shared" si="19"/>
        <v>13820.800000000001</v>
      </c>
      <c r="R87" s="124">
        <f t="shared" si="20"/>
        <v>1151.7333333333333</v>
      </c>
      <c r="S87" s="125">
        <f t="shared" si="21"/>
        <v>12</v>
      </c>
      <c r="T87" s="129">
        <f t="shared" si="22"/>
        <v>13820.8</v>
      </c>
    </row>
    <row r="88" spans="1:20" ht="35.25">
      <c r="A88" s="256">
        <v>84</v>
      </c>
      <c r="B88" s="257" t="s">
        <v>662</v>
      </c>
      <c r="C88" s="257" t="s">
        <v>663</v>
      </c>
      <c r="D88" s="257" t="s">
        <v>664</v>
      </c>
      <c r="E88" s="257" t="s">
        <v>665</v>
      </c>
      <c r="F88" s="257">
        <v>12</v>
      </c>
      <c r="G88" s="292">
        <v>600000</v>
      </c>
      <c r="H88" s="292">
        <v>232000</v>
      </c>
      <c r="I88" s="257">
        <v>100</v>
      </c>
      <c r="J88" s="292">
        <v>16240</v>
      </c>
      <c r="L88" s="123">
        <f t="shared" si="14"/>
        <v>600000</v>
      </c>
      <c r="M88" s="128">
        <f t="shared" si="15"/>
        <v>48000</v>
      </c>
      <c r="N88" s="123">
        <f t="shared" si="16"/>
        <v>552000</v>
      </c>
      <c r="O88" s="128">
        <f t="shared" si="17"/>
        <v>310400</v>
      </c>
      <c r="P88" s="127">
        <f t="shared" si="18"/>
        <v>241600</v>
      </c>
      <c r="Q88" s="123">
        <f t="shared" si="19"/>
        <v>16912</v>
      </c>
      <c r="R88" s="124">
        <f t="shared" si="20"/>
        <v>1409.3333333333333</v>
      </c>
      <c r="S88" s="125">
        <f t="shared" si="21"/>
        <v>12</v>
      </c>
      <c r="T88" s="129">
        <f t="shared" si="22"/>
        <v>16912</v>
      </c>
    </row>
    <row r="89" spans="1:20" ht="18.75">
      <c r="A89" s="256">
        <v>85</v>
      </c>
      <c r="B89" s="258" t="s">
        <v>576</v>
      </c>
      <c r="C89" s="258" t="s">
        <v>449</v>
      </c>
      <c r="D89" s="259"/>
      <c r="E89" s="258" t="s">
        <v>412</v>
      </c>
      <c r="F89" s="257">
        <v>12</v>
      </c>
      <c r="G89" s="293">
        <v>420000</v>
      </c>
      <c r="H89" s="293">
        <v>102400</v>
      </c>
      <c r="I89" s="258">
        <v>100</v>
      </c>
      <c r="J89" s="293">
        <v>7168</v>
      </c>
      <c r="L89" s="123">
        <f t="shared" si="14"/>
        <v>420000</v>
      </c>
      <c r="M89" s="128">
        <f t="shared" si="15"/>
        <v>33600</v>
      </c>
      <c r="N89" s="123">
        <f t="shared" si="16"/>
        <v>386400</v>
      </c>
      <c r="O89" s="128">
        <f t="shared" si="17"/>
        <v>277280</v>
      </c>
      <c r="P89" s="127">
        <f t="shared" si="18"/>
        <v>109120</v>
      </c>
      <c r="Q89" s="123">
        <f t="shared" si="19"/>
        <v>7638.4000000000005</v>
      </c>
      <c r="R89" s="124">
        <f t="shared" si="20"/>
        <v>636.53333333333342</v>
      </c>
      <c r="S89" s="125">
        <f t="shared" si="21"/>
        <v>12</v>
      </c>
      <c r="T89" s="129">
        <f t="shared" si="22"/>
        <v>7638.4000000000015</v>
      </c>
    </row>
    <row r="90" spans="1:20" ht="18.75">
      <c r="A90" s="256">
        <v>86</v>
      </c>
      <c r="B90" s="257" t="s">
        <v>668</v>
      </c>
      <c r="C90" s="257" t="s">
        <v>669</v>
      </c>
      <c r="D90" s="260"/>
      <c r="E90" s="257" t="s">
        <v>507</v>
      </c>
      <c r="F90" s="257">
        <v>12</v>
      </c>
      <c r="G90" s="292">
        <v>420000</v>
      </c>
      <c r="H90" s="292">
        <v>102400</v>
      </c>
      <c r="I90" s="257">
        <v>100</v>
      </c>
      <c r="J90" s="292">
        <v>7168</v>
      </c>
      <c r="L90" s="123">
        <f t="shared" si="14"/>
        <v>420000</v>
      </c>
      <c r="M90" s="128">
        <f t="shared" si="15"/>
        <v>33600</v>
      </c>
      <c r="N90" s="123">
        <f t="shared" si="16"/>
        <v>386400</v>
      </c>
      <c r="O90" s="128">
        <f t="shared" si="17"/>
        <v>277280</v>
      </c>
      <c r="P90" s="127">
        <f t="shared" si="18"/>
        <v>109120</v>
      </c>
      <c r="Q90" s="123">
        <f t="shared" si="19"/>
        <v>7638.4000000000005</v>
      </c>
      <c r="R90" s="124">
        <f t="shared" si="20"/>
        <v>636.53333333333342</v>
      </c>
      <c r="S90" s="125">
        <f t="shared" si="21"/>
        <v>12</v>
      </c>
      <c r="T90" s="129">
        <f t="shared" si="22"/>
        <v>7638.4000000000015</v>
      </c>
    </row>
    <row r="91" spans="1:20" ht="35.25">
      <c r="A91" s="256">
        <v>87</v>
      </c>
      <c r="B91" s="258" t="s">
        <v>671</v>
      </c>
      <c r="C91" s="258" t="s">
        <v>672</v>
      </c>
      <c r="D91" s="259"/>
      <c r="E91" s="258" t="s">
        <v>477</v>
      </c>
      <c r="F91" s="257">
        <v>12</v>
      </c>
      <c r="G91" s="293">
        <v>420000</v>
      </c>
      <c r="H91" s="293">
        <v>102400</v>
      </c>
      <c r="I91" s="258">
        <v>100</v>
      </c>
      <c r="J91" s="293">
        <v>7168</v>
      </c>
      <c r="L91" s="123">
        <f t="shared" si="14"/>
        <v>420000</v>
      </c>
      <c r="M91" s="128">
        <f t="shared" si="15"/>
        <v>33600</v>
      </c>
      <c r="N91" s="123">
        <f t="shared" si="16"/>
        <v>386400</v>
      </c>
      <c r="O91" s="128">
        <f t="shared" si="17"/>
        <v>277280</v>
      </c>
      <c r="P91" s="127">
        <f t="shared" si="18"/>
        <v>109120</v>
      </c>
      <c r="Q91" s="123">
        <f t="shared" si="19"/>
        <v>7638.4000000000005</v>
      </c>
      <c r="R91" s="124">
        <f t="shared" si="20"/>
        <v>636.53333333333342</v>
      </c>
      <c r="S91" s="125">
        <f t="shared" si="21"/>
        <v>12</v>
      </c>
      <c r="T91" s="129">
        <f t="shared" si="22"/>
        <v>7638.4000000000015</v>
      </c>
    </row>
    <row r="92" spans="1:20" ht="18.75">
      <c r="A92" s="256">
        <v>88</v>
      </c>
      <c r="B92" s="257" t="s">
        <v>674</v>
      </c>
      <c r="C92" s="257" t="s">
        <v>675</v>
      </c>
      <c r="D92" s="260"/>
      <c r="E92" s="257" t="s">
        <v>390</v>
      </c>
      <c r="F92" s="257">
        <v>12</v>
      </c>
      <c r="G92" s="292">
        <v>480000</v>
      </c>
      <c r="H92" s="292">
        <v>145600</v>
      </c>
      <c r="I92" s="257">
        <v>100</v>
      </c>
      <c r="J92" s="292">
        <v>10192</v>
      </c>
      <c r="L92" s="123">
        <f t="shared" si="14"/>
        <v>480000</v>
      </c>
      <c r="M92" s="128">
        <f t="shared" si="15"/>
        <v>38400</v>
      </c>
      <c r="N92" s="123">
        <f t="shared" si="16"/>
        <v>441600</v>
      </c>
      <c r="O92" s="128">
        <f t="shared" si="17"/>
        <v>288320</v>
      </c>
      <c r="P92" s="127">
        <f t="shared" si="18"/>
        <v>153280</v>
      </c>
      <c r="Q92" s="123">
        <f t="shared" si="19"/>
        <v>10729.6</v>
      </c>
      <c r="R92" s="124">
        <f t="shared" si="20"/>
        <v>894.13333333333333</v>
      </c>
      <c r="S92" s="125">
        <f t="shared" si="21"/>
        <v>12</v>
      </c>
      <c r="T92" s="129">
        <f t="shared" si="22"/>
        <v>10729.6</v>
      </c>
    </row>
    <row r="93" spans="1:20" ht="18.75">
      <c r="A93" s="256">
        <v>89</v>
      </c>
      <c r="B93" s="258" t="s">
        <v>677</v>
      </c>
      <c r="C93" s="258" t="s">
        <v>678</v>
      </c>
      <c r="D93" s="259"/>
      <c r="E93" s="258" t="s">
        <v>390</v>
      </c>
      <c r="F93" s="257">
        <v>12</v>
      </c>
      <c r="G93" s="293">
        <v>480000</v>
      </c>
      <c r="H93" s="293">
        <v>145600</v>
      </c>
      <c r="I93" s="258">
        <v>100</v>
      </c>
      <c r="J93" s="293">
        <v>10192</v>
      </c>
      <c r="L93" s="123">
        <f t="shared" si="14"/>
        <v>480000</v>
      </c>
      <c r="M93" s="128">
        <f t="shared" si="15"/>
        <v>38400</v>
      </c>
      <c r="N93" s="123">
        <f t="shared" si="16"/>
        <v>441600</v>
      </c>
      <c r="O93" s="128">
        <f t="shared" si="17"/>
        <v>288320</v>
      </c>
      <c r="P93" s="127">
        <f t="shared" si="18"/>
        <v>153280</v>
      </c>
      <c r="Q93" s="123">
        <f t="shared" si="19"/>
        <v>10729.6</v>
      </c>
      <c r="R93" s="124">
        <f t="shared" si="20"/>
        <v>894.13333333333333</v>
      </c>
      <c r="S93" s="125">
        <f t="shared" si="21"/>
        <v>12</v>
      </c>
      <c r="T93" s="129">
        <f t="shared" si="22"/>
        <v>10729.6</v>
      </c>
    </row>
    <row r="94" spans="1:20" ht="18.75">
      <c r="A94" s="256">
        <v>90</v>
      </c>
      <c r="B94" s="257" t="s">
        <v>680</v>
      </c>
      <c r="C94" s="257" t="s">
        <v>681</v>
      </c>
      <c r="D94" s="257" t="s">
        <v>682</v>
      </c>
      <c r="E94" s="257" t="s">
        <v>373</v>
      </c>
      <c r="F94" s="257">
        <v>12</v>
      </c>
      <c r="G94" s="292">
        <v>540000</v>
      </c>
      <c r="H94" s="292">
        <v>188800</v>
      </c>
      <c r="I94" s="257">
        <v>100</v>
      </c>
      <c r="J94" s="292">
        <v>13216</v>
      </c>
      <c r="L94" s="123">
        <f t="shared" si="14"/>
        <v>540000</v>
      </c>
      <c r="M94" s="128">
        <f t="shared" si="15"/>
        <v>43200</v>
      </c>
      <c r="N94" s="123">
        <f t="shared" si="16"/>
        <v>496800</v>
      </c>
      <c r="O94" s="128">
        <f t="shared" si="17"/>
        <v>299360</v>
      </c>
      <c r="P94" s="127">
        <f t="shared" si="18"/>
        <v>197440</v>
      </c>
      <c r="Q94" s="123">
        <f t="shared" si="19"/>
        <v>13820.800000000001</v>
      </c>
      <c r="R94" s="124">
        <f t="shared" si="20"/>
        <v>1151.7333333333333</v>
      </c>
      <c r="S94" s="125">
        <f t="shared" si="21"/>
        <v>12</v>
      </c>
      <c r="T94" s="129">
        <f t="shared" si="22"/>
        <v>13820.8</v>
      </c>
    </row>
    <row r="95" spans="1:20" ht="18.75">
      <c r="A95" s="256">
        <v>91</v>
      </c>
      <c r="B95" s="258" t="s">
        <v>684</v>
      </c>
      <c r="C95" s="258" t="s">
        <v>685</v>
      </c>
      <c r="D95" s="258" t="s">
        <v>686</v>
      </c>
      <c r="E95" s="258" t="s">
        <v>412</v>
      </c>
      <c r="F95" s="257">
        <v>12</v>
      </c>
      <c r="G95" s="293">
        <v>420000</v>
      </c>
      <c r="H95" s="293">
        <v>102400</v>
      </c>
      <c r="I95" s="258">
        <v>100</v>
      </c>
      <c r="J95" s="293">
        <v>7168</v>
      </c>
      <c r="L95" s="123">
        <f t="shared" si="14"/>
        <v>420000</v>
      </c>
      <c r="M95" s="128">
        <f t="shared" si="15"/>
        <v>33600</v>
      </c>
      <c r="N95" s="123">
        <f t="shared" si="16"/>
        <v>386400</v>
      </c>
      <c r="O95" s="128">
        <f t="shared" si="17"/>
        <v>277280</v>
      </c>
      <c r="P95" s="127">
        <f t="shared" si="18"/>
        <v>109120</v>
      </c>
      <c r="Q95" s="123">
        <f t="shared" si="19"/>
        <v>7638.4000000000005</v>
      </c>
      <c r="R95" s="124">
        <f t="shared" si="20"/>
        <v>636.53333333333342</v>
      </c>
      <c r="S95" s="125">
        <f t="shared" si="21"/>
        <v>12</v>
      </c>
      <c r="T95" s="129">
        <f t="shared" si="22"/>
        <v>7638.4000000000015</v>
      </c>
    </row>
    <row r="96" spans="1:20" ht="18.75">
      <c r="A96" s="256">
        <v>92</v>
      </c>
      <c r="B96" s="257" t="s">
        <v>688</v>
      </c>
      <c r="C96" s="257" t="s">
        <v>689</v>
      </c>
      <c r="D96" s="257" t="s">
        <v>690</v>
      </c>
      <c r="E96" s="257" t="s">
        <v>390</v>
      </c>
      <c r="F96" s="257">
        <v>12</v>
      </c>
      <c r="G96" s="292">
        <v>480000</v>
      </c>
      <c r="H96" s="292">
        <v>145600</v>
      </c>
      <c r="I96" s="257">
        <v>100</v>
      </c>
      <c r="J96" s="292">
        <v>10192</v>
      </c>
      <c r="L96" s="123">
        <f t="shared" si="14"/>
        <v>480000</v>
      </c>
      <c r="M96" s="128">
        <f t="shared" si="15"/>
        <v>38400</v>
      </c>
      <c r="N96" s="123">
        <f t="shared" si="16"/>
        <v>441600</v>
      </c>
      <c r="O96" s="128">
        <f t="shared" si="17"/>
        <v>288320</v>
      </c>
      <c r="P96" s="127">
        <f t="shared" si="18"/>
        <v>153280</v>
      </c>
      <c r="Q96" s="123">
        <f t="shared" si="19"/>
        <v>10729.6</v>
      </c>
      <c r="R96" s="124">
        <f t="shared" si="20"/>
        <v>894.13333333333333</v>
      </c>
      <c r="S96" s="125">
        <f t="shared" si="21"/>
        <v>12</v>
      </c>
      <c r="T96" s="129">
        <f t="shared" si="22"/>
        <v>10729.6</v>
      </c>
    </row>
    <row r="97" spans="1:20" ht="35.25">
      <c r="A97" s="256">
        <v>93</v>
      </c>
      <c r="B97" s="258" t="s">
        <v>692</v>
      </c>
      <c r="C97" s="258" t="s">
        <v>693</v>
      </c>
      <c r="D97" s="258" t="s">
        <v>694</v>
      </c>
      <c r="E97" s="258" t="s">
        <v>630</v>
      </c>
      <c r="F97" s="257">
        <v>12</v>
      </c>
      <c r="G97" s="293">
        <v>600000</v>
      </c>
      <c r="H97" s="293">
        <v>232000</v>
      </c>
      <c r="I97" s="258">
        <v>100</v>
      </c>
      <c r="J97" s="293">
        <v>16240</v>
      </c>
      <c r="L97" s="123">
        <f t="shared" si="14"/>
        <v>600000</v>
      </c>
      <c r="M97" s="128">
        <f t="shared" si="15"/>
        <v>48000</v>
      </c>
      <c r="N97" s="123">
        <f t="shared" si="16"/>
        <v>552000</v>
      </c>
      <c r="O97" s="128">
        <f t="shared" si="17"/>
        <v>310400</v>
      </c>
      <c r="P97" s="127">
        <f t="shared" si="18"/>
        <v>241600</v>
      </c>
      <c r="Q97" s="123">
        <f t="shared" si="19"/>
        <v>16912</v>
      </c>
      <c r="R97" s="124">
        <f t="shared" si="20"/>
        <v>1409.3333333333333</v>
      </c>
      <c r="S97" s="125">
        <f t="shared" si="21"/>
        <v>12</v>
      </c>
      <c r="T97" s="129">
        <f t="shared" si="22"/>
        <v>16912</v>
      </c>
    </row>
    <row r="98" spans="1:20" ht="18.75">
      <c r="A98" s="256">
        <v>94</v>
      </c>
      <c r="B98" s="257" t="s">
        <v>696</v>
      </c>
      <c r="C98" s="257" t="s">
        <v>697</v>
      </c>
      <c r="D98" s="260"/>
      <c r="E98" s="257" t="s">
        <v>698</v>
      </c>
      <c r="F98" s="257">
        <v>12</v>
      </c>
      <c r="G98" s="292">
        <v>540000</v>
      </c>
      <c r="H98" s="292">
        <v>188800</v>
      </c>
      <c r="I98" s="257">
        <v>100</v>
      </c>
      <c r="J98" s="292">
        <v>13216</v>
      </c>
      <c r="L98" s="123">
        <f t="shared" si="14"/>
        <v>540000</v>
      </c>
      <c r="M98" s="128">
        <f t="shared" si="15"/>
        <v>43200</v>
      </c>
      <c r="N98" s="123">
        <f t="shared" si="16"/>
        <v>496800</v>
      </c>
      <c r="O98" s="128">
        <f t="shared" si="17"/>
        <v>299360</v>
      </c>
      <c r="P98" s="127">
        <f t="shared" si="18"/>
        <v>197440</v>
      </c>
      <c r="Q98" s="123">
        <f t="shared" si="19"/>
        <v>13820.800000000001</v>
      </c>
      <c r="R98" s="124">
        <f t="shared" si="20"/>
        <v>1151.7333333333333</v>
      </c>
      <c r="S98" s="125">
        <f t="shared" si="21"/>
        <v>12</v>
      </c>
      <c r="T98" s="129">
        <f t="shared" si="22"/>
        <v>13820.8</v>
      </c>
    </row>
    <row r="99" spans="1:20" ht="18.75">
      <c r="A99" s="256">
        <v>95</v>
      </c>
      <c r="B99" s="258" t="s">
        <v>700</v>
      </c>
      <c r="C99" s="258" t="s">
        <v>701</v>
      </c>
      <c r="D99" s="259"/>
      <c r="E99" s="258" t="s">
        <v>702</v>
      </c>
      <c r="F99" s="257">
        <v>12</v>
      </c>
      <c r="G99" s="293">
        <v>720000</v>
      </c>
      <c r="H99" s="293">
        <v>318400</v>
      </c>
      <c r="I99" s="258">
        <v>100</v>
      </c>
      <c r="J99" s="293">
        <v>23024</v>
      </c>
      <c r="L99" s="123">
        <f t="shared" si="14"/>
        <v>720000</v>
      </c>
      <c r="M99" s="128">
        <f t="shared" si="15"/>
        <v>57600</v>
      </c>
      <c r="N99" s="123">
        <f t="shared" si="16"/>
        <v>662400</v>
      </c>
      <c r="O99" s="128">
        <f t="shared" si="17"/>
        <v>332480</v>
      </c>
      <c r="P99" s="127">
        <f t="shared" si="18"/>
        <v>329920</v>
      </c>
      <c r="Q99" s="123">
        <f t="shared" si="19"/>
        <v>24291.200000000001</v>
      </c>
      <c r="R99" s="124">
        <f t="shared" si="20"/>
        <v>2024.2666666666667</v>
      </c>
      <c r="S99" s="125">
        <f t="shared" si="21"/>
        <v>12</v>
      </c>
      <c r="T99" s="129">
        <f t="shared" si="22"/>
        <v>24291.200000000001</v>
      </c>
    </row>
    <row r="100" spans="1:20" ht="35.25">
      <c r="A100" s="256">
        <v>96</v>
      </c>
      <c r="B100" s="257" t="s">
        <v>704</v>
      </c>
      <c r="C100" s="257" t="s">
        <v>705</v>
      </c>
      <c r="D100" s="260"/>
      <c r="E100" s="257" t="s">
        <v>623</v>
      </c>
      <c r="F100" s="257">
        <v>12</v>
      </c>
      <c r="G100" s="292">
        <v>1260000</v>
      </c>
      <c r="H100" s="292">
        <v>707200</v>
      </c>
      <c r="I100" s="257">
        <v>100</v>
      </c>
      <c r="J100" s="292">
        <v>70080</v>
      </c>
      <c r="L100" s="123">
        <f t="shared" si="14"/>
        <v>1260000</v>
      </c>
      <c r="M100" s="128">
        <f t="shared" si="15"/>
        <v>100800</v>
      </c>
      <c r="N100" s="123">
        <f t="shared" si="16"/>
        <v>1159200</v>
      </c>
      <c r="O100" s="128">
        <f t="shared" si="17"/>
        <v>431840</v>
      </c>
      <c r="P100" s="127">
        <f t="shared" si="18"/>
        <v>727360</v>
      </c>
      <c r="Q100" s="123">
        <f t="shared" si="19"/>
        <v>73104</v>
      </c>
      <c r="R100" s="124">
        <f t="shared" si="20"/>
        <v>6092</v>
      </c>
      <c r="S100" s="125">
        <f t="shared" si="21"/>
        <v>12</v>
      </c>
      <c r="T100" s="129">
        <f t="shared" si="22"/>
        <v>73104</v>
      </c>
    </row>
    <row r="101" spans="1:20" ht="18.75">
      <c r="A101" s="256">
        <v>97</v>
      </c>
      <c r="B101" s="258" t="s">
        <v>707</v>
      </c>
      <c r="C101" s="258" t="s">
        <v>708</v>
      </c>
      <c r="D101" s="258" t="s">
        <v>675</v>
      </c>
      <c r="E101" s="258" t="s">
        <v>709</v>
      </c>
      <c r="F101" s="257">
        <v>12</v>
      </c>
      <c r="G101" s="293">
        <v>420000</v>
      </c>
      <c r="H101" s="293">
        <v>102400</v>
      </c>
      <c r="I101" s="258">
        <v>100</v>
      </c>
      <c r="J101" s="293">
        <v>7168</v>
      </c>
      <c r="L101" s="123">
        <f t="shared" si="14"/>
        <v>420000</v>
      </c>
      <c r="M101" s="128">
        <f t="shared" si="15"/>
        <v>33600</v>
      </c>
      <c r="N101" s="123">
        <f t="shared" si="16"/>
        <v>386400</v>
      </c>
      <c r="O101" s="128">
        <f t="shared" si="17"/>
        <v>277280</v>
      </c>
      <c r="P101" s="127">
        <f t="shared" si="18"/>
        <v>109120</v>
      </c>
      <c r="Q101" s="123">
        <f t="shared" si="19"/>
        <v>7638.4000000000005</v>
      </c>
      <c r="R101" s="124">
        <f t="shared" si="20"/>
        <v>636.53333333333342</v>
      </c>
      <c r="S101" s="125">
        <f t="shared" si="21"/>
        <v>12</v>
      </c>
      <c r="T101" s="129">
        <f t="shared" si="22"/>
        <v>7638.4000000000015</v>
      </c>
    </row>
    <row r="102" spans="1:20" ht="18.75">
      <c r="A102" s="256">
        <v>98</v>
      </c>
      <c r="B102" s="257" t="s">
        <v>711</v>
      </c>
      <c r="C102" s="257" t="s">
        <v>712</v>
      </c>
      <c r="D102" s="260"/>
      <c r="E102" s="257" t="s">
        <v>709</v>
      </c>
      <c r="F102" s="257">
        <v>12</v>
      </c>
      <c r="G102" s="292">
        <v>420000</v>
      </c>
      <c r="H102" s="292">
        <v>102400</v>
      </c>
      <c r="I102" s="257">
        <v>100</v>
      </c>
      <c r="J102" s="292">
        <v>7168</v>
      </c>
      <c r="L102" s="123">
        <f t="shared" si="14"/>
        <v>420000</v>
      </c>
      <c r="M102" s="128">
        <f t="shared" si="15"/>
        <v>33600</v>
      </c>
      <c r="N102" s="123">
        <f t="shared" si="16"/>
        <v>386400</v>
      </c>
      <c r="O102" s="128">
        <f t="shared" si="17"/>
        <v>277280</v>
      </c>
      <c r="P102" s="127">
        <f t="shared" si="18"/>
        <v>109120</v>
      </c>
      <c r="Q102" s="123">
        <f t="shared" si="19"/>
        <v>7638.4000000000005</v>
      </c>
      <c r="R102" s="124">
        <f t="shared" si="20"/>
        <v>636.53333333333342</v>
      </c>
      <c r="S102" s="125">
        <f t="shared" si="21"/>
        <v>12</v>
      </c>
      <c r="T102" s="129">
        <f t="shared" si="22"/>
        <v>7638.4000000000015</v>
      </c>
    </row>
    <row r="103" spans="1:20" ht="18.75">
      <c r="A103" s="256">
        <v>99</v>
      </c>
      <c r="B103" s="258" t="s">
        <v>714</v>
      </c>
      <c r="C103" s="258" t="s">
        <v>715</v>
      </c>
      <c r="D103" s="258" t="s">
        <v>460</v>
      </c>
      <c r="E103" s="258" t="s">
        <v>373</v>
      </c>
      <c r="F103" s="257">
        <v>12</v>
      </c>
      <c r="G103" s="293">
        <v>540000</v>
      </c>
      <c r="H103" s="293">
        <v>188800</v>
      </c>
      <c r="I103" s="258">
        <v>100</v>
      </c>
      <c r="J103" s="293">
        <v>13216</v>
      </c>
      <c r="L103" s="123">
        <f t="shared" si="14"/>
        <v>540000</v>
      </c>
      <c r="M103" s="128">
        <f t="shared" si="15"/>
        <v>43200</v>
      </c>
      <c r="N103" s="123">
        <f t="shared" si="16"/>
        <v>496800</v>
      </c>
      <c r="O103" s="128">
        <f t="shared" si="17"/>
        <v>299360</v>
      </c>
      <c r="P103" s="127">
        <f t="shared" si="18"/>
        <v>197440</v>
      </c>
      <c r="Q103" s="123">
        <f t="shared" si="19"/>
        <v>13820.800000000001</v>
      </c>
      <c r="R103" s="124">
        <f t="shared" si="20"/>
        <v>1151.7333333333333</v>
      </c>
      <c r="S103" s="125">
        <f t="shared" si="21"/>
        <v>12</v>
      </c>
      <c r="T103" s="129">
        <f t="shared" si="22"/>
        <v>13820.8</v>
      </c>
    </row>
    <row r="104" spans="1:20" ht="35.25">
      <c r="A104" s="256">
        <v>100</v>
      </c>
      <c r="B104" s="257" t="s">
        <v>415</v>
      </c>
      <c r="C104" s="257" t="s">
        <v>717</v>
      </c>
      <c r="D104" s="257" t="s">
        <v>718</v>
      </c>
      <c r="E104" s="257" t="s">
        <v>719</v>
      </c>
      <c r="F104" s="257">
        <v>12</v>
      </c>
      <c r="G104" s="292">
        <v>480000</v>
      </c>
      <c r="H104" s="292">
        <v>145600</v>
      </c>
      <c r="I104" s="257">
        <v>100</v>
      </c>
      <c r="J104" s="292">
        <v>10192</v>
      </c>
      <c r="L104" s="123">
        <f t="shared" si="14"/>
        <v>480000</v>
      </c>
      <c r="M104" s="128">
        <f t="shared" si="15"/>
        <v>38400</v>
      </c>
      <c r="N104" s="123">
        <f t="shared" si="16"/>
        <v>441600</v>
      </c>
      <c r="O104" s="128">
        <f t="shared" si="17"/>
        <v>288320</v>
      </c>
      <c r="P104" s="127">
        <f t="shared" si="18"/>
        <v>153280</v>
      </c>
      <c r="Q104" s="123">
        <f t="shared" si="19"/>
        <v>10729.6</v>
      </c>
      <c r="R104" s="124">
        <f t="shared" si="20"/>
        <v>894.13333333333333</v>
      </c>
      <c r="S104" s="125">
        <f t="shared" si="21"/>
        <v>12</v>
      </c>
      <c r="T104" s="129">
        <f t="shared" si="22"/>
        <v>10729.6</v>
      </c>
    </row>
    <row r="105" spans="1:20" ht="18.75">
      <c r="A105" s="256">
        <v>101</v>
      </c>
      <c r="B105" s="258" t="s">
        <v>721</v>
      </c>
      <c r="C105" s="258" t="s">
        <v>542</v>
      </c>
      <c r="D105" s="259"/>
      <c r="E105" s="258" t="s">
        <v>373</v>
      </c>
      <c r="F105" s="257">
        <v>12</v>
      </c>
      <c r="G105" s="293">
        <v>540000</v>
      </c>
      <c r="H105" s="293">
        <v>188800</v>
      </c>
      <c r="I105" s="258">
        <v>100</v>
      </c>
      <c r="J105" s="293">
        <v>13216</v>
      </c>
      <c r="L105" s="123">
        <f t="shared" si="14"/>
        <v>540000</v>
      </c>
      <c r="M105" s="128">
        <f t="shared" si="15"/>
        <v>43200</v>
      </c>
      <c r="N105" s="123">
        <f t="shared" si="16"/>
        <v>496800</v>
      </c>
      <c r="O105" s="128">
        <f t="shared" si="17"/>
        <v>299360</v>
      </c>
      <c r="P105" s="127">
        <f t="shared" si="18"/>
        <v>197440</v>
      </c>
      <c r="Q105" s="123">
        <f t="shared" si="19"/>
        <v>13820.800000000001</v>
      </c>
      <c r="R105" s="124">
        <f t="shared" si="20"/>
        <v>1151.7333333333333</v>
      </c>
      <c r="S105" s="125">
        <f t="shared" si="21"/>
        <v>12</v>
      </c>
      <c r="T105" s="129">
        <f t="shared" si="22"/>
        <v>13820.8</v>
      </c>
    </row>
    <row r="106" spans="1:20" ht="35.25">
      <c r="A106" s="256">
        <v>102</v>
      </c>
      <c r="B106" s="257" t="s">
        <v>723</v>
      </c>
      <c r="C106" s="257" t="s">
        <v>724</v>
      </c>
      <c r="D106" s="260"/>
      <c r="E106" s="257" t="s">
        <v>725</v>
      </c>
      <c r="F106" s="257">
        <v>12</v>
      </c>
      <c r="G106" s="292">
        <v>720000</v>
      </c>
      <c r="H106" s="292">
        <v>318400</v>
      </c>
      <c r="I106" s="257">
        <v>100</v>
      </c>
      <c r="J106" s="292">
        <v>23024</v>
      </c>
      <c r="L106" s="123">
        <f t="shared" si="14"/>
        <v>720000</v>
      </c>
      <c r="M106" s="128">
        <f t="shared" si="15"/>
        <v>57600</v>
      </c>
      <c r="N106" s="123">
        <f t="shared" si="16"/>
        <v>662400</v>
      </c>
      <c r="O106" s="128">
        <f t="shared" si="17"/>
        <v>332480</v>
      </c>
      <c r="P106" s="127">
        <f t="shared" si="18"/>
        <v>329920</v>
      </c>
      <c r="Q106" s="123">
        <f t="shared" si="19"/>
        <v>24291.200000000001</v>
      </c>
      <c r="R106" s="124">
        <f t="shared" si="20"/>
        <v>2024.2666666666667</v>
      </c>
      <c r="S106" s="125">
        <f t="shared" si="21"/>
        <v>12</v>
      </c>
      <c r="T106" s="129">
        <f t="shared" si="22"/>
        <v>24291.200000000001</v>
      </c>
    </row>
    <row r="107" spans="1:20" ht="18.75">
      <c r="A107" s="256">
        <v>103</v>
      </c>
      <c r="B107" s="258" t="s">
        <v>642</v>
      </c>
      <c r="C107" s="258" t="s">
        <v>727</v>
      </c>
      <c r="D107" s="259"/>
      <c r="E107" s="258" t="s">
        <v>373</v>
      </c>
      <c r="F107" s="257">
        <v>12</v>
      </c>
      <c r="G107" s="293">
        <v>540000</v>
      </c>
      <c r="H107" s="293">
        <v>188800</v>
      </c>
      <c r="I107" s="258">
        <v>100</v>
      </c>
      <c r="J107" s="293">
        <v>13216</v>
      </c>
      <c r="L107" s="123">
        <f t="shared" si="14"/>
        <v>540000</v>
      </c>
      <c r="M107" s="128">
        <f t="shared" si="15"/>
        <v>43200</v>
      </c>
      <c r="N107" s="123">
        <f t="shared" si="16"/>
        <v>496800</v>
      </c>
      <c r="O107" s="128">
        <f t="shared" si="17"/>
        <v>299360</v>
      </c>
      <c r="P107" s="127">
        <f t="shared" si="18"/>
        <v>197440</v>
      </c>
      <c r="Q107" s="123">
        <f t="shared" si="19"/>
        <v>13820.800000000001</v>
      </c>
      <c r="R107" s="124">
        <f t="shared" si="20"/>
        <v>1151.7333333333333</v>
      </c>
      <c r="S107" s="125">
        <f t="shared" si="21"/>
        <v>12</v>
      </c>
      <c r="T107" s="129">
        <f t="shared" si="22"/>
        <v>13820.8</v>
      </c>
    </row>
    <row r="108" spans="1:20" ht="18.75">
      <c r="A108" s="256">
        <v>104</v>
      </c>
      <c r="B108" s="257" t="s">
        <v>531</v>
      </c>
      <c r="C108" s="257" t="s">
        <v>729</v>
      </c>
      <c r="D108" s="260"/>
      <c r="E108" s="257" t="s">
        <v>709</v>
      </c>
      <c r="F108" s="257">
        <v>12</v>
      </c>
      <c r="G108" s="292">
        <v>420000</v>
      </c>
      <c r="H108" s="292">
        <v>102400</v>
      </c>
      <c r="I108" s="257">
        <v>100</v>
      </c>
      <c r="J108" s="292">
        <v>7168</v>
      </c>
      <c r="L108" s="123">
        <f t="shared" si="14"/>
        <v>420000</v>
      </c>
      <c r="M108" s="128">
        <f t="shared" si="15"/>
        <v>33600</v>
      </c>
      <c r="N108" s="123">
        <f t="shared" si="16"/>
        <v>386400</v>
      </c>
      <c r="O108" s="128">
        <f t="shared" si="17"/>
        <v>277280</v>
      </c>
      <c r="P108" s="127">
        <f t="shared" si="18"/>
        <v>109120</v>
      </c>
      <c r="Q108" s="123">
        <f t="shared" si="19"/>
        <v>7638.4000000000005</v>
      </c>
      <c r="R108" s="124">
        <f t="shared" si="20"/>
        <v>636.53333333333342</v>
      </c>
      <c r="S108" s="125">
        <f t="shared" si="21"/>
        <v>12</v>
      </c>
      <c r="T108" s="129">
        <f t="shared" si="22"/>
        <v>7638.4000000000015</v>
      </c>
    </row>
    <row r="109" spans="1:20" ht="18.75">
      <c r="A109" s="256">
        <v>105</v>
      </c>
      <c r="B109" s="258" t="s">
        <v>731</v>
      </c>
      <c r="C109" s="258" t="s">
        <v>732</v>
      </c>
      <c r="D109" s="259"/>
      <c r="E109" s="258" t="s">
        <v>400</v>
      </c>
      <c r="F109" s="257">
        <v>12</v>
      </c>
      <c r="G109" s="293">
        <v>540000</v>
      </c>
      <c r="H109" s="293">
        <v>188800</v>
      </c>
      <c r="I109" s="258">
        <v>100</v>
      </c>
      <c r="J109" s="293">
        <v>13216</v>
      </c>
      <c r="L109" s="123">
        <f t="shared" si="14"/>
        <v>540000</v>
      </c>
      <c r="M109" s="128">
        <f t="shared" si="15"/>
        <v>43200</v>
      </c>
      <c r="N109" s="123">
        <f t="shared" si="16"/>
        <v>496800</v>
      </c>
      <c r="O109" s="128">
        <f t="shared" si="17"/>
        <v>299360</v>
      </c>
      <c r="P109" s="127">
        <f t="shared" si="18"/>
        <v>197440</v>
      </c>
      <c r="Q109" s="123">
        <f t="shared" si="19"/>
        <v>13820.800000000001</v>
      </c>
      <c r="R109" s="124">
        <f t="shared" si="20"/>
        <v>1151.7333333333333</v>
      </c>
      <c r="S109" s="125">
        <f t="shared" si="21"/>
        <v>12</v>
      </c>
      <c r="T109" s="129">
        <f t="shared" si="22"/>
        <v>13820.8</v>
      </c>
    </row>
    <row r="110" spans="1:20" ht="18.75">
      <c r="A110" s="256">
        <v>106</v>
      </c>
      <c r="B110" s="257" t="s">
        <v>734</v>
      </c>
      <c r="C110" s="257" t="s">
        <v>735</v>
      </c>
      <c r="D110" s="257" t="s">
        <v>736</v>
      </c>
      <c r="E110" s="257" t="s">
        <v>373</v>
      </c>
      <c r="F110" s="257">
        <v>12</v>
      </c>
      <c r="G110" s="292">
        <v>600000</v>
      </c>
      <c r="H110" s="292">
        <v>232000</v>
      </c>
      <c r="I110" s="257">
        <v>100</v>
      </c>
      <c r="J110" s="292">
        <v>16240</v>
      </c>
      <c r="L110" s="123">
        <f t="shared" si="14"/>
        <v>600000</v>
      </c>
      <c r="M110" s="128">
        <f t="shared" si="15"/>
        <v>48000</v>
      </c>
      <c r="N110" s="123">
        <f t="shared" si="16"/>
        <v>552000</v>
      </c>
      <c r="O110" s="128">
        <f t="shared" si="17"/>
        <v>310400</v>
      </c>
      <c r="P110" s="127">
        <f t="shared" si="18"/>
        <v>241600</v>
      </c>
      <c r="Q110" s="123">
        <f t="shared" si="19"/>
        <v>16912</v>
      </c>
      <c r="R110" s="124">
        <f t="shared" si="20"/>
        <v>1409.3333333333333</v>
      </c>
      <c r="S110" s="125">
        <f t="shared" si="21"/>
        <v>12</v>
      </c>
      <c r="T110" s="129">
        <f t="shared" si="22"/>
        <v>16912</v>
      </c>
    </row>
    <row r="111" spans="1:20" ht="35.25">
      <c r="A111" s="256">
        <v>107</v>
      </c>
      <c r="B111" s="258" t="s">
        <v>738</v>
      </c>
      <c r="C111" s="258" t="s">
        <v>739</v>
      </c>
      <c r="D111" s="259"/>
      <c r="E111" s="258" t="s">
        <v>382</v>
      </c>
      <c r="F111" s="257">
        <v>12</v>
      </c>
      <c r="G111" s="293">
        <v>420000</v>
      </c>
      <c r="H111" s="293">
        <v>102400</v>
      </c>
      <c r="I111" s="258">
        <v>100</v>
      </c>
      <c r="J111" s="293">
        <v>7168</v>
      </c>
      <c r="L111" s="123">
        <f t="shared" si="14"/>
        <v>420000</v>
      </c>
      <c r="M111" s="128">
        <f t="shared" si="15"/>
        <v>33600</v>
      </c>
      <c r="N111" s="123">
        <f t="shared" si="16"/>
        <v>386400</v>
      </c>
      <c r="O111" s="128">
        <f t="shared" si="17"/>
        <v>277280</v>
      </c>
      <c r="P111" s="127">
        <f t="shared" si="18"/>
        <v>109120</v>
      </c>
      <c r="Q111" s="123">
        <f t="shared" si="19"/>
        <v>7638.4000000000005</v>
      </c>
      <c r="R111" s="124">
        <f t="shared" si="20"/>
        <v>636.53333333333342</v>
      </c>
      <c r="S111" s="125">
        <f t="shared" si="21"/>
        <v>12</v>
      </c>
      <c r="T111" s="129">
        <f t="shared" si="22"/>
        <v>7638.4000000000015</v>
      </c>
    </row>
    <row r="112" spans="1:20" ht="18.75">
      <c r="A112" s="256">
        <v>108</v>
      </c>
      <c r="B112" s="257" t="s">
        <v>741</v>
      </c>
      <c r="C112" s="257" t="s">
        <v>742</v>
      </c>
      <c r="D112" s="257" t="s">
        <v>537</v>
      </c>
      <c r="E112" s="257" t="s">
        <v>709</v>
      </c>
      <c r="F112" s="257">
        <v>12</v>
      </c>
      <c r="G112" s="292">
        <v>420000</v>
      </c>
      <c r="H112" s="292">
        <v>102400</v>
      </c>
      <c r="I112" s="257">
        <v>100</v>
      </c>
      <c r="J112" s="292">
        <v>7168</v>
      </c>
      <c r="L112" s="123">
        <f t="shared" si="14"/>
        <v>420000</v>
      </c>
      <c r="M112" s="128">
        <f t="shared" si="15"/>
        <v>33600</v>
      </c>
      <c r="N112" s="123">
        <f t="shared" si="16"/>
        <v>386400</v>
      </c>
      <c r="O112" s="128">
        <f t="shared" si="17"/>
        <v>277280</v>
      </c>
      <c r="P112" s="127">
        <f t="shared" si="18"/>
        <v>109120</v>
      </c>
      <c r="Q112" s="123">
        <f t="shared" si="19"/>
        <v>7638.4000000000005</v>
      </c>
      <c r="R112" s="124">
        <f t="shared" si="20"/>
        <v>636.53333333333342</v>
      </c>
      <c r="S112" s="125">
        <f t="shared" si="21"/>
        <v>12</v>
      </c>
      <c r="T112" s="129">
        <f t="shared" si="22"/>
        <v>7638.4000000000015</v>
      </c>
    </row>
    <row r="113" spans="1:20" ht="18.75">
      <c r="A113" s="256">
        <v>109</v>
      </c>
      <c r="B113" s="258" t="s">
        <v>744</v>
      </c>
      <c r="C113" s="258" t="s">
        <v>745</v>
      </c>
      <c r="D113" s="259"/>
      <c r="E113" s="258" t="s">
        <v>412</v>
      </c>
      <c r="F113" s="257">
        <v>12</v>
      </c>
      <c r="G113" s="293">
        <v>420000</v>
      </c>
      <c r="H113" s="293">
        <v>102400</v>
      </c>
      <c r="I113" s="258">
        <v>100</v>
      </c>
      <c r="J113" s="293">
        <v>7168</v>
      </c>
      <c r="L113" s="123">
        <f t="shared" si="14"/>
        <v>420000</v>
      </c>
      <c r="M113" s="128">
        <f t="shared" si="15"/>
        <v>33600</v>
      </c>
      <c r="N113" s="123">
        <f t="shared" si="16"/>
        <v>386400</v>
      </c>
      <c r="O113" s="128">
        <f t="shared" si="17"/>
        <v>277280</v>
      </c>
      <c r="P113" s="127">
        <f t="shared" si="18"/>
        <v>109120</v>
      </c>
      <c r="Q113" s="123">
        <f t="shared" si="19"/>
        <v>7638.4000000000005</v>
      </c>
      <c r="R113" s="124">
        <f t="shared" si="20"/>
        <v>636.53333333333342</v>
      </c>
      <c r="S113" s="125">
        <f t="shared" si="21"/>
        <v>12</v>
      </c>
      <c r="T113" s="129">
        <f t="shared" si="22"/>
        <v>7638.4000000000015</v>
      </c>
    </row>
    <row r="114" spans="1:20" ht="35.25">
      <c r="A114" s="256">
        <v>110</v>
      </c>
      <c r="B114" s="257" t="s">
        <v>747</v>
      </c>
      <c r="C114" s="257" t="s">
        <v>748</v>
      </c>
      <c r="D114" s="257" t="s">
        <v>736</v>
      </c>
      <c r="E114" s="257" t="s">
        <v>749</v>
      </c>
      <c r="F114" s="257">
        <v>12</v>
      </c>
      <c r="G114" s="292">
        <v>900000</v>
      </c>
      <c r="H114" s="292">
        <v>448000</v>
      </c>
      <c r="I114" s="257">
        <v>100</v>
      </c>
      <c r="J114" s="292">
        <v>37280</v>
      </c>
      <c r="L114" s="123">
        <f t="shared" si="14"/>
        <v>900000</v>
      </c>
      <c r="M114" s="128">
        <f t="shared" si="15"/>
        <v>72000</v>
      </c>
      <c r="N114" s="123">
        <f t="shared" si="16"/>
        <v>828000</v>
      </c>
      <c r="O114" s="128">
        <f t="shared" si="17"/>
        <v>365600</v>
      </c>
      <c r="P114" s="127">
        <f t="shared" si="18"/>
        <v>462400</v>
      </c>
      <c r="Q114" s="123">
        <f t="shared" si="19"/>
        <v>38864</v>
      </c>
      <c r="R114" s="124">
        <f t="shared" si="20"/>
        <v>3238.6666666666665</v>
      </c>
      <c r="S114" s="125">
        <f t="shared" si="21"/>
        <v>12</v>
      </c>
      <c r="T114" s="129">
        <f t="shared" si="22"/>
        <v>38864</v>
      </c>
    </row>
    <row r="115" spans="1:20" ht="35.25">
      <c r="A115" s="256">
        <v>111</v>
      </c>
      <c r="B115" s="258" t="s">
        <v>751</v>
      </c>
      <c r="C115" s="258" t="s">
        <v>752</v>
      </c>
      <c r="D115" s="258" t="s">
        <v>753</v>
      </c>
      <c r="E115" s="258" t="s">
        <v>611</v>
      </c>
      <c r="F115" s="257">
        <v>12</v>
      </c>
      <c r="G115" s="293">
        <v>1440000</v>
      </c>
      <c r="H115" s="293">
        <v>836800</v>
      </c>
      <c r="I115" s="258">
        <v>100</v>
      </c>
      <c r="J115" s="293">
        <v>89520</v>
      </c>
      <c r="L115" s="123">
        <f t="shared" si="14"/>
        <v>1440000</v>
      </c>
      <c r="M115" s="128">
        <f t="shared" si="15"/>
        <v>115200</v>
      </c>
      <c r="N115" s="123">
        <f t="shared" si="16"/>
        <v>1324800</v>
      </c>
      <c r="O115" s="128">
        <f t="shared" si="17"/>
        <v>464960</v>
      </c>
      <c r="P115" s="127">
        <f t="shared" si="18"/>
        <v>859840</v>
      </c>
      <c r="Q115" s="123">
        <f t="shared" si="19"/>
        <v>92976</v>
      </c>
      <c r="R115" s="124">
        <f t="shared" si="20"/>
        <v>7748</v>
      </c>
      <c r="S115" s="125">
        <f t="shared" si="21"/>
        <v>12</v>
      </c>
      <c r="T115" s="129">
        <f t="shared" si="22"/>
        <v>92976</v>
      </c>
    </row>
    <row r="116" spans="1:20" ht="18.75">
      <c r="A116" s="256">
        <v>112</v>
      </c>
      <c r="B116" s="257" t="s">
        <v>755</v>
      </c>
      <c r="C116" s="257" t="s">
        <v>756</v>
      </c>
      <c r="D116" s="257" t="s">
        <v>491</v>
      </c>
      <c r="E116" s="257" t="s">
        <v>373</v>
      </c>
      <c r="F116" s="257">
        <v>12</v>
      </c>
      <c r="G116" s="292">
        <v>540000</v>
      </c>
      <c r="H116" s="292">
        <v>188800</v>
      </c>
      <c r="I116" s="257">
        <v>100</v>
      </c>
      <c r="J116" s="292">
        <v>13216</v>
      </c>
      <c r="L116" s="123">
        <f t="shared" si="14"/>
        <v>540000</v>
      </c>
      <c r="M116" s="128">
        <f t="shared" si="15"/>
        <v>43200</v>
      </c>
      <c r="N116" s="123">
        <f t="shared" si="16"/>
        <v>496800</v>
      </c>
      <c r="O116" s="128">
        <f t="shared" si="17"/>
        <v>299360</v>
      </c>
      <c r="P116" s="127">
        <f t="shared" si="18"/>
        <v>197440</v>
      </c>
      <c r="Q116" s="123">
        <f t="shared" si="19"/>
        <v>13820.800000000001</v>
      </c>
      <c r="R116" s="124">
        <f t="shared" si="20"/>
        <v>1151.7333333333333</v>
      </c>
      <c r="S116" s="125">
        <f t="shared" si="21"/>
        <v>12</v>
      </c>
      <c r="T116" s="129">
        <f t="shared" si="22"/>
        <v>13820.8</v>
      </c>
    </row>
    <row r="117" spans="1:20" ht="18.75">
      <c r="A117" s="256">
        <v>113</v>
      </c>
      <c r="B117" s="258" t="s">
        <v>433</v>
      </c>
      <c r="C117" s="258" t="s">
        <v>748</v>
      </c>
      <c r="D117" s="259"/>
      <c r="E117" s="258" t="s">
        <v>400</v>
      </c>
      <c r="F117" s="257">
        <v>12</v>
      </c>
      <c r="G117" s="293">
        <v>540000</v>
      </c>
      <c r="H117" s="293">
        <v>188800</v>
      </c>
      <c r="I117" s="258">
        <v>100</v>
      </c>
      <c r="J117" s="293">
        <v>13216</v>
      </c>
      <c r="L117" s="123">
        <f t="shared" si="14"/>
        <v>540000</v>
      </c>
      <c r="M117" s="128">
        <f t="shared" si="15"/>
        <v>43200</v>
      </c>
      <c r="N117" s="123">
        <f t="shared" si="16"/>
        <v>496800</v>
      </c>
      <c r="O117" s="128">
        <f t="shared" si="17"/>
        <v>299360</v>
      </c>
      <c r="P117" s="127">
        <f t="shared" si="18"/>
        <v>197440</v>
      </c>
      <c r="Q117" s="123">
        <f t="shared" si="19"/>
        <v>13820.800000000001</v>
      </c>
      <c r="R117" s="124">
        <f t="shared" si="20"/>
        <v>1151.7333333333333</v>
      </c>
      <c r="S117" s="125">
        <f t="shared" si="21"/>
        <v>12</v>
      </c>
      <c r="T117" s="129">
        <f t="shared" si="22"/>
        <v>13820.8</v>
      </c>
    </row>
    <row r="118" spans="1:20" ht="35.25">
      <c r="A118" s="256">
        <v>114</v>
      </c>
      <c r="B118" s="257" t="s">
        <v>759</v>
      </c>
      <c r="C118" s="257" t="s">
        <v>760</v>
      </c>
      <c r="D118" s="260"/>
      <c r="E118" s="257" t="s">
        <v>761</v>
      </c>
      <c r="F118" s="257">
        <v>12</v>
      </c>
      <c r="G118" s="292">
        <v>1200000</v>
      </c>
      <c r="H118" s="292">
        <v>664000</v>
      </c>
      <c r="I118" s="257">
        <v>100</v>
      </c>
      <c r="J118" s="292">
        <v>63600</v>
      </c>
      <c r="L118" s="123">
        <f t="shared" si="14"/>
        <v>1200000</v>
      </c>
      <c r="M118" s="128">
        <f t="shared" si="15"/>
        <v>96000</v>
      </c>
      <c r="N118" s="123">
        <f t="shared" si="16"/>
        <v>1104000</v>
      </c>
      <c r="O118" s="128">
        <f t="shared" si="17"/>
        <v>420800</v>
      </c>
      <c r="P118" s="127">
        <f t="shared" si="18"/>
        <v>683200</v>
      </c>
      <c r="Q118" s="123">
        <f t="shared" si="19"/>
        <v>66480</v>
      </c>
      <c r="R118" s="124">
        <f t="shared" si="20"/>
        <v>5540</v>
      </c>
      <c r="S118" s="125">
        <f t="shared" si="21"/>
        <v>12</v>
      </c>
      <c r="T118" s="129">
        <f t="shared" si="22"/>
        <v>66480</v>
      </c>
    </row>
    <row r="119" spans="1:20" ht="18.75">
      <c r="A119" s="256">
        <v>115</v>
      </c>
      <c r="B119" s="258" t="s">
        <v>483</v>
      </c>
      <c r="C119" s="258" t="s">
        <v>763</v>
      </c>
      <c r="D119" s="259"/>
      <c r="E119" s="258" t="s">
        <v>373</v>
      </c>
      <c r="F119" s="257">
        <v>12</v>
      </c>
      <c r="G119" s="293">
        <v>540000</v>
      </c>
      <c r="H119" s="293">
        <v>188800</v>
      </c>
      <c r="I119" s="258">
        <v>100</v>
      </c>
      <c r="J119" s="293">
        <v>13216</v>
      </c>
      <c r="L119" s="123">
        <f t="shared" si="14"/>
        <v>540000</v>
      </c>
      <c r="M119" s="128">
        <f t="shared" si="15"/>
        <v>43200</v>
      </c>
      <c r="N119" s="123">
        <f t="shared" si="16"/>
        <v>496800</v>
      </c>
      <c r="O119" s="128">
        <f t="shared" si="17"/>
        <v>299360</v>
      </c>
      <c r="P119" s="127">
        <f t="shared" si="18"/>
        <v>197440</v>
      </c>
      <c r="Q119" s="123">
        <f t="shared" si="19"/>
        <v>13820.800000000001</v>
      </c>
      <c r="R119" s="124">
        <f t="shared" si="20"/>
        <v>1151.7333333333333</v>
      </c>
      <c r="S119" s="125">
        <f t="shared" si="21"/>
        <v>12</v>
      </c>
      <c r="T119" s="129">
        <f t="shared" si="22"/>
        <v>13820.8</v>
      </c>
    </row>
    <row r="120" spans="1:20" ht="18.75">
      <c r="A120" s="256">
        <v>116</v>
      </c>
      <c r="B120" s="257" t="s">
        <v>765</v>
      </c>
      <c r="C120" s="257" t="s">
        <v>766</v>
      </c>
      <c r="D120" s="260"/>
      <c r="E120" s="257" t="s">
        <v>709</v>
      </c>
      <c r="F120" s="257">
        <v>12</v>
      </c>
      <c r="G120" s="292">
        <v>420000</v>
      </c>
      <c r="H120" s="292">
        <v>102400</v>
      </c>
      <c r="I120" s="257">
        <v>100</v>
      </c>
      <c r="J120" s="292">
        <v>7168</v>
      </c>
      <c r="L120" s="123">
        <f t="shared" si="14"/>
        <v>420000</v>
      </c>
      <c r="M120" s="128">
        <f t="shared" si="15"/>
        <v>33600</v>
      </c>
      <c r="N120" s="123">
        <f t="shared" si="16"/>
        <v>386400</v>
      </c>
      <c r="O120" s="128">
        <f t="shared" si="17"/>
        <v>277280</v>
      </c>
      <c r="P120" s="127">
        <f t="shared" si="18"/>
        <v>109120</v>
      </c>
      <c r="Q120" s="123">
        <f t="shared" si="19"/>
        <v>7638.4000000000005</v>
      </c>
      <c r="R120" s="124">
        <f t="shared" si="20"/>
        <v>636.53333333333342</v>
      </c>
      <c r="S120" s="125">
        <f t="shared" si="21"/>
        <v>12</v>
      </c>
      <c r="T120" s="129">
        <f t="shared" si="22"/>
        <v>7638.4000000000015</v>
      </c>
    </row>
    <row r="121" spans="1:20" ht="35.25">
      <c r="A121" s="256">
        <v>117</v>
      </c>
      <c r="B121" s="257" t="s">
        <v>768</v>
      </c>
      <c r="C121" s="257" t="s">
        <v>769</v>
      </c>
      <c r="D121" s="257" t="s">
        <v>770</v>
      </c>
      <c r="E121" s="257" t="s">
        <v>519</v>
      </c>
      <c r="F121" s="257">
        <v>12</v>
      </c>
      <c r="G121" s="292">
        <v>540000</v>
      </c>
      <c r="H121" s="292">
        <v>188800</v>
      </c>
      <c r="I121" s="257">
        <v>100</v>
      </c>
      <c r="J121" s="292">
        <v>13216</v>
      </c>
      <c r="L121" s="123">
        <f t="shared" si="14"/>
        <v>540000</v>
      </c>
      <c r="M121" s="128">
        <f t="shared" si="15"/>
        <v>43200</v>
      </c>
      <c r="N121" s="123">
        <f t="shared" si="16"/>
        <v>496800</v>
      </c>
      <c r="O121" s="128">
        <f t="shared" si="17"/>
        <v>299360</v>
      </c>
      <c r="P121" s="127">
        <f t="shared" si="18"/>
        <v>197440</v>
      </c>
      <c r="Q121" s="123">
        <f t="shared" si="19"/>
        <v>13820.800000000001</v>
      </c>
      <c r="R121" s="124">
        <f t="shared" si="20"/>
        <v>1151.7333333333333</v>
      </c>
      <c r="S121" s="125">
        <f t="shared" si="21"/>
        <v>12</v>
      </c>
      <c r="T121" s="129">
        <f t="shared" si="22"/>
        <v>13820.8</v>
      </c>
    </row>
    <row r="122" spans="1:20" ht="35.25">
      <c r="A122" s="256">
        <v>118</v>
      </c>
      <c r="B122" s="257" t="s">
        <v>772</v>
      </c>
      <c r="C122" s="257" t="s">
        <v>773</v>
      </c>
      <c r="D122" s="257" t="s">
        <v>774</v>
      </c>
      <c r="E122" s="257" t="s">
        <v>583</v>
      </c>
      <c r="F122" s="257">
        <v>12</v>
      </c>
      <c r="G122" s="292">
        <v>480000</v>
      </c>
      <c r="H122" s="292">
        <v>145600</v>
      </c>
      <c r="I122" s="257">
        <v>100</v>
      </c>
      <c r="J122" s="292">
        <v>10192</v>
      </c>
      <c r="L122" s="123">
        <f t="shared" si="14"/>
        <v>480000</v>
      </c>
      <c r="M122" s="128">
        <f t="shared" si="15"/>
        <v>38400</v>
      </c>
      <c r="N122" s="123">
        <f t="shared" si="16"/>
        <v>441600</v>
      </c>
      <c r="O122" s="128">
        <f t="shared" si="17"/>
        <v>288320</v>
      </c>
      <c r="P122" s="127">
        <f t="shared" si="18"/>
        <v>153280</v>
      </c>
      <c r="Q122" s="123">
        <f t="shared" si="19"/>
        <v>10729.6</v>
      </c>
      <c r="R122" s="124">
        <f t="shared" si="20"/>
        <v>894.13333333333333</v>
      </c>
      <c r="S122" s="125">
        <f t="shared" si="21"/>
        <v>12</v>
      </c>
      <c r="T122" s="129">
        <f t="shared" si="22"/>
        <v>10729.6</v>
      </c>
    </row>
    <row r="123" spans="1:20" ht="18.75">
      <c r="A123" s="256">
        <v>119</v>
      </c>
      <c r="B123" s="258" t="s">
        <v>452</v>
      </c>
      <c r="C123" s="258" t="s">
        <v>776</v>
      </c>
      <c r="D123" s="259"/>
      <c r="E123" s="258" t="s">
        <v>507</v>
      </c>
      <c r="F123" s="257">
        <v>12</v>
      </c>
      <c r="G123" s="293">
        <v>420000</v>
      </c>
      <c r="H123" s="293">
        <v>102400</v>
      </c>
      <c r="I123" s="258">
        <v>100</v>
      </c>
      <c r="J123" s="293">
        <v>7168</v>
      </c>
      <c r="L123" s="123">
        <f t="shared" si="14"/>
        <v>420000</v>
      </c>
      <c r="M123" s="128">
        <f t="shared" si="15"/>
        <v>33600</v>
      </c>
      <c r="N123" s="123">
        <f t="shared" si="16"/>
        <v>386400</v>
      </c>
      <c r="O123" s="128">
        <f t="shared" si="17"/>
        <v>277280</v>
      </c>
      <c r="P123" s="127">
        <f t="shared" si="18"/>
        <v>109120</v>
      </c>
      <c r="Q123" s="123">
        <f t="shared" si="19"/>
        <v>7638.4000000000005</v>
      </c>
      <c r="R123" s="124">
        <f t="shared" si="20"/>
        <v>636.53333333333342</v>
      </c>
      <c r="S123" s="125">
        <f t="shared" si="21"/>
        <v>12</v>
      </c>
      <c r="T123" s="129">
        <f t="shared" si="22"/>
        <v>7638.4000000000015</v>
      </c>
    </row>
    <row r="124" spans="1:20" ht="18.75">
      <c r="A124" s="256">
        <v>120</v>
      </c>
      <c r="B124" s="257" t="s">
        <v>778</v>
      </c>
      <c r="C124" s="257" t="s">
        <v>618</v>
      </c>
      <c r="D124" s="257" t="s">
        <v>779</v>
      </c>
      <c r="E124" s="257" t="s">
        <v>780</v>
      </c>
      <c r="F124" s="257">
        <v>12</v>
      </c>
      <c r="G124" s="292">
        <v>480000</v>
      </c>
      <c r="H124" s="292">
        <v>145600</v>
      </c>
      <c r="I124" s="257">
        <v>100</v>
      </c>
      <c r="J124" s="292">
        <v>10192</v>
      </c>
      <c r="L124" s="123">
        <f t="shared" si="14"/>
        <v>480000</v>
      </c>
      <c r="M124" s="128">
        <f t="shared" si="15"/>
        <v>38400</v>
      </c>
      <c r="N124" s="123">
        <f t="shared" si="16"/>
        <v>441600</v>
      </c>
      <c r="O124" s="128">
        <f t="shared" si="17"/>
        <v>288320</v>
      </c>
      <c r="P124" s="127">
        <f t="shared" si="18"/>
        <v>153280</v>
      </c>
      <c r="Q124" s="123">
        <f t="shared" si="19"/>
        <v>10729.6</v>
      </c>
      <c r="R124" s="124">
        <f t="shared" si="20"/>
        <v>894.13333333333333</v>
      </c>
      <c r="S124" s="125">
        <f t="shared" si="21"/>
        <v>12</v>
      </c>
      <c r="T124" s="129">
        <f t="shared" si="22"/>
        <v>10729.6</v>
      </c>
    </row>
    <row r="125" spans="1:20" ht="18.75">
      <c r="A125" s="256">
        <v>121</v>
      </c>
      <c r="B125" s="258" t="s">
        <v>782</v>
      </c>
      <c r="C125" s="258" t="s">
        <v>783</v>
      </c>
      <c r="D125" s="259"/>
      <c r="E125" s="258" t="s">
        <v>702</v>
      </c>
      <c r="F125" s="257">
        <v>12</v>
      </c>
      <c r="G125" s="293">
        <v>720000</v>
      </c>
      <c r="H125" s="293">
        <v>318400</v>
      </c>
      <c r="I125" s="258">
        <v>100</v>
      </c>
      <c r="J125" s="293">
        <v>23024</v>
      </c>
      <c r="L125" s="123">
        <f t="shared" si="14"/>
        <v>720000</v>
      </c>
      <c r="M125" s="128">
        <f t="shared" si="15"/>
        <v>57600</v>
      </c>
      <c r="N125" s="123">
        <f t="shared" si="16"/>
        <v>662400</v>
      </c>
      <c r="O125" s="128">
        <f t="shared" si="17"/>
        <v>332480</v>
      </c>
      <c r="P125" s="127">
        <f t="shared" si="18"/>
        <v>329920</v>
      </c>
      <c r="Q125" s="123">
        <f t="shared" si="19"/>
        <v>24291.200000000001</v>
      </c>
      <c r="R125" s="124">
        <f t="shared" si="20"/>
        <v>2024.2666666666667</v>
      </c>
      <c r="S125" s="125">
        <f t="shared" si="21"/>
        <v>12</v>
      </c>
      <c r="T125" s="129">
        <f t="shared" si="22"/>
        <v>24291.200000000001</v>
      </c>
    </row>
    <row r="126" spans="1:20" ht="18.75">
      <c r="A126" s="256">
        <v>122</v>
      </c>
      <c r="B126" s="300" t="s">
        <v>785</v>
      </c>
      <c r="C126" s="300" t="s">
        <v>786</v>
      </c>
      <c r="D126" s="301"/>
      <c r="E126" s="300" t="s">
        <v>412</v>
      </c>
      <c r="F126" s="300">
        <v>12</v>
      </c>
      <c r="G126" s="302">
        <v>420000</v>
      </c>
      <c r="H126" s="302">
        <v>102400</v>
      </c>
      <c r="I126" s="300">
        <v>100</v>
      </c>
      <c r="J126" s="302">
        <v>7168</v>
      </c>
      <c r="L126" s="299">
        <f t="shared" si="14"/>
        <v>420000</v>
      </c>
      <c r="M126" s="303">
        <f t="shared" si="15"/>
        <v>33600</v>
      </c>
      <c r="N126" s="299">
        <f t="shared" si="16"/>
        <v>386400</v>
      </c>
      <c r="O126" s="128">
        <f t="shared" si="17"/>
        <v>277280</v>
      </c>
      <c r="P126" s="127">
        <f t="shared" si="18"/>
        <v>109120</v>
      </c>
      <c r="Q126" s="123">
        <f t="shared" si="19"/>
        <v>7638.4000000000005</v>
      </c>
      <c r="R126" s="124">
        <f t="shared" si="20"/>
        <v>636.53333333333342</v>
      </c>
      <c r="S126" s="125">
        <f t="shared" si="21"/>
        <v>12</v>
      </c>
      <c r="T126" s="129">
        <f t="shared" si="22"/>
        <v>7638.4000000000015</v>
      </c>
    </row>
    <row r="127" spans="1:20" ht="35.25">
      <c r="A127" s="283">
        <v>123</v>
      </c>
      <c r="B127" s="323" t="s">
        <v>458</v>
      </c>
      <c r="C127" s="323" t="s">
        <v>459</v>
      </c>
      <c r="D127" s="324" t="s">
        <v>460</v>
      </c>
      <c r="E127" s="323"/>
      <c r="F127" s="323">
        <v>12</v>
      </c>
      <c r="G127" s="316">
        <v>8000000</v>
      </c>
      <c r="H127" s="316"/>
      <c r="I127" s="323"/>
      <c r="J127" s="323"/>
      <c r="K127" s="314"/>
      <c r="L127" s="317">
        <f>G127</f>
        <v>8000000</v>
      </c>
      <c r="M127" s="128">
        <f t="shared" si="15"/>
        <v>640000</v>
      </c>
      <c r="N127" s="123">
        <f t="shared" si="16"/>
        <v>7360000</v>
      </c>
      <c r="O127" s="128">
        <f t="shared" si="17"/>
        <v>1672000</v>
      </c>
      <c r="P127" s="127">
        <f t="shared" si="18"/>
        <v>5688000</v>
      </c>
      <c r="Q127" s="123">
        <f t="shared" si="19"/>
        <v>1157120</v>
      </c>
      <c r="R127" s="124">
        <f t="shared" si="20"/>
        <v>96426.666666666672</v>
      </c>
      <c r="S127" s="125">
        <f t="shared" si="21"/>
        <v>12</v>
      </c>
      <c r="T127" s="129">
        <f t="shared" si="22"/>
        <v>1157120</v>
      </c>
    </row>
    <row r="128" spans="1:20">
      <c r="G128" s="290">
        <f>SUM(G5:G127)</f>
        <v>79520000</v>
      </c>
      <c r="T128" s="290">
        <f>SUM(T5:T127)</f>
        <v>3378841.5999999996</v>
      </c>
    </row>
  </sheetData>
  <pageMargins left="0.75" right="0.75" top="1" bottom="1" header="0.5" footer="0.5"/>
  <pageSetup scale="6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E7143-7513-4C4E-94DA-077AD2FEE907}">
  <dimension ref="A1:R8"/>
  <sheetViews>
    <sheetView view="pageBreakPreview" topLeftCell="B1" zoomScaleNormal="100" workbookViewId="0">
      <selection activeCell="L4" sqref="L4"/>
    </sheetView>
  </sheetViews>
  <sheetFormatPr defaultColWidth="8.76171875" defaultRowHeight="15"/>
  <cols>
    <col min="1" max="1" width="8.76171875" style="261"/>
    <col min="2" max="2" width="18.7421875" style="261" customWidth="1"/>
    <col min="3" max="3" width="12.40625" style="261" customWidth="1"/>
    <col min="4" max="4" width="28.72265625" style="261" bestFit="1" customWidth="1"/>
    <col min="5" max="5" width="26.8359375" style="261" customWidth="1"/>
    <col min="6" max="6" width="5.52734375" style="261" bestFit="1" customWidth="1"/>
    <col min="7" max="7" width="22.25" style="261" hidden="1" customWidth="1"/>
    <col min="8" max="8" width="13.6171875" style="261" hidden="1" customWidth="1"/>
    <col min="9" max="9" width="16.85546875" style="261" hidden="1" customWidth="1"/>
    <col min="10" max="10" width="19.8203125" style="261" hidden="1" customWidth="1"/>
    <col min="11" max="11" width="14.6953125" style="261" hidden="1" customWidth="1"/>
    <col min="12" max="12" width="16.046875" style="261" bestFit="1" customWidth="1"/>
    <col min="13" max="13" width="14.5625" style="261" bestFit="1" customWidth="1"/>
    <col min="14" max="14" width="19.55078125" style="261" bestFit="1" customWidth="1"/>
    <col min="15" max="17" width="8.76171875" style="261"/>
    <col min="18" max="18" width="14.83203125" style="261" bestFit="1" customWidth="1"/>
    <col min="19" max="16384" width="8.76171875" style="261"/>
  </cols>
  <sheetData>
    <row r="1" spans="1:18" ht="46.15" customHeight="1" thickBot="1">
      <c r="A1" s="397" t="s">
        <v>789</v>
      </c>
      <c r="B1" s="398"/>
      <c r="C1" s="398"/>
      <c r="D1" s="398"/>
      <c r="E1" s="398"/>
      <c r="F1" s="399"/>
      <c r="G1" s="399"/>
      <c r="H1" s="399"/>
      <c r="I1" s="399"/>
      <c r="J1" s="399"/>
      <c r="K1" s="400"/>
    </row>
    <row r="2" spans="1:18" s="264" customFormat="1" ht="51.4" customHeight="1">
      <c r="A2" s="265" t="s">
        <v>790</v>
      </c>
      <c r="B2" s="265" t="s">
        <v>791</v>
      </c>
      <c r="C2" s="265" t="s">
        <v>792</v>
      </c>
      <c r="D2" s="265" t="s">
        <v>793</v>
      </c>
      <c r="E2" s="265"/>
      <c r="F2" s="262" t="s">
        <v>807</v>
      </c>
      <c r="G2" s="263" t="s">
        <v>794</v>
      </c>
      <c r="H2" s="262" t="s">
        <v>189</v>
      </c>
      <c r="I2" s="262" t="s">
        <v>190</v>
      </c>
      <c r="J2" s="262" t="s">
        <v>795</v>
      </c>
      <c r="K2" s="262" t="s">
        <v>796</v>
      </c>
      <c r="L2" s="121" t="s">
        <v>188</v>
      </c>
      <c r="M2" s="120" t="s">
        <v>189</v>
      </c>
      <c r="N2" s="120" t="s">
        <v>190</v>
      </c>
      <c r="O2" s="120" t="s">
        <v>191</v>
      </c>
      <c r="P2" s="120" t="s">
        <v>192</v>
      </c>
      <c r="Q2" s="120" t="s">
        <v>193</v>
      </c>
      <c r="R2" s="120" t="s">
        <v>194</v>
      </c>
    </row>
    <row r="3" spans="1:18">
      <c r="A3" s="265">
        <v>1</v>
      </c>
      <c r="B3" s="284" t="s">
        <v>797</v>
      </c>
      <c r="C3" s="265" t="s">
        <v>798</v>
      </c>
      <c r="D3" s="265" t="s">
        <v>799</v>
      </c>
      <c r="E3" s="265"/>
      <c r="F3" s="265">
        <v>12</v>
      </c>
      <c r="G3" s="266">
        <v>25000000</v>
      </c>
      <c r="H3" s="266">
        <v>1400000</v>
      </c>
      <c r="I3" s="266">
        <v>4600000</v>
      </c>
      <c r="J3" s="266">
        <v>896000</v>
      </c>
      <c r="K3" s="266">
        <v>74666.67</v>
      </c>
      <c r="L3" s="123">
        <v>8000000</v>
      </c>
      <c r="M3" s="128">
        <f t="shared" ref="M3" si="0">IF(L3&lt;=300000,0,IF(L3&gt;=20000000,(L3*0.21),(L3*0.2)+200000))</f>
        <v>1800000</v>
      </c>
      <c r="N3" s="127">
        <f>+L3-M3</f>
        <v>6200000</v>
      </c>
      <c r="O3" s="123">
        <f t="shared" ref="O3" si="1">IF(M3=0,(L3*0.01),IF(N3&lt;=0,0.01*L3,IF(AND(N3&gt;0,N3&lt;=300000),N3*7%,IF(AND(N3&gt;=300000,N3&lt;600000),21000+(N3-300000)*11%,IF(AND(N3&gt;=600000,N3&lt;1100000),54000+(N3-600000)*15%,IF(AND(N3&gt;=1100000,N3&lt;1600000),129000+(N3-1100000)*19%,IF(AND(N3&gt;=1600000,N3&lt;3200000),224000+(N3-1600000)*21%,560000+(N3-3200000)*24%)))))))</f>
        <v>1280000</v>
      </c>
      <c r="P3" s="124">
        <f t="shared" ref="P3" si="2">O3/12</f>
        <v>106666.66666666667</v>
      </c>
      <c r="Q3" s="125">
        <f>F3</f>
        <v>12</v>
      </c>
      <c r="R3" s="129">
        <f t="shared" ref="R3" si="3">+P3*Q3</f>
        <v>1280000</v>
      </c>
    </row>
    <row r="4" spans="1:18">
      <c r="A4" s="265">
        <v>2</v>
      </c>
      <c r="B4" s="284" t="s">
        <v>800</v>
      </c>
      <c r="C4" s="265" t="s">
        <v>798</v>
      </c>
      <c r="D4" s="265" t="s">
        <v>801</v>
      </c>
      <c r="E4" s="265"/>
      <c r="F4" s="265">
        <v>12</v>
      </c>
      <c r="G4" s="266">
        <v>10000000</v>
      </c>
      <c r="H4" s="266">
        <v>1400000</v>
      </c>
      <c r="I4" s="266">
        <v>4600000</v>
      </c>
      <c r="J4" s="266">
        <v>896000</v>
      </c>
      <c r="K4" s="266">
        <v>74666.67</v>
      </c>
      <c r="L4" s="123">
        <v>7000000</v>
      </c>
      <c r="M4" s="128">
        <f t="shared" ref="M4:M7" si="4">IF(L4&lt;=300000,0,IF(L4&gt;=20000000,(L4*0.21),(L4*0.2)+200000))</f>
        <v>1600000</v>
      </c>
      <c r="N4" s="127">
        <f t="shared" ref="N4:N7" si="5">+L4-M4</f>
        <v>5400000</v>
      </c>
      <c r="O4" s="123">
        <f t="shared" ref="O4:O7" si="6">IF(M4=0,(L4*0.01),IF(N4&lt;=0,0.01*L4,IF(AND(N4&gt;0,N4&lt;=300000),N4*7%,IF(AND(N4&gt;=300000,N4&lt;600000),21000+(N4-300000)*11%,IF(AND(N4&gt;=600000,N4&lt;1100000),54000+(N4-600000)*15%,IF(AND(N4&gt;=1100000,N4&lt;1600000),129000+(N4-1100000)*19%,IF(AND(N4&gt;=1600000,N4&lt;3200000),224000+(N4-1600000)*21%,560000+(N4-3200000)*24%)))))))</f>
        <v>1088000</v>
      </c>
      <c r="P4" s="124">
        <f t="shared" ref="P4:P7" si="7">O4/12</f>
        <v>90666.666666666672</v>
      </c>
      <c r="Q4" s="125">
        <f t="shared" ref="Q4:Q7" si="8">F4</f>
        <v>12</v>
      </c>
      <c r="R4" s="129">
        <f t="shared" ref="R4:R7" si="9">+P4*Q4</f>
        <v>1088000</v>
      </c>
    </row>
    <row r="5" spans="1:18">
      <c r="A5" s="265">
        <v>3</v>
      </c>
      <c r="B5" s="284" t="s">
        <v>802</v>
      </c>
      <c r="C5" s="265" t="s">
        <v>798</v>
      </c>
      <c r="D5" s="265" t="s">
        <v>799</v>
      </c>
      <c r="E5" s="265"/>
      <c r="F5" s="265">
        <v>12</v>
      </c>
      <c r="G5" s="266">
        <v>10000000</v>
      </c>
      <c r="H5" s="266">
        <v>1400000</v>
      </c>
      <c r="I5" s="266">
        <v>4600000</v>
      </c>
      <c r="J5" s="266">
        <v>896000</v>
      </c>
      <c r="K5" s="266">
        <v>74666.67</v>
      </c>
      <c r="L5" s="123">
        <v>7000000</v>
      </c>
      <c r="M5" s="128">
        <f t="shared" si="4"/>
        <v>1600000</v>
      </c>
      <c r="N5" s="127">
        <f t="shared" si="5"/>
        <v>5400000</v>
      </c>
      <c r="O5" s="123">
        <f t="shared" si="6"/>
        <v>1088000</v>
      </c>
      <c r="P5" s="124">
        <f t="shared" si="7"/>
        <v>90666.666666666672</v>
      </c>
      <c r="Q5" s="125">
        <f t="shared" si="8"/>
        <v>12</v>
      </c>
      <c r="R5" s="129">
        <f t="shared" si="9"/>
        <v>1088000</v>
      </c>
    </row>
    <row r="6" spans="1:18">
      <c r="A6" s="265">
        <v>4</v>
      </c>
      <c r="B6" s="284" t="s">
        <v>803</v>
      </c>
      <c r="C6" s="265" t="s">
        <v>798</v>
      </c>
      <c r="D6" s="265" t="s">
        <v>799</v>
      </c>
      <c r="E6" s="265"/>
      <c r="F6" s="265">
        <v>12</v>
      </c>
      <c r="G6" s="266">
        <v>10000000</v>
      </c>
      <c r="H6" s="266">
        <v>1400000</v>
      </c>
      <c r="I6" s="266">
        <v>4600000</v>
      </c>
      <c r="J6" s="266">
        <v>896000</v>
      </c>
      <c r="K6" s="266">
        <v>74666.67</v>
      </c>
      <c r="L6" s="123">
        <v>7000000</v>
      </c>
      <c r="M6" s="128">
        <f t="shared" si="4"/>
        <v>1600000</v>
      </c>
      <c r="N6" s="127">
        <f t="shared" si="5"/>
        <v>5400000</v>
      </c>
      <c r="O6" s="123">
        <f t="shared" si="6"/>
        <v>1088000</v>
      </c>
      <c r="P6" s="124">
        <f t="shared" si="7"/>
        <v>90666.666666666672</v>
      </c>
      <c r="Q6" s="125">
        <f t="shared" si="8"/>
        <v>12</v>
      </c>
      <c r="R6" s="129">
        <f t="shared" si="9"/>
        <v>1088000</v>
      </c>
    </row>
    <row r="7" spans="1:18">
      <c r="A7" s="265">
        <v>5</v>
      </c>
      <c r="B7" s="284" t="s">
        <v>804</v>
      </c>
      <c r="C7" s="265" t="s">
        <v>798</v>
      </c>
      <c r="D7" s="265" t="s">
        <v>805</v>
      </c>
      <c r="E7" s="265"/>
      <c r="F7" s="265">
        <v>12</v>
      </c>
      <c r="G7" s="266">
        <v>10000000</v>
      </c>
      <c r="H7" s="268">
        <v>1400000</v>
      </c>
      <c r="I7" s="268">
        <v>4600000</v>
      </c>
      <c r="J7" s="268">
        <v>896000</v>
      </c>
      <c r="K7" s="268">
        <v>74666.67</v>
      </c>
      <c r="L7" s="123">
        <v>7000000</v>
      </c>
      <c r="M7" s="128">
        <f t="shared" si="4"/>
        <v>1600000</v>
      </c>
      <c r="N7" s="127">
        <f t="shared" si="5"/>
        <v>5400000</v>
      </c>
      <c r="O7" s="123">
        <f t="shared" si="6"/>
        <v>1088000</v>
      </c>
      <c r="P7" s="124">
        <f t="shared" si="7"/>
        <v>90666.666666666672</v>
      </c>
      <c r="Q7" s="125">
        <f t="shared" si="8"/>
        <v>12</v>
      </c>
      <c r="R7" s="129">
        <f t="shared" si="9"/>
        <v>1088000</v>
      </c>
    </row>
    <row r="8" spans="1:18" ht="15.75" thickBot="1">
      <c r="A8" s="305"/>
      <c r="B8" s="295"/>
      <c r="C8" s="295"/>
      <c r="D8" s="306"/>
      <c r="E8" s="306"/>
      <c r="F8" s="304"/>
      <c r="G8" s="277">
        <f t="shared" ref="G8:P8" si="10">SUM(G3:G7)</f>
        <v>65000000</v>
      </c>
      <c r="H8" s="277">
        <f t="shared" si="10"/>
        <v>7000000</v>
      </c>
      <c r="I8" s="277">
        <f t="shared" si="10"/>
        <v>23000000</v>
      </c>
      <c r="J8" s="277">
        <f t="shared" si="10"/>
        <v>4480000</v>
      </c>
      <c r="K8" s="278">
        <f t="shared" si="10"/>
        <v>373333.35</v>
      </c>
      <c r="L8" s="277">
        <f t="shared" si="10"/>
        <v>36000000</v>
      </c>
      <c r="M8" s="277">
        <f t="shared" si="10"/>
        <v>8200000</v>
      </c>
      <c r="N8" s="277">
        <f t="shared" si="10"/>
        <v>27800000</v>
      </c>
      <c r="O8" s="277">
        <f t="shared" si="10"/>
        <v>5632000</v>
      </c>
      <c r="P8" s="277">
        <f t="shared" si="10"/>
        <v>469333.33333333337</v>
      </c>
      <c r="Q8" s="277"/>
      <c r="R8" s="277">
        <f>SUM(R3:R7)</f>
        <v>5632000</v>
      </c>
    </row>
  </sheetData>
  <mergeCells count="1">
    <mergeCell ref="A1:K1"/>
  </mergeCells>
  <pageMargins left="0.7" right="0.7" top="0.75" bottom="0.75" header="0.3" footer="0.3"/>
  <pageSetup paperSize="9" scale="75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B2848-913E-45A6-8283-A38B11F4FF4C}">
  <dimension ref="A1:Q8"/>
  <sheetViews>
    <sheetView view="pageBreakPreview" topLeftCell="B1" zoomScaleNormal="100" workbookViewId="0">
      <selection activeCell="K4" sqref="K4"/>
    </sheetView>
  </sheetViews>
  <sheetFormatPr defaultColWidth="8.76171875" defaultRowHeight="15"/>
  <cols>
    <col min="1" max="1" width="8.76171875" style="261"/>
    <col min="2" max="2" width="18.7421875" style="261" customWidth="1"/>
    <col min="3" max="3" width="13.88671875" style="261" customWidth="1"/>
    <col min="4" max="4" width="26.8359375" style="261" customWidth="1"/>
    <col min="5" max="5" width="22.25" style="261" customWidth="1"/>
    <col min="6" max="6" width="22.25" style="261" hidden="1" customWidth="1"/>
    <col min="7" max="7" width="13.6171875" style="261" hidden="1" customWidth="1"/>
    <col min="8" max="8" width="16.85546875" style="261" hidden="1" customWidth="1"/>
    <col min="9" max="9" width="19.8203125" style="261" hidden="1" customWidth="1"/>
    <col min="10" max="10" width="14.6953125" style="261" hidden="1" customWidth="1"/>
    <col min="11" max="11" width="16.046875" style="261" bestFit="1" customWidth="1"/>
    <col min="12" max="12" width="14.5625" style="261" bestFit="1" customWidth="1"/>
    <col min="13" max="13" width="19.55078125" style="261" bestFit="1" customWidth="1"/>
    <col min="14" max="14" width="14.5625" style="261" bestFit="1" customWidth="1"/>
    <col min="15" max="16" width="8.76171875" style="261"/>
    <col min="17" max="17" width="14.83203125" style="261" bestFit="1" customWidth="1"/>
    <col min="18" max="16384" width="8.76171875" style="261"/>
  </cols>
  <sheetData>
    <row r="1" spans="1:17" ht="46.15" customHeight="1" thickBot="1">
      <c r="A1" s="401" t="s">
        <v>806</v>
      </c>
      <c r="B1" s="399"/>
      <c r="C1" s="399"/>
      <c r="D1" s="399"/>
      <c r="E1" s="399"/>
      <c r="F1" s="399"/>
      <c r="G1" s="399"/>
      <c r="H1" s="399"/>
      <c r="I1" s="399"/>
      <c r="J1" s="400"/>
    </row>
    <row r="2" spans="1:17" s="264" customFormat="1" ht="51.4" customHeight="1" thickBot="1">
      <c r="A2" s="270" t="s">
        <v>790</v>
      </c>
      <c r="B2" s="269" t="s">
        <v>791</v>
      </c>
      <c r="C2" s="269" t="s">
        <v>792</v>
      </c>
      <c r="D2" s="269" t="s">
        <v>793</v>
      </c>
      <c r="E2" s="271" t="s">
        <v>794</v>
      </c>
      <c r="F2" s="271" t="s">
        <v>807</v>
      </c>
      <c r="G2" s="269" t="s">
        <v>189</v>
      </c>
      <c r="H2" s="269" t="s">
        <v>190</v>
      </c>
      <c r="I2" s="269" t="s">
        <v>795</v>
      </c>
      <c r="J2" s="272" t="s">
        <v>796</v>
      </c>
      <c r="K2" s="121" t="s">
        <v>188</v>
      </c>
      <c r="L2" s="120" t="s">
        <v>189</v>
      </c>
      <c r="M2" s="120" t="s">
        <v>190</v>
      </c>
      <c r="N2" s="120" t="s">
        <v>191</v>
      </c>
      <c r="O2" s="120" t="s">
        <v>192</v>
      </c>
      <c r="P2" s="120" t="s">
        <v>193</v>
      </c>
      <c r="Q2" s="120" t="s">
        <v>194</v>
      </c>
    </row>
    <row r="3" spans="1:17">
      <c r="A3" s="262">
        <v>1</v>
      </c>
      <c r="B3" s="294" t="s">
        <v>797</v>
      </c>
      <c r="C3" s="262" t="s">
        <v>798</v>
      </c>
      <c r="D3" s="262" t="s">
        <v>799</v>
      </c>
      <c r="E3" s="273"/>
      <c r="F3" s="273">
        <v>12</v>
      </c>
      <c r="G3" s="273">
        <v>1400000</v>
      </c>
      <c r="H3" s="273">
        <v>4600000</v>
      </c>
      <c r="I3" s="273">
        <v>896000</v>
      </c>
      <c r="J3" s="273">
        <v>74666.67</v>
      </c>
      <c r="K3" s="123">
        <v>9000000</v>
      </c>
      <c r="L3" s="128">
        <f t="shared" ref="L3" si="0">IF(K3&lt;=300000,0,IF(K3&gt;=20000000,(K3*0.21),(K3*0.2)+200000))</f>
        <v>2000000</v>
      </c>
      <c r="M3" s="127">
        <f>+K3-L3</f>
        <v>7000000</v>
      </c>
      <c r="N3" s="123">
        <f t="shared" ref="N3" si="1">IF(L3=0,(K3*0.01),IF(M3&lt;=0,0.01*K3,IF(AND(M3&gt;0,M3&lt;=300000),M3*7%,IF(AND(M3&gt;=300000,M3&lt;600000),21000+(M3-300000)*11%,IF(AND(M3&gt;=600000,M3&lt;1100000),54000+(M3-600000)*15%,IF(AND(M3&gt;=1100000,M3&lt;1600000),129000+(M3-1100000)*19%,IF(AND(M3&gt;=1600000,M3&lt;3200000),224000+(M3-1600000)*21%,560000+(M3-3200000)*24%)))))))</f>
        <v>1472000</v>
      </c>
      <c r="O3" s="124">
        <f t="shared" ref="O3" si="2">N3/12</f>
        <v>122666.66666666667</v>
      </c>
      <c r="P3" s="125">
        <f>F3</f>
        <v>12</v>
      </c>
      <c r="Q3" s="129">
        <f t="shared" ref="Q3" si="3">+O3*P3</f>
        <v>1472000</v>
      </c>
    </row>
    <row r="4" spans="1:17">
      <c r="A4" s="265">
        <v>2</v>
      </c>
      <c r="B4" s="284" t="s">
        <v>800</v>
      </c>
      <c r="C4" s="265" t="s">
        <v>798</v>
      </c>
      <c r="D4" s="265" t="s">
        <v>801</v>
      </c>
      <c r="E4" s="266"/>
      <c r="F4" s="273">
        <v>12</v>
      </c>
      <c r="G4" s="266">
        <v>1400000</v>
      </c>
      <c r="H4" s="266">
        <v>4600000</v>
      </c>
      <c r="I4" s="266">
        <v>896000</v>
      </c>
      <c r="J4" s="266">
        <v>74666.67</v>
      </c>
      <c r="K4" s="285">
        <v>7500000</v>
      </c>
      <c r="L4" s="128">
        <f t="shared" ref="L4:L7" si="4">IF(K4&lt;=300000,0,IF(K4&gt;=20000000,(K4*0.21),(K4*0.2)+200000))</f>
        <v>1700000</v>
      </c>
      <c r="M4" s="127">
        <f t="shared" ref="M4:M7" si="5">+K4-L4</f>
        <v>5800000</v>
      </c>
      <c r="N4" s="123">
        <f t="shared" ref="N4:N7" si="6">IF(L4=0,(K4*0.01),IF(M4&lt;=0,0.01*K4,IF(AND(M4&gt;0,M4&lt;=300000),M4*7%,IF(AND(M4&gt;=300000,M4&lt;600000),21000+(M4-300000)*11%,IF(AND(M4&gt;=600000,M4&lt;1100000),54000+(M4-600000)*15%,IF(AND(M4&gt;=1100000,M4&lt;1600000),129000+(M4-1100000)*19%,IF(AND(M4&gt;=1600000,M4&lt;3200000),224000+(M4-1600000)*21%,560000+(M4-3200000)*24%)))))))</f>
        <v>1184000</v>
      </c>
      <c r="O4" s="124">
        <f t="shared" ref="O4:O7" si="7">N4/12</f>
        <v>98666.666666666672</v>
      </c>
      <c r="P4" s="125">
        <f t="shared" ref="P4:P7" si="8">F4</f>
        <v>12</v>
      </c>
      <c r="Q4" s="129">
        <f t="shared" ref="Q4:Q7" si="9">+O4*P4</f>
        <v>1184000</v>
      </c>
    </row>
    <row r="5" spans="1:17">
      <c r="A5" s="265">
        <v>3</v>
      </c>
      <c r="B5" s="284" t="s">
        <v>802</v>
      </c>
      <c r="C5" s="265" t="s">
        <v>798</v>
      </c>
      <c r="D5" s="265" t="s">
        <v>799</v>
      </c>
      <c r="E5" s="266"/>
      <c r="F5" s="273">
        <v>12</v>
      </c>
      <c r="G5" s="266">
        <v>1400000</v>
      </c>
      <c r="H5" s="266">
        <v>4600000</v>
      </c>
      <c r="I5" s="266">
        <v>896000</v>
      </c>
      <c r="J5" s="266">
        <v>74666.67</v>
      </c>
      <c r="K5" s="285">
        <v>7500000</v>
      </c>
      <c r="L5" s="128">
        <f t="shared" si="4"/>
        <v>1700000</v>
      </c>
      <c r="M5" s="127">
        <f t="shared" si="5"/>
        <v>5800000</v>
      </c>
      <c r="N5" s="123">
        <f t="shared" si="6"/>
        <v>1184000</v>
      </c>
      <c r="O5" s="124">
        <f t="shared" si="7"/>
        <v>98666.666666666672</v>
      </c>
      <c r="P5" s="125">
        <f t="shared" si="8"/>
        <v>12</v>
      </c>
      <c r="Q5" s="129">
        <f t="shared" si="9"/>
        <v>1184000</v>
      </c>
    </row>
    <row r="6" spans="1:17">
      <c r="A6" s="265">
        <v>4</v>
      </c>
      <c r="B6" s="284" t="s">
        <v>803</v>
      </c>
      <c r="C6" s="265" t="s">
        <v>798</v>
      </c>
      <c r="D6" s="265" t="s">
        <v>799</v>
      </c>
      <c r="E6" s="266"/>
      <c r="F6" s="273">
        <v>12</v>
      </c>
      <c r="G6" s="266">
        <v>1400000</v>
      </c>
      <c r="H6" s="266">
        <v>4600000</v>
      </c>
      <c r="I6" s="266">
        <v>896000</v>
      </c>
      <c r="J6" s="266">
        <v>74666.67</v>
      </c>
      <c r="K6" s="285">
        <v>7500000</v>
      </c>
      <c r="L6" s="128">
        <f t="shared" si="4"/>
        <v>1700000</v>
      </c>
      <c r="M6" s="127">
        <f t="shared" si="5"/>
        <v>5800000</v>
      </c>
      <c r="N6" s="123">
        <f t="shared" si="6"/>
        <v>1184000</v>
      </c>
      <c r="O6" s="124">
        <f t="shared" si="7"/>
        <v>98666.666666666672</v>
      </c>
      <c r="P6" s="125">
        <f t="shared" si="8"/>
        <v>12</v>
      </c>
      <c r="Q6" s="129">
        <f t="shared" si="9"/>
        <v>1184000</v>
      </c>
    </row>
    <row r="7" spans="1:17">
      <c r="A7" s="267">
        <v>5</v>
      </c>
      <c r="B7" s="279" t="s">
        <v>804</v>
      </c>
      <c r="C7" s="267" t="s">
        <v>798</v>
      </c>
      <c r="D7" s="267" t="s">
        <v>805</v>
      </c>
      <c r="E7" s="266"/>
      <c r="F7" s="273">
        <v>12</v>
      </c>
      <c r="G7" s="268">
        <v>1400000</v>
      </c>
      <c r="H7" s="268">
        <v>4600000</v>
      </c>
      <c r="I7" s="268">
        <v>896000</v>
      </c>
      <c r="J7" s="268">
        <v>74666.67</v>
      </c>
      <c r="K7" s="285">
        <v>7500000</v>
      </c>
      <c r="L7" s="128">
        <f t="shared" si="4"/>
        <v>1700000</v>
      </c>
      <c r="M7" s="127">
        <f t="shared" si="5"/>
        <v>5800000</v>
      </c>
      <c r="N7" s="123">
        <f t="shared" si="6"/>
        <v>1184000</v>
      </c>
      <c r="O7" s="124">
        <f t="shared" si="7"/>
        <v>98666.666666666672</v>
      </c>
      <c r="P7" s="125">
        <f t="shared" si="8"/>
        <v>12</v>
      </c>
      <c r="Q7" s="129">
        <f t="shared" si="9"/>
        <v>1184000</v>
      </c>
    </row>
    <row r="8" spans="1:17" ht="15.75" thickBot="1">
      <c r="A8" s="274"/>
      <c r="B8" s="275"/>
      <c r="C8" s="275"/>
      <c r="D8" s="276"/>
      <c r="E8" s="277">
        <f>SUM(E3:E7)</f>
        <v>0</v>
      </c>
      <c r="F8" s="277"/>
      <c r="G8" s="277">
        <f>SUM(G3:G7)</f>
        <v>7000000</v>
      </c>
      <c r="H8" s="277">
        <f>SUM(H3:H7)</f>
        <v>23000000</v>
      </c>
      <c r="I8" s="277">
        <f>SUM(I3:I7)</f>
        <v>4480000</v>
      </c>
      <c r="J8" s="278">
        <f>SUM(J3:J7)</f>
        <v>373333.35</v>
      </c>
      <c r="Q8" s="278">
        <f>SUM(Q3:Q7)</f>
        <v>6208000</v>
      </c>
    </row>
  </sheetData>
  <mergeCells count="1">
    <mergeCell ref="A1:J1"/>
  </mergeCells>
  <pageMargins left="0.7" right="0.7" top="0.75" bottom="0.75" header="0.3" footer="0.3"/>
  <pageSetup paperSize="9" scale="56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00632-029E-4E95-A086-5E2D49A3817B}">
  <sheetPr>
    <tabColor rgb="FFFFFF00"/>
  </sheetPr>
  <dimension ref="A1:XFB23"/>
  <sheetViews>
    <sheetView topLeftCell="A16" workbookViewId="0">
      <selection activeCell="A25" sqref="A25:XFD27"/>
    </sheetView>
  </sheetViews>
  <sheetFormatPr defaultColWidth="9.03515625" defaultRowHeight="15"/>
  <cols>
    <col min="1" max="1" width="9.03515625" style="331"/>
    <col min="2" max="2" width="18.33984375" style="331" customWidth="1"/>
    <col min="3" max="3" width="25.62109375" style="331" customWidth="1"/>
    <col min="4" max="5" width="19.95703125" style="331" customWidth="1"/>
    <col min="6" max="6" width="17.2578125" style="331" customWidth="1"/>
    <col min="7" max="13" width="9.03515625" style="331"/>
    <col min="14" max="14" width="14.15625" style="331" customWidth="1"/>
    <col min="15" max="16382" width="9.03515625" style="331"/>
    <col min="16383" max="16384" width="9.03515625" style="332"/>
  </cols>
  <sheetData>
    <row r="1" spans="1:10" ht="18.75">
      <c r="A1" s="329" t="s">
        <v>812</v>
      </c>
      <c r="B1" s="329"/>
      <c r="C1" s="330" t="s">
        <v>813</v>
      </c>
      <c r="D1" s="330"/>
      <c r="E1" s="330"/>
      <c r="G1" s="332"/>
      <c r="H1" s="332"/>
      <c r="I1" s="332"/>
      <c r="J1" s="332"/>
    </row>
    <row r="2" spans="1:10" ht="18.75">
      <c r="A2" s="329"/>
      <c r="B2" s="329"/>
      <c r="C2" s="330">
        <v>2023</v>
      </c>
      <c r="D2" s="329"/>
      <c r="E2" s="329"/>
      <c r="G2" s="332"/>
      <c r="H2" s="332"/>
      <c r="I2" s="332"/>
      <c r="J2" s="332"/>
    </row>
    <row r="3" spans="1:10" ht="18.75">
      <c r="A3" s="329" t="s">
        <v>814</v>
      </c>
      <c r="B3" s="329"/>
      <c r="C3" s="329" t="s">
        <v>242</v>
      </c>
      <c r="D3" s="329"/>
      <c r="E3" s="329"/>
      <c r="G3" s="332"/>
      <c r="H3" s="332"/>
      <c r="I3" s="332"/>
      <c r="J3" s="332"/>
    </row>
    <row r="4" spans="1:10" ht="18.75">
      <c r="A4" s="329" t="s">
        <v>815</v>
      </c>
      <c r="B4" s="329"/>
      <c r="C4" s="329" t="s">
        <v>816</v>
      </c>
      <c r="D4" s="329"/>
      <c r="E4" s="329"/>
      <c r="G4" s="332"/>
      <c r="H4" s="332"/>
      <c r="I4" s="332"/>
      <c r="J4" s="332"/>
    </row>
    <row r="5" spans="1:10" ht="18.75">
      <c r="A5" s="329" t="s">
        <v>817</v>
      </c>
      <c r="B5" s="329"/>
      <c r="C5" s="329" t="s">
        <v>818</v>
      </c>
      <c r="D5" s="329"/>
      <c r="E5" s="329"/>
      <c r="G5" s="332"/>
      <c r="H5" s="332"/>
      <c r="I5" s="332"/>
      <c r="J5" s="332"/>
    </row>
    <row r="6" spans="1:10" ht="18.75">
      <c r="A6" s="329"/>
      <c r="B6" s="329"/>
      <c r="C6" s="329"/>
      <c r="D6" s="329"/>
      <c r="E6" s="329"/>
      <c r="G6" s="332"/>
      <c r="H6" s="332"/>
      <c r="I6" s="332"/>
      <c r="J6" s="332"/>
    </row>
    <row r="7" spans="1:10">
      <c r="A7" s="332"/>
      <c r="B7" s="332"/>
      <c r="C7" s="332"/>
      <c r="D7" s="332"/>
      <c r="E7" s="332"/>
      <c r="F7" s="332"/>
      <c r="G7" s="332"/>
      <c r="H7" s="332"/>
      <c r="I7" s="332"/>
      <c r="J7" s="332"/>
    </row>
    <row r="8" spans="1:10" s="331" customFormat="1" ht="18.75">
      <c r="B8" s="402" t="s">
        <v>819</v>
      </c>
      <c r="C8" s="402"/>
      <c r="D8" s="402"/>
      <c r="E8" s="402"/>
      <c r="F8" s="402"/>
      <c r="G8" s="402"/>
    </row>
    <row r="9" spans="1:10" s="331" customFormat="1" ht="15.75">
      <c r="A9" s="403" t="s">
        <v>788</v>
      </c>
      <c r="B9" s="405" t="s">
        <v>820</v>
      </c>
      <c r="C9" s="333" t="s">
        <v>216</v>
      </c>
      <c r="D9" s="334" t="s">
        <v>821</v>
      </c>
      <c r="E9" s="334" t="s">
        <v>822</v>
      </c>
      <c r="F9" s="407" t="s">
        <v>823</v>
      </c>
    </row>
    <row r="10" spans="1:10" s="331" customFormat="1" ht="27.75">
      <c r="A10" s="404"/>
      <c r="B10" s="406"/>
      <c r="C10" s="336" t="s">
        <v>824</v>
      </c>
      <c r="D10" s="335" t="s">
        <v>825</v>
      </c>
      <c r="E10" s="335" t="s">
        <v>826</v>
      </c>
      <c r="F10" s="408"/>
    </row>
    <row r="11" spans="1:10" s="331" customFormat="1" ht="18.75">
      <c r="A11" s="337">
        <v>1</v>
      </c>
      <c r="B11" s="338" t="s">
        <v>827</v>
      </c>
      <c r="C11" s="339">
        <v>580200</v>
      </c>
      <c r="D11" s="339" t="s">
        <v>828</v>
      </c>
      <c r="E11" s="339" t="s">
        <v>288</v>
      </c>
      <c r="F11" s="340" t="s">
        <v>816</v>
      </c>
    </row>
    <row r="12" spans="1:10" s="331" customFormat="1" ht="18.75">
      <c r="A12" s="337">
        <f t="shared" ref="A12:A22" si="0">A11+1</f>
        <v>2</v>
      </c>
      <c r="B12" s="341" t="s">
        <v>827</v>
      </c>
      <c r="C12" s="339">
        <v>585800</v>
      </c>
      <c r="D12" s="339" t="s">
        <v>829</v>
      </c>
      <c r="E12" s="339" t="s">
        <v>291</v>
      </c>
      <c r="F12" s="340" t="s">
        <v>816</v>
      </c>
    </row>
    <row r="13" spans="1:10" s="331" customFormat="1" ht="18.75">
      <c r="A13" s="337">
        <f t="shared" si="0"/>
        <v>3</v>
      </c>
      <c r="B13" s="341" t="s">
        <v>830</v>
      </c>
      <c r="C13" s="339">
        <v>587400</v>
      </c>
      <c r="D13" s="339" t="s">
        <v>831</v>
      </c>
      <c r="E13" s="339" t="s">
        <v>292</v>
      </c>
      <c r="F13" s="340" t="s">
        <v>816</v>
      </c>
    </row>
    <row r="14" spans="1:10" s="331" customFormat="1" ht="18.75">
      <c r="A14" s="337">
        <f t="shared" si="0"/>
        <v>4</v>
      </c>
      <c r="B14" s="341" t="s">
        <v>830</v>
      </c>
      <c r="C14" s="339">
        <v>572300</v>
      </c>
      <c r="D14" s="339" t="s">
        <v>832</v>
      </c>
      <c r="E14" s="339" t="s">
        <v>833</v>
      </c>
      <c r="F14" s="340" t="s">
        <v>816</v>
      </c>
    </row>
    <row r="15" spans="1:10" s="331" customFormat="1" ht="18.75">
      <c r="A15" s="337">
        <f t="shared" si="0"/>
        <v>5</v>
      </c>
      <c r="B15" s="342" t="s">
        <v>834</v>
      </c>
      <c r="C15" s="339">
        <v>577100</v>
      </c>
      <c r="D15" s="339" t="s">
        <v>830</v>
      </c>
      <c r="E15" s="339" t="s">
        <v>295</v>
      </c>
      <c r="F15" s="340" t="s">
        <v>816</v>
      </c>
    </row>
    <row r="16" spans="1:10" s="331" customFormat="1" ht="18.75">
      <c r="A16" s="337">
        <f t="shared" si="0"/>
        <v>6</v>
      </c>
      <c r="B16" s="341" t="s">
        <v>835</v>
      </c>
      <c r="C16" s="339">
        <v>574500</v>
      </c>
      <c r="D16" s="339" t="s">
        <v>834</v>
      </c>
      <c r="E16" s="339" t="s">
        <v>296</v>
      </c>
      <c r="F16" s="340" t="s">
        <v>816</v>
      </c>
    </row>
    <row r="17" spans="1:6" s="331" customFormat="1" ht="18.75">
      <c r="A17" s="337">
        <f t="shared" si="0"/>
        <v>7</v>
      </c>
      <c r="B17" s="341" t="s">
        <v>836</v>
      </c>
      <c r="C17" s="339">
        <v>577400</v>
      </c>
      <c r="D17" s="339" t="s">
        <v>835</v>
      </c>
      <c r="E17" s="339" t="s">
        <v>297</v>
      </c>
      <c r="F17" s="340" t="s">
        <v>816</v>
      </c>
    </row>
    <row r="18" spans="1:6" s="331" customFormat="1" ht="18.75">
      <c r="A18" s="337">
        <f t="shared" si="0"/>
        <v>8</v>
      </c>
      <c r="B18" s="341" t="s">
        <v>837</v>
      </c>
      <c r="C18" s="339">
        <v>581500</v>
      </c>
      <c r="D18" s="339" t="s">
        <v>836</v>
      </c>
      <c r="E18" s="339" t="s">
        <v>298</v>
      </c>
      <c r="F18" s="340" t="s">
        <v>816</v>
      </c>
    </row>
    <row r="19" spans="1:6" s="331" customFormat="1" ht="18.75">
      <c r="A19" s="337">
        <f t="shared" si="0"/>
        <v>9</v>
      </c>
      <c r="B19" s="341" t="s">
        <v>838</v>
      </c>
      <c r="C19" s="339">
        <v>569500</v>
      </c>
      <c r="D19" s="339" t="s">
        <v>837</v>
      </c>
      <c r="E19" s="339" t="s">
        <v>299</v>
      </c>
      <c r="F19" s="340" t="s">
        <v>816</v>
      </c>
    </row>
    <row r="20" spans="1:6" s="331" customFormat="1" ht="18.75">
      <c r="A20" s="337">
        <f t="shared" si="0"/>
        <v>10</v>
      </c>
      <c r="B20" s="341" t="s">
        <v>839</v>
      </c>
      <c r="C20" s="339">
        <v>563593</v>
      </c>
      <c r="D20" s="339" t="s">
        <v>838</v>
      </c>
      <c r="E20" s="339" t="s">
        <v>300</v>
      </c>
      <c r="F20" s="340" t="s">
        <v>816</v>
      </c>
    </row>
    <row r="21" spans="1:6" s="331" customFormat="1" ht="18.75">
      <c r="A21" s="337">
        <f t="shared" si="0"/>
        <v>11</v>
      </c>
      <c r="B21" s="343" t="s">
        <v>840</v>
      </c>
      <c r="C21" s="339">
        <v>562902</v>
      </c>
      <c r="D21" s="341" t="s">
        <v>839</v>
      </c>
      <c r="E21" s="339" t="s">
        <v>301</v>
      </c>
      <c r="F21" s="340" t="s">
        <v>816</v>
      </c>
    </row>
    <row r="22" spans="1:6" s="331" customFormat="1" ht="18.75">
      <c r="A22" s="337">
        <f t="shared" si="0"/>
        <v>12</v>
      </c>
      <c r="B22" s="343" t="s">
        <v>841</v>
      </c>
      <c r="C22" s="339">
        <v>562902</v>
      </c>
      <c r="D22" s="343" t="s">
        <v>840</v>
      </c>
      <c r="E22" s="339" t="s">
        <v>302</v>
      </c>
      <c r="F22" s="340" t="s">
        <v>816</v>
      </c>
    </row>
    <row r="23" spans="1:6" s="331" customFormat="1">
      <c r="A23" s="344"/>
      <c r="B23" s="344"/>
      <c r="C23" s="345">
        <f>SUM(C11:C22)</f>
        <v>6895097</v>
      </c>
      <c r="D23" s="344"/>
      <c r="E23" s="344"/>
      <c r="F23" s="344"/>
    </row>
  </sheetData>
  <mergeCells count="4">
    <mergeCell ref="B8:G8"/>
    <mergeCell ref="A9:A10"/>
    <mergeCell ref="B9:B10"/>
    <mergeCell ref="F9:F10"/>
  </mergeCells>
  <pageMargins left="0.75" right="0.75" top="1" bottom="1" header="0.5" footer="0.5"/>
  <pageSetup orientation="portrait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1A86D-0A46-41CE-87BA-BBF43F61B3A2}">
  <dimension ref="A1:G33"/>
  <sheetViews>
    <sheetView view="pageBreakPreview" topLeftCell="A21" zoomScaleNormal="100" workbookViewId="0">
      <selection activeCell="E34" sqref="E34"/>
    </sheetView>
  </sheetViews>
  <sheetFormatPr defaultColWidth="9.16796875" defaultRowHeight="15"/>
  <cols>
    <col min="1" max="1" width="9.16796875" style="332"/>
    <col min="2" max="2" width="18.33984375" style="332" customWidth="1"/>
    <col min="3" max="4" width="19.95703125" style="332" customWidth="1"/>
    <col min="5" max="5" width="17.93359375" style="332" bestFit="1" customWidth="1"/>
    <col min="6" max="6" width="21.57421875" style="332" customWidth="1"/>
    <col min="7" max="7" width="14.29296875" style="332" customWidth="1"/>
    <col min="8" max="16384" width="9.16796875" style="332"/>
  </cols>
  <sheetData>
    <row r="1" spans="1:7" ht="18.75">
      <c r="A1" s="329" t="s">
        <v>812</v>
      </c>
      <c r="B1" s="329"/>
      <c r="C1" s="330" t="s">
        <v>813</v>
      </c>
      <c r="D1" s="330"/>
      <c r="E1" s="330"/>
      <c r="F1" s="330"/>
      <c r="G1" s="331"/>
    </row>
    <row r="2" spans="1:7" ht="23.25">
      <c r="A2" s="329"/>
      <c r="B2" s="329"/>
      <c r="C2" s="346">
        <v>2024</v>
      </c>
      <c r="D2" s="329"/>
      <c r="E2" s="329"/>
      <c r="F2" s="329"/>
      <c r="G2" s="331"/>
    </row>
    <row r="3" spans="1:7" ht="18.75">
      <c r="A3" s="329" t="s">
        <v>814</v>
      </c>
      <c r="B3" s="329"/>
      <c r="C3" s="329" t="s">
        <v>242</v>
      </c>
      <c r="D3" s="329"/>
      <c r="E3" s="329"/>
      <c r="F3" s="329"/>
      <c r="G3" s="331"/>
    </row>
    <row r="4" spans="1:7" ht="18.75">
      <c r="A4" s="329" t="s">
        <v>815</v>
      </c>
      <c r="B4" s="329"/>
      <c r="C4" s="329" t="s">
        <v>816</v>
      </c>
      <c r="D4" s="329"/>
      <c r="E4" s="329"/>
      <c r="F4" s="329"/>
      <c r="G4" s="331"/>
    </row>
    <row r="5" spans="1:7" ht="18.75">
      <c r="A5" s="329" t="s">
        <v>817</v>
      </c>
      <c r="B5" s="329"/>
      <c r="C5" s="329" t="s">
        <v>818</v>
      </c>
      <c r="D5" s="329"/>
      <c r="E5" s="329"/>
      <c r="F5" s="329"/>
      <c r="G5" s="331"/>
    </row>
    <row r="6" spans="1:7" ht="18.75">
      <c r="A6" s="329"/>
      <c r="B6" s="329"/>
      <c r="C6" s="329"/>
      <c r="D6" s="329"/>
      <c r="E6" s="329"/>
      <c r="F6" s="329"/>
      <c r="G6" s="329"/>
    </row>
    <row r="7" spans="1:7" ht="30" thickBot="1">
      <c r="C7" s="347" t="s">
        <v>842</v>
      </c>
      <c r="D7" s="347"/>
      <c r="E7" s="348"/>
    </row>
    <row r="8" spans="1:7" ht="19.5" thickBot="1">
      <c r="A8" s="349"/>
      <c r="B8" s="409" t="s">
        <v>843</v>
      </c>
      <c r="C8" s="410"/>
      <c r="D8" s="410"/>
      <c r="E8" s="410"/>
      <c r="F8" s="410"/>
      <c r="G8" s="411"/>
    </row>
    <row r="9" spans="1:7" ht="15.75">
      <c r="A9" s="412" t="s">
        <v>788</v>
      </c>
      <c r="B9" s="413" t="s">
        <v>820</v>
      </c>
      <c r="C9" s="350" t="s">
        <v>216</v>
      </c>
      <c r="D9" s="350" t="s">
        <v>216</v>
      </c>
      <c r="E9" s="351" t="s">
        <v>821</v>
      </c>
      <c r="F9" s="351" t="s">
        <v>822</v>
      </c>
      <c r="G9" s="414" t="s">
        <v>823</v>
      </c>
    </row>
    <row r="10" spans="1:7" ht="27.75">
      <c r="A10" s="404"/>
      <c r="B10" s="406"/>
      <c r="C10" s="352" t="s">
        <v>844</v>
      </c>
      <c r="D10" s="336" t="s">
        <v>845</v>
      </c>
      <c r="E10" s="335" t="s">
        <v>825</v>
      </c>
      <c r="F10" s="335" t="s">
        <v>826</v>
      </c>
      <c r="G10" s="408"/>
    </row>
    <row r="11" spans="1:7" ht="18.75">
      <c r="A11" s="352">
        <v>1</v>
      </c>
      <c r="B11" s="353" t="s">
        <v>846</v>
      </c>
      <c r="C11" s="354">
        <v>545253.32999999996</v>
      </c>
      <c r="D11" s="354"/>
      <c r="E11" s="354" t="s">
        <v>847</v>
      </c>
      <c r="F11" s="354" t="s">
        <v>319</v>
      </c>
      <c r="G11" s="340" t="s">
        <v>816</v>
      </c>
    </row>
    <row r="12" spans="1:7" ht="18.75">
      <c r="A12" s="352">
        <f t="shared" ref="A12:A19" si="0">A11+1</f>
        <v>2</v>
      </c>
      <c r="B12" s="355" t="s">
        <v>848</v>
      </c>
      <c r="C12" s="354">
        <v>545253.35</v>
      </c>
      <c r="D12" s="354"/>
      <c r="E12" s="354" t="s">
        <v>849</v>
      </c>
      <c r="F12" s="354" t="s">
        <v>321</v>
      </c>
      <c r="G12" s="340" t="s">
        <v>816</v>
      </c>
    </row>
    <row r="13" spans="1:7" ht="18.75">
      <c r="A13" s="352">
        <f t="shared" si="0"/>
        <v>3</v>
      </c>
      <c r="B13" s="355" t="s">
        <v>850</v>
      </c>
      <c r="C13" s="354">
        <v>546102.66</v>
      </c>
      <c r="D13" s="354"/>
      <c r="E13" s="354" t="s">
        <v>851</v>
      </c>
      <c r="F13" s="354" t="s">
        <v>323</v>
      </c>
      <c r="G13" s="340" t="s">
        <v>816</v>
      </c>
    </row>
    <row r="14" spans="1:7" ht="18.75">
      <c r="A14" s="352">
        <f t="shared" si="0"/>
        <v>4</v>
      </c>
      <c r="B14" s="355" t="s">
        <v>852</v>
      </c>
      <c r="C14" s="356"/>
      <c r="D14" s="354">
        <v>373334</v>
      </c>
      <c r="E14" s="354" t="s">
        <v>853</v>
      </c>
      <c r="F14" s="354" t="s">
        <v>854</v>
      </c>
      <c r="G14" s="340" t="s">
        <v>816</v>
      </c>
    </row>
    <row r="15" spans="1:7" ht="18.75">
      <c r="A15" s="352">
        <f t="shared" si="0"/>
        <v>5</v>
      </c>
      <c r="B15" s="357" t="s">
        <v>852</v>
      </c>
      <c r="C15" s="354">
        <v>170222</v>
      </c>
      <c r="D15" s="354"/>
      <c r="E15" s="354" t="s">
        <v>855</v>
      </c>
      <c r="F15" s="354" t="s">
        <v>856</v>
      </c>
      <c r="G15" s="340" t="s">
        <v>816</v>
      </c>
    </row>
    <row r="16" spans="1:7" ht="18.75">
      <c r="A16" s="352">
        <f t="shared" si="0"/>
        <v>6</v>
      </c>
      <c r="B16" s="355" t="s">
        <v>857</v>
      </c>
      <c r="C16" s="356"/>
      <c r="D16" s="354">
        <v>373400</v>
      </c>
      <c r="E16" s="354" t="s">
        <v>852</v>
      </c>
      <c r="F16" s="354" t="s">
        <v>858</v>
      </c>
      <c r="G16" s="340" t="s">
        <v>816</v>
      </c>
    </row>
    <row r="17" spans="1:7" ht="18.75">
      <c r="A17" s="352">
        <f t="shared" si="0"/>
        <v>7</v>
      </c>
      <c r="B17" s="355" t="s">
        <v>857</v>
      </c>
      <c r="C17" s="354">
        <v>170300</v>
      </c>
      <c r="D17" s="354"/>
      <c r="E17" s="354" t="s">
        <v>852</v>
      </c>
      <c r="F17" s="354" t="s">
        <v>306</v>
      </c>
      <c r="G17" s="340" t="s">
        <v>816</v>
      </c>
    </row>
    <row r="18" spans="1:7" ht="18.75">
      <c r="A18" s="352">
        <f t="shared" si="0"/>
        <v>8</v>
      </c>
      <c r="B18" s="355" t="s">
        <v>859</v>
      </c>
      <c r="C18" s="354">
        <v>171071</v>
      </c>
      <c r="D18" s="354"/>
      <c r="E18" s="354" t="s">
        <v>857</v>
      </c>
      <c r="F18" s="354" t="s">
        <v>307</v>
      </c>
      <c r="G18" s="340" t="s">
        <v>816</v>
      </c>
    </row>
    <row r="19" spans="1:7" ht="18.75">
      <c r="A19" s="352">
        <f t="shared" si="0"/>
        <v>9</v>
      </c>
      <c r="B19" s="355" t="s">
        <v>859</v>
      </c>
      <c r="C19" s="356"/>
      <c r="D19" s="354">
        <v>373333</v>
      </c>
      <c r="E19" s="354" t="s">
        <v>857</v>
      </c>
      <c r="F19" s="354" t="s">
        <v>860</v>
      </c>
      <c r="G19" s="340" t="s">
        <v>816</v>
      </c>
    </row>
    <row r="20" spans="1:7" ht="18.75">
      <c r="A20" s="352">
        <v>10</v>
      </c>
      <c r="B20" s="355" t="s">
        <v>861</v>
      </c>
      <c r="C20" s="354">
        <v>170000</v>
      </c>
      <c r="D20" s="354"/>
      <c r="E20" s="354" t="s">
        <v>859</v>
      </c>
      <c r="F20" s="354" t="s">
        <v>309</v>
      </c>
      <c r="G20" s="340" t="s">
        <v>816</v>
      </c>
    </row>
    <row r="21" spans="1:7" ht="18.75">
      <c r="A21" s="352">
        <v>11</v>
      </c>
      <c r="B21" s="358" t="s">
        <v>861</v>
      </c>
      <c r="C21" s="356"/>
      <c r="D21" s="354">
        <v>374000</v>
      </c>
      <c r="E21" s="355" t="s">
        <v>859</v>
      </c>
      <c r="F21" s="354" t="s">
        <v>862</v>
      </c>
      <c r="G21" s="340" t="s">
        <v>816</v>
      </c>
    </row>
    <row r="22" spans="1:7" ht="18.75">
      <c r="A22" s="352">
        <v>12</v>
      </c>
      <c r="B22" s="358" t="s">
        <v>863</v>
      </c>
      <c r="C22" s="354">
        <v>166863</v>
      </c>
      <c r="D22" s="354"/>
      <c r="E22" s="358" t="s">
        <v>861</v>
      </c>
      <c r="F22" s="354" t="s">
        <v>310</v>
      </c>
      <c r="G22" s="340" t="s">
        <v>816</v>
      </c>
    </row>
    <row r="23" spans="1:7" ht="18.75">
      <c r="A23" s="352">
        <v>13</v>
      </c>
      <c r="B23" s="355" t="s">
        <v>863</v>
      </c>
      <c r="C23" s="356"/>
      <c r="D23" s="354">
        <v>373334</v>
      </c>
      <c r="E23" s="354" t="s">
        <v>861</v>
      </c>
      <c r="F23" s="354" t="s">
        <v>864</v>
      </c>
      <c r="G23" s="340" t="s">
        <v>816</v>
      </c>
    </row>
    <row r="24" spans="1:7" ht="18.75">
      <c r="A24" s="352">
        <v>14</v>
      </c>
      <c r="B24" s="358" t="s">
        <v>865</v>
      </c>
      <c r="C24" s="354">
        <v>159108</v>
      </c>
      <c r="D24" s="354"/>
      <c r="E24" s="355" t="s">
        <v>863</v>
      </c>
      <c r="F24" s="354" t="s">
        <v>312</v>
      </c>
      <c r="G24" s="340" t="s">
        <v>816</v>
      </c>
    </row>
    <row r="25" spans="1:7" ht="18.75">
      <c r="A25" s="352">
        <v>15</v>
      </c>
      <c r="B25" s="358" t="s">
        <v>865</v>
      </c>
      <c r="C25" s="359"/>
      <c r="D25" s="354">
        <v>373334</v>
      </c>
      <c r="E25" s="358" t="s">
        <v>863</v>
      </c>
      <c r="F25" s="354" t="s">
        <v>866</v>
      </c>
      <c r="G25" s="340" t="s">
        <v>816</v>
      </c>
    </row>
    <row r="26" spans="1:7" ht="18.75">
      <c r="A26" s="352">
        <v>16</v>
      </c>
      <c r="B26" s="358" t="s">
        <v>867</v>
      </c>
      <c r="C26" s="359"/>
      <c r="D26" s="354">
        <v>373334</v>
      </c>
      <c r="E26" s="358" t="s">
        <v>865</v>
      </c>
      <c r="F26" s="354" t="s">
        <v>868</v>
      </c>
      <c r="G26" s="340" t="s">
        <v>816</v>
      </c>
    </row>
    <row r="27" spans="1:7" ht="18.75">
      <c r="A27" s="352">
        <v>17</v>
      </c>
      <c r="B27" s="355" t="s">
        <v>867</v>
      </c>
      <c r="C27" s="354">
        <v>159677</v>
      </c>
      <c r="D27" s="354"/>
      <c r="E27" s="354" t="s">
        <v>865</v>
      </c>
      <c r="F27" s="354" t="s">
        <v>314</v>
      </c>
      <c r="G27" s="340" t="s">
        <v>816</v>
      </c>
    </row>
    <row r="28" spans="1:7" ht="18.75">
      <c r="A28" s="352">
        <v>18</v>
      </c>
      <c r="B28" s="358" t="s">
        <v>869</v>
      </c>
      <c r="C28" s="354">
        <v>154630</v>
      </c>
      <c r="D28" s="356"/>
      <c r="E28" s="355" t="s">
        <v>867</v>
      </c>
      <c r="F28" s="354" t="s">
        <v>316</v>
      </c>
      <c r="G28" s="340" t="s">
        <v>816</v>
      </c>
    </row>
    <row r="29" spans="1:7" ht="18.75">
      <c r="A29" s="352">
        <v>19</v>
      </c>
      <c r="B29" s="358" t="s">
        <v>869</v>
      </c>
      <c r="C29" s="356"/>
      <c r="D29" s="354">
        <v>373334</v>
      </c>
      <c r="E29" s="358" t="s">
        <v>867</v>
      </c>
      <c r="F29" s="354" t="s">
        <v>870</v>
      </c>
      <c r="G29" s="340" t="s">
        <v>816</v>
      </c>
    </row>
    <row r="30" spans="1:7" ht="18.75">
      <c r="A30" s="352">
        <v>20</v>
      </c>
      <c r="B30" s="358" t="s">
        <v>869</v>
      </c>
      <c r="C30" s="354">
        <v>154630</v>
      </c>
      <c r="D30" s="354"/>
      <c r="E30" s="355" t="s">
        <v>871</v>
      </c>
      <c r="F30" s="354" t="s">
        <v>317</v>
      </c>
      <c r="G30" s="340" t="s">
        <v>816</v>
      </c>
    </row>
    <row r="31" spans="1:7" ht="18.75">
      <c r="A31" s="352">
        <v>21</v>
      </c>
      <c r="B31" s="358" t="s">
        <v>869</v>
      </c>
      <c r="C31" s="356"/>
      <c r="D31" s="354">
        <v>373334</v>
      </c>
      <c r="E31" s="358" t="s">
        <v>871</v>
      </c>
      <c r="F31" s="354" t="s">
        <v>872</v>
      </c>
      <c r="G31" s="340" t="s">
        <v>816</v>
      </c>
    </row>
    <row r="32" spans="1:7" ht="15.75">
      <c r="A32" s="360"/>
      <c r="B32" s="361"/>
      <c r="D32" s="332">
        <v>280000</v>
      </c>
    </row>
    <row r="33" spans="3:5">
      <c r="C33" s="362">
        <f>SUM(C11:C32)</f>
        <v>3113110.34</v>
      </c>
      <c r="D33" s="362">
        <f>SUM(D11:D32)</f>
        <v>3640737</v>
      </c>
      <c r="E33" s="363">
        <f>C33+D33</f>
        <v>6753847.3399999999</v>
      </c>
    </row>
  </sheetData>
  <mergeCells count="4">
    <mergeCell ref="B8:G8"/>
    <mergeCell ref="A9:A10"/>
    <mergeCell ref="B9:B10"/>
    <mergeCell ref="G9:G10"/>
  </mergeCells>
  <pageMargins left="0.75" right="0.75" top="1" bottom="1" header="0.5" footer="0.5"/>
  <pageSetup scale="64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24</vt:i4>
      </vt:variant>
    </vt:vector>
  </HeadingPairs>
  <TitlesOfParts>
    <vt:vector size="56" baseType="lpstr">
      <vt:lpstr>COVER PAGE</vt:lpstr>
      <vt:lpstr>Status</vt:lpstr>
      <vt:lpstr>CONTENT</vt:lpstr>
      <vt:lpstr>FIELD REPORT FORM</vt:lpstr>
      <vt:lpstr>Audit Check List</vt:lpstr>
      <vt:lpstr>Staff Cost Analysis</vt:lpstr>
      <vt:lpstr>Payroll Cost Analysis 2023</vt:lpstr>
      <vt:lpstr>Payroll Cost Analysis 2024</vt:lpstr>
      <vt:lpstr>Expatriate 2023</vt:lpstr>
      <vt:lpstr>Expatriate 2024</vt:lpstr>
      <vt:lpstr>WHT Schedule 2023</vt:lpstr>
      <vt:lpstr>WHT Schedule 2024</vt:lpstr>
      <vt:lpstr>WHT SMRY 2023</vt:lpstr>
      <vt:lpstr>WHT SMRY 2024</vt:lpstr>
      <vt:lpstr> PAYE Remittances 2023</vt:lpstr>
      <vt:lpstr>PAYE Remittances 2024</vt:lpstr>
      <vt:lpstr> Direct Assessment 2023&amp;2024</vt:lpstr>
      <vt:lpstr>WHT Remittance 2023</vt:lpstr>
      <vt:lpstr>WHT Remittance 2024</vt:lpstr>
      <vt:lpstr>Biz Premises 2023</vt:lpstr>
      <vt:lpstr>Biz Premises 2024</vt:lpstr>
      <vt:lpstr>Development Levy 2023</vt:lpstr>
      <vt:lpstr>Development Levy 2024</vt:lpstr>
      <vt:lpstr>computation (local) 2021</vt:lpstr>
      <vt:lpstr>computation (expat) 2021</vt:lpstr>
      <vt:lpstr>Tax Due (2)</vt:lpstr>
      <vt:lpstr>local 23</vt:lpstr>
      <vt:lpstr>local 24</vt:lpstr>
      <vt:lpstr>expat 2023</vt:lpstr>
      <vt:lpstr>expat 2024 </vt:lpstr>
      <vt:lpstr>SCHEDULE OF PAYMENT (2)</vt:lpstr>
      <vt:lpstr>2024</vt:lpstr>
      <vt:lpstr> Direct Assessment 2023&amp;2024!Print_Area</vt:lpstr>
      <vt:lpstr> PAYE Remittances 2023!Print_Area</vt:lpstr>
      <vt:lpstr>2024!Print_Area</vt:lpstr>
      <vt:lpstr>Audit Check List!Print_Area</vt:lpstr>
      <vt:lpstr>Biz Premises 2023!Print_Area</vt:lpstr>
      <vt:lpstr>Biz Premises 2024!Print_Area</vt:lpstr>
      <vt:lpstr>CONTENT!Print_Area</vt:lpstr>
      <vt:lpstr>Development Levy 2023!Print_Area</vt:lpstr>
      <vt:lpstr>Development Levy 2024!Print_Area</vt:lpstr>
      <vt:lpstr>Expatriate 2023!Print_Area</vt:lpstr>
      <vt:lpstr>Expatriate 2024!Print_Area</vt:lpstr>
      <vt:lpstr>FIELD REPORT FORM!Print_Area</vt:lpstr>
      <vt:lpstr>PAYE Remittances 2024!Print_Area</vt:lpstr>
      <vt:lpstr>Payroll Cost Analysis 2023!Print_Area</vt:lpstr>
      <vt:lpstr>Payroll Cost Analysis 2024!Print_Area</vt:lpstr>
      <vt:lpstr>Staff Cost Analysis!Print_Area</vt:lpstr>
      <vt:lpstr>Status!Print_Area</vt:lpstr>
      <vt:lpstr>Tax Due (2)!Print_Area</vt:lpstr>
      <vt:lpstr>WHT Remittance 2023!Print_Area</vt:lpstr>
      <vt:lpstr>WHT Remittance 2024!Print_Area</vt:lpstr>
      <vt:lpstr>WHT Schedule 2023!Print_Area</vt:lpstr>
      <vt:lpstr>WHT Schedule 2024!Print_Area</vt:lpstr>
      <vt:lpstr>WHT SMRY 2023!Print_Area</vt:lpstr>
      <vt:lpstr>WHT SMRY 2024!Print_Area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Kriz David</dc:creator>
  <cp:lastModifiedBy>ISHLAT COUNSULTANTS</cp:lastModifiedBy>
  <cp:lastPrinted>2026-03-03T12:09:58Z</cp:lastPrinted>
  <dcterms:created xsi:type="dcterms:W3CDTF">2004-10-27T23:02:55Z</dcterms:created>
  <dcterms:modified xsi:type="dcterms:W3CDTF">2026-05-26T15:38:24Z</dcterms:modified>
</cp:coreProperties>
</file>